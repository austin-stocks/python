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2339ED92-15AD-4ED1-8A6E-E263BECCFB02}" xr6:coauthVersionLast="47" xr6:coauthVersionMax="47" xr10:uidLastSave="{00000000-0000-0000-0000-000000000000}"/>
  <bookViews>
    <workbookView xWindow="2868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<sst xmlns="http://schemas.openxmlformats.org/spreadsheetml/2006/main" count="11667" uniqueCount="1433">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</sst>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 t="shared" ref="C2:C38" si="0">B2/B3-1</f>
        <v>0.10044642857142838</v>
      </c>
      <c r="E2" s="38">
        <v>8905442</v>
      </c>
      <c r="F2" s="38">
        <f t="shared" ref="F2:F38" si="1">SUM(E2:E6)/5</f>
        <v>6622789.7999999998</v>
      </c>
      <c r="G2" s="38">
        <f t="shared" ref="G2:G38" si="2">SUM(E2:E22)/21</f>
        <v>6671920.5714285718</v>
      </c>
      <c r="H2" s="38">
        <f t="shared" ref="H2:H38" si="3"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 t="shared" si="0"/>
        <v>-7.2463768115941907E-2</v>
      </c>
      <c r="E3" s="38">
        <v>6411239</v>
      </c>
      <c r="F3" s="38">
        <f t="shared" si="1"/>
        <v>6748363</v>
      </c>
      <c r="G3" s="38">
        <f t="shared" si="2"/>
        <v>6607058.2380952379</v>
      </c>
      <c r="H3" s="38">
        <f t="shared" si="3"/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 t="shared" si="0"/>
        <v>3.2051282051282159E-2</v>
      </c>
      <c r="E4" s="38">
        <v>5284893</v>
      </c>
      <c r="F4" s="38">
        <f t="shared" si="1"/>
        <v>6335683.5999999996</v>
      </c>
      <c r="G4" s="38">
        <f t="shared" si="2"/>
        <v>6357685.5238095243</v>
      </c>
      <c r="H4" s="38">
        <f t="shared" si="3"/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 t="shared" si="0"/>
        <v>8.5846867749419964E-2</v>
      </c>
      <c r="E5" s="38">
        <v>5600448</v>
      </c>
      <c r="F5" s="38">
        <f t="shared" si="1"/>
        <v>6689534.2000000002</v>
      </c>
      <c r="G5" s="38">
        <f t="shared" si="2"/>
        <v>6207937.2857142854</v>
      </c>
      <c r="H5" s="38">
        <f t="shared" si="3"/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 t="shared" si="0"/>
        <v>-0.11134020618556706</v>
      </c>
      <c r="E6" s="38">
        <v>6911927</v>
      </c>
      <c r="F6" s="38">
        <f t="shared" si="1"/>
        <v>8521845.5999999996</v>
      </c>
      <c r="G6" s="38">
        <f t="shared" si="2"/>
        <v>6083666.7142857146</v>
      </c>
      <c r="H6" s="38">
        <f t="shared" si="3"/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 t="shared" si="0"/>
        <v>0.1465721040189123</v>
      </c>
      <c r="E7" s="38">
        <v>9533308</v>
      </c>
      <c r="F7" s="38">
        <f t="shared" si="1"/>
        <v>8728580.8000000007</v>
      </c>
      <c r="G7" s="38">
        <f t="shared" si="2"/>
        <v>5849890.6190476194</v>
      </c>
      <c r="H7" s="38">
        <f t="shared" si="3"/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 t="shared" si="0"/>
        <v>2.6699029126213691E-2</v>
      </c>
      <c r="E8" s="38">
        <v>4347842</v>
      </c>
      <c r="F8" s="38">
        <f t="shared" si="1"/>
        <v>7251584</v>
      </c>
      <c r="G8" s="38">
        <f t="shared" si="2"/>
        <v>5501273.1904761903</v>
      </c>
      <c r="H8" s="38">
        <f t="shared" si="3"/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 t="shared" si="0"/>
        <v>2.4875621890547484E-2</v>
      </c>
      <c r="E9" s="38">
        <v>7054146</v>
      </c>
      <c r="F9" s="38">
        <f t="shared" si="1"/>
        <v>6790566.5999999996</v>
      </c>
      <c r="G9" s="38">
        <f t="shared" si="2"/>
        <v>5361282.5238095243</v>
      </c>
      <c r="H9" s="38">
        <f t="shared" si="3"/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 t="shared" si="0"/>
        <v>4.415584415584406E-2</v>
      </c>
      <c r="E10" s="38">
        <v>14762005</v>
      </c>
      <c r="F10" s="38">
        <f t="shared" si="1"/>
        <v>6393602.2000000002</v>
      </c>
      <c r="G10" s="38">
        <f t="shared" si="2"/>
        <v>5112787.0952380951</v>
      </c>
      <c r="H10" s="38">
        <f t="shared" si="3"/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 t="shared" si="0"/>
        <v>0.13569321533923295</v>
      </c>
      <c r="E11" s="38">
        <v>7945603</v>
      </c>
      <c r="F11" s="38">
        <f t="shared" si="1"/>
        <v>4384815.4000000004</v>
      </c>
      <c r="G11" s="38">
        <f t="shared" si="2"/>
        <v>4505231.8571428573</v>
      </c>
      <c r="H11" s="38">
        <f t="shared" si="3"/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 t="shared" si="0"/>
        <v>1.8018018018018056E-2</v>
      </c>
      <c r="E12" s="38">
        <v>2148324</v>
      </c>
      <c r="F12" s="38">
        <f t="shared" si="1"/>
        <v>3486901.6</v>
      </c>
      <c r="G12" s="38">
        <f t="shared" si="2"/>
        <v>4246281.7619047621</v>
      </c>
      <c r="H12" s="38">
        <f t="shared" si="3"/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 t="shared" si="0"/>
        <v>-1.4792899408283988E-2</v>
      </c>
      <c r="E13" s="38">
        <v>2042755</v>
      </c>
      <c r="F13" s="38">
        <f t="shared" si="1"/>
        <v>3924448.8</v>
      </c>
      <c r="G13" s="38">
        <f t="shared" si="2"/>
        <v>4284599.8095238097</v>
      </c>
      <c r="H13" s="38">
        <f t="shared" si="3"/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 t="shared" si="0"/>
        <v>-3.1518624641833859E-2</v>
      </c>
      <c r="E14" s="38">
        <v>5069324</v>
      </c>
      <c r="F14" s="38">
        <f t="shared" si="1"/>
        <v>4892729.2</v>
      </c>
      <c r="G14" s="38">
        <f t="shared" si="2"/>
        <v>4298369.9047619049</v>
      </c>
      <c r="H14" s="38">
        <f t="shared" si="3"/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 t="shared" si="0"/>
        <v>-5.9299191374662996E-2</v>
      </c>
      <c r="E15" s="38">
        <v>4718071</v>
      </c>
      <c r="F15" s="38">
        <f t="shared" si="1"/>
        <v>4853294</v>
      </c>
      <c r="G15" s="38">
        <f t="shared" si="2"/>
        <v>4189144.9523809524</v>
      </c>
      <c r="H15" s="38">
        <f t="shared" si="3"/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 t="shared" si="0"/>
        <v>-6.0759493670886178E-2</v>
      </c>
      <c r="E16" s="38">
        <v>3456034</v>
      </c>
      <c r="F16" s="38">
        <f t="shared" si="1"/>
        <v>6144902.7999999998</v>
      </c>
      <c r="G16" s="38">
        <f t="shared" si="2"/>
        <v>4203189.8095238097</v>
      </c>
      <c r="H16" s="38">
        <f t="shared" si="3"/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 t="shared" si="0"/>
        <v>-1.0025062656641603E-2</v>
      </c>
      <c r="E17" s="38">
        <v>4336060</v>
      </c>
      <c r="F17" s="38">
        <f t="shared" si="1"/>
        <v>7741735.7999999998</v>
      </c>
      <c r="G17" s="38">
        <f t="shared" si="2"/>
        <v>4448840.5714285718</v>
      </c>
      <c r="H17" s="38">
        <f t="shared" si="3"/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 t="shared" si="0"/>
        <v>-0.10337078651685394</v>
      </c>
      <c r="E18" s="38">
        <v>6884157</v>
      </c>
      <c r="F18" s="38">
        <f t="shared" si="1"/>
        <v>8316582.2000000002</v>
      </c>
      <c r="G18" s="38">
        <f t="shared" si="2"/>
        <v>4398335.2857142854</v>
      </c>
      <c r="H18" s="38">
        <f t="shared" si="3"/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 t="shared" si="0"/>
        <v>-3.2608695652173836E-2</v>
      </c>
      <c r="E19" s="38">
        <v>4872148</v>
      </c>
      <c r="F19" s="38">
        <f t="shared" si="1"/>
        <v>8448417.4000000004</v>
      </c>
      <c r="G19" s="38">
        <f t="shared" si="2"/>
        <v>4238547.0952380951</v>
      </c>
      <c r="H19" s="38">
        <f t="shared" si="3"/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 t="shared" si="0"/>
        <v>4.5454545454545192E-2</v>
      </c>
      <c r="E20" s="38">
        <v>11176115</v>
      </c>
      <c r="F20" s="38">
        <f t="shared" si="1"/>
        <v>7708870.2000000002</v>
      </c>
      <c r="G20" s="38">
        <f t="shared" si="2"/>
        <v>4178435.3809523811</v>
      </c>
      <c r="H20" s="38">
        <f t="shared" si="3"/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 t="shared" si="0"/>
        <v>0.16710875331564989</v>
      </c>
      <c r="E21" s="38">
        <v>11440199</v>
      </c>
      <c r="F21" s="38">
        <f t="shared" si="1"/>
        <v>5901683.2000000002</v>
      </c>
      <c r="G21" s="38">
        <f t="shared" si="2"/>
        <v>3755249.7619047621</v>
      </c>
      <c r="H21" s="38">
        <f t="shared" si="3"/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 t="shared" si="0"/>
        <v>0.15999999999999992</v>
      </c>
      <c r="E22" s="38">
        <v>7210292</v>
      </c>
      <c r="F22" s="38">
        <f t="shared" si="1"/>
        <v>4211796.5999999996</v>
      </c>
      <c r="G22" s="38">
        <f t="shared" si="2"/>
        <v>3332832.1428571427</v>
      </c>
      <c r="H22" s="38">
        <f t="shared" si="3"/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 t="shared" si="0"/>
        <v>6.2091503267973858E-2</v>
      </c>
      <c r="E23" s="38">
        <v>7543333</v>
      </c>
      <c r="F23" s="38">
        <f t="shared" si="1"/>
        <v>3170264</v>
      </c>
      <c r="G23" s="38">
        <f t="shared" si="2"/>
        <v>3042647</v>
      </c>
      <c r="H23" s="38">
        <f t="shared" si="3"/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 t="shared" si="0"/>
        <v>-2.5477707006369421E-2</v>
      </c>
      <c r="E24" s="38">
        <v>1174412</v>
      </c>
      <c r="F24" s="38">
        <f t="shared" si="1"/>
        <v>2104065.7999999998</v>
      </c>
      <c r="G24" s="38">
        <f t="shared" si="2"/>
        <v>2781027.9047619049</v>
      </c>
      <c r="H24" s="38">
        <f t="shared" si="3"/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 t="shared" si="0"/>
        <v>6.4102564102563875E-3</v>
      </c>
      <c r="E25" s="38">
        <v>2140180</v>
      </c>
      <c r="F25" s="38">
        <f t="shared" si="1"/>
        <v>2150791</v>
      </c>
      <c r="G25" s="38">
        <f t="shared" si="2"/>
        <v>2796361.0476190476</v>
      </c>
      <c r="H25" s="38">
        <f t="shared" si="3"/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 t="shared" si="0"/>
        <v>4.0000000000000036E-2</v>
      </c>
      <c r="E26" s="38">
        <v>2990766</v>
      </c>
      <c r="F26" s="38">
        <f t="shared" si="1"/>
        <v>2089903.4</v>
      </c>
      <c r="G26" s="38">
        <f t="shared" si="2"/>
        <v>2758458.2857142859</v>
      </c>
      <c r="H26" s="38">
        <f t="shared" si="3"/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 t="shared" si="0"/>
        <v>1.3513513513513598E-2</v>
      </c>
      <c r="E27" s="38">
        <v>2002629</v>
      </c>
      <c r="F27" s="38">
        <f t="shared" si="1"/>
        <v>1892419.2</v>
      </c>
      <c r="G27" s="38">
        <f t="shared" si="2"/>
        <v>2663629.2380952379</v>
      </c>
      <c r="H27" s="38">
        <f t="shared" si="3"/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 t="shared" si="0"/>
        <v>-1.0033444816053616E-2</v>
      </c>
      <c r="E28" s="38">
        <v>2212342</v>
      </c>
      <c r="F28" s="38">
        <f t="shared" si="1"/>
        <v>1993423.6</v>
      </c>
      <c r="G28" s="38">
        <f t="shared" si="2"/>
        <v>2614479.5238095238</v>
      </c>
      <c r="H28" s="38">
        <f t="shared" si="3"/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 t="shared" si="0"/>
        <v>3.3557046979866278E-3</v>
      </c>
      <c r="E29" s="38">
        <v>1408038</v>
      </c>
      <c r="F29" s="38">
        <f t="shared" si="1"/>
        <v>2141555.7999999998</v>
      </c>
      <c r="G29" s="38">
        <f t="shared" si="2"/>
        <v>2565721.5714285714</v>
      </c>
      <c r="H29" s="38">
        <f t="shared" si="3"/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 t="shared" si="0"/>
        <v>-2.9315960912052019E-2</v>
      </c>
      <c r="E30" s="38">
        <v>1835742</v>
      </c>
      <c r="F30" s="38">
        <f t="shared" si="1"/>
        <v>2326333.6</v>
      </c>
      <c r="G30" s="38">
        <f t="shared" si="2"/>
        <v>2560182.1428571427</v>
      </c>
      <c r="H30" s="38">
        <f t="shared" si="3"/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 t="shared" si="0"/>
        <v>3.2679738562091387E-3</v>
      </c>
      <c r="E31" s="38">
        <v>2003345</v>
      </c>
      <c r="F31" s="38">
        <f t="shared" si="1"/>
        <v>2514305.2000000002</v>
      </c>
      <c r="G31" s="38">
        <f t="shared" si="2"/>
        <v>2514449.4285714286</v>
      </c>
      <c r="H31" s="38">
        <f t="shared" si="3"/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 t="shared" si="0"/>
        <v>5.5172413793103559E-2</v>
      </c>
      <c r="E32" s="38">
        <v>2507651</v>
      </c>
      <c r="F32" s="38">
        <f t="shared" si="1"/>
        <v>3116238.8</v>
      </c>
      <c r="G32" s="38">
        <f t="shared" si="2"/>
        <v>2495419.3333333335</v>
      </c>
      <c r="H32" s="38">
        <f t="shared" si="3"/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 t="shared" si="0"/>
        <v>-4.6052631578947456E-2</v>
      </c>
      <c r="E33" s="38">
        <v>2953003</v>
      </c>
      <c r="F33" s="38">
        <f t="shared" si="1"/>
        <v>4337648.5999999996</v>
      </c>
      <c r="G33" s="38">
        <f t="shared" si="2"/>
        <v>2416342.1428571427</v>
      </c>
      <c r="H33" s="38">
        <f t="shared" si="3"/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 t="shared" si="0"/>
        <v>-3.1847133757961776E-2</v>
      </c>
      <c r="E34" s="38">
        <v>2331927</v>
      </c>
      <c r="F34" s="38">
        <f t="shared" si="1"/>
        <v>4402137.8</v>
      </c>
      <c r="G34" s="38">
        <f t="shared" si="2"/>
        <v>2319653.7619047621</v>
      </c>
      <c r="H34" s="38">
        <f t="shared" si="3"/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 t="shared" si="0"/>
        <v>-3.0864197530864224E-2</v>
      </c>
      <c r="E35" s="38">
        <v>2775600</v>
      </c>
      <c r="F35" s="38">
        <f t="shared" si="1"/>
        <v>4641473.4000000004</v>
      </c>
      <c r="G35" s="38">
        <f t="shared" si="2"/>
        <v>2291984.3809523811</v>
      </c>
      <c r="H35" s="38">
        <f t="shared" si="3"/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 t="shared" si="0"/>
        <v>-3.0769230769229772E-3</v>
      </c>
      <c r="E36" s="38">
        <v>5013013</v>
      </c>
      <c r="F36" s="38">
        <f t="shared" si="1"/>
        <v>4808313.8</v>
      </c>
      <c r="G36" s="38">
        <f t="shared" si="2"/>
        <v>2219342.8095238097</v>
      </c>
      <c r="H36" s="38">
        <f t="shared" si="3"/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 t="shared" si="0"/>
        <v>3.1746031746031855E-2</v>
      </c>
      <c r="E37" s="38">
        <v>8614700</v>
      </c>
      <c r="F37" s="38">
        <f t="shared" si="1"/>
        <v>4263554.5999999996</v>
      </c>
      <c r="G37" s="38">
        <f t="shared" si="2"/>
        <v>2062103.4761904762</v>
      </c>
      <c r="H37" s="38">
        <f t="shared" si="3"/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 t="shared" si="0"/>
        <v>7.5085324232081918E-2</v>
      </c>
      <c r="E38" s="38">
        <v>3275449</v>
      </c>
      <c r="F38" s="38">
        <f t="shared" si="1"/>
        <v>3054500.4</v>
      </c>
      <c r="G38" s="38">
        <f t="shared" si="2"/>
        <v>1722149.2857142857</v>
      </c>
      <c r="H38" s="38">
        <f t="shared" si="3"/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C0AE5-17FA-4A5E-B445-9800B3AF0AF3}">
  <sheetPr codeName="Sheet3"/>
  <dimension ref="C1:D133"/>
  <sheetViews>
    <sheetView tabSelected="1" workbookViewId="0">
      <selection activeCell="N10" sqref="N10"/>
    </sheetView>
  </sheetViews>
  <sheetFormatPr defaultRowHeight="15" x14ac:dyDescent="0.25"/>
  <sheetData>
    <row r="1" spans="3:4" x14ac:dyDescent="0.25">
      <c r="C1" s="35" t="s">
        <v>1432</v>
      </c>
    </row>
    <row r="2" spans="3:4" x14ac:dyDescent="0.25">
      <c r="C2">
        <v>50.87</v>
      </c>
      <c r="D2" s="36">
        <f t="shared" ref="D2:D21" si="0">(C2/C3)-1</f>
        <v>3.3732981101401993E-2</v>
      </c>
    </row>
    <row r="3" spans="3:4" x14ac:dyDescent="0.25">
      <c r="C3">
        <v>49.21</v>
      </c>
      <c r="D3" s="36">
        <f t="shared" si="0"/>
        <v>-2.0696517412935322E-2</v>
      </c>
    </row>
    <row r="4" spans="3:4" x14ac:dyDescent="0.25">
      <c r="C4">
        <v>50.25</v>
      </c>
      <c r="D4" s="36">
        <f t="shared" si="0"/>
        <v>-3.6802760207015561E-2</v>
      </c>
    </row>
    <row r="5" spans="3:4" x14ac:dyDescent="0.25">
      <c r="C5">
        <v>52.17</v>
      </c>
      <c r="D5" s="36">
        <f t="shared" si="0"/>
        <v>9.8722415795586826E-3</v>
      </c>
    </row>
    <row r="6" spans="3:4" x14ac:dyDescent="0.25">
      <c r="C6">
        <v>51.66</v>
      </c>
      <c r="D6" s="36">
        <f t="shared" si="0"/>
        <v>-1.5461925009664368E-3</v>
      </c>
    </row>
    <row r="7" spans="3:4" x14ac:dyDescent="0.25">
      <c r="C7">
        <v>51.74</v>
      </c>
      <c r="D7" s="36">
        <f t="shared" si="0"/>
        <v>1.431091942756324E-2</v>
      </c>
    </row>
    <row r="8" spans="3:4" x14ac:dyDescent="0.25">
      <c r="C8">
        <v>51.01</v>
      </c>
      <c r="D8" s="36">
        <f t="shared" si="0"/>
        <v>3.9362330249950173E-3</v>
      </c>
    </row>
    <row r="9" spans="3:4" x14ac:dyDescent="0.25">
      <c r="C9">
        <v>50.81</v>
      </c>
      <c r="D9" s="36">
        <f t="shared" si="0"/>
        <v>4.6119003500102895E-2</v>
      </c>
    </row>
    <row r="10" spans="3:4" x14ac:dyDescent="0.25">
      <c r="C10">
        <v>48.57</v>
      </c>
      <c r="D10" s="36">
        <f t="shared" si="0"/>
        <v>6.0066280033139741E-3</v>
      </c>
    </row>
    <row r="11" spans="3:4" x14ac:dyDescent="0.25">
      <c r="C11">
        <v>48.28</v>
      </c>
      <c r="D11" s="36">
        <f t="shared" si="0"/>
        <v>-2.2731969415168418E-3</v>
      </c>
    </row>
    <row r="12" spans="3:4" x14ac:dyDescent="0.25">
      <c r="C12">
        <v>48.39</v>
      </c>
      <c r="D12" s="36">
        <f t="shared" si="0"/>
        <v>-1.4259523324506085E-2</v>
      </c>
    </row>
    <row r="13" spans="3:4" x14ac:dyDescent="0.25">
      <c r="C13">
        <v>49.09</v>
      </c>
      <c r="D13" s="36">
        <f t="shared" si="0"/>
        <v>0</v>
      </c>
    </row>
    <row r="14" spans="3:4" x14ac:dyDescent="0.25">
      <c r="C14">
        <v>49.09</v>
      </c>
      <c r="D14" s="36">
        <f t="shared" si="0"/>
        <v>3.2169890664423884E-2</v>
      </c>
    </row>
    <row r="15" spans="3:4" x14ac:dyDescent="0.25">
      <c r="C15">
        <v>47.56</v>
      </c>
      <c r="D15" s="36">
        <f t="shared" si="0"/>
        <v>-1.8774499690530133E-2</v>
      </c>
    </row>
    <row r="16" spans="3:4" x14ac:dyDescent="0.25">
      <c r="C16">
        <v>48.47</v>
      </c>
      <c r="D16" s="36">
        <f t="shared" si="0"/>
        <v>8.8479676622501557E-2</v>
      </c>
    </row>
    <row r="17" spans="3:4" x14ac:dyDescent="0.25">
      <c r="C17">
        <v>44.53</v>
      </c>
      <c r="D17" s="36">
        <f t="shared" si="0"/>
        <v>-2.4641577060932063E-3</v>
      </c>
    </row>
    <row r="18" spans="3:4" x14ac:dyDescent="0.25">
      <c r="C18">
        <v>44.64</v>
      </c>
      <c r="D18" s="36">
        <f t="shared" si="0"/>
        <v>9.4979647218453866E-3</v>
      </c>
    </row>
    <row r="19" spans="3:4" x14ac:dyDescent="0.25">
      <c r="C19">
        <v>44.22</v>
      </c>
      <c r="D19" s="36">
        <f t="shared" si="0"/>
        <v>2.3848112989117931E-2</v>
      </c>
    </row>
    <row r="20" spans="3:4" x14ac:dyDescent="0.25">
      <c r="C20">
        <v>43.19</v>
      </c>
      <c r="D20" s="36">
        <f t="shared" si="0"/>
        <v>1.1590171534539007E-3</v>
      </c>
    </row>
    <row r="21" spans="3:4" x14ac:dyDescent="0.25">
      <c r="C21">
        <v>43.14</v>
      </c>
      <c r="D21" s="36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2023-08-13T18:38:15Z</dcterms:modified>
</cp:coreProperties>
</file>