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Key Statistics\"/>
    </mc:Choice>
  </mc:AlternateContent>
  <bookViews>
    <workbookView xWindow="0" yWindow="0" windowWidth="14925" windowHeight="9240"/>
  </bookViews>
  <sheets>
    <sheet name="Sheet1" sheetId="2" r:id="rId1"/>
    <sheet name="QADA" sheetId="3" r:id="rId2"/>
    <sheet name="QBAK" sheetId="4" r:id="rId3"/>
    <sheet name="QBIO" sheetId="5" r:id="rId4"/>
    <sheet name="QCCO" sheetId="6" r:id="rId5"/>
    <sheet name="QCOM" sheetId="7" r:id="rId6"/>
    <sheet name="QCRH" sheetId="8" r:id="rId7"/>
    <sheet name="QD" sheetId="9" r:id="rId8"/>
    <sheet name="QDEL" sheetId="10" r:id="rId9"/>
    <sheet name="QEGY" sheetId="11" r:id="rId10"/>
    <sheet name="QEP" sheetId="12" r:id="rId11"/>
    <sheet name="QEPC" sheetId="13" r:id="rId12"/>
    <sheet name="QES" sheetId="14" r:id="rId13"/>
    <sheet name="QFIN" sheetId="15" r:id="rId14"/>
    <sheet name="QGEN" sheetId="16" r:id="rId15"/>
    <sheet name="QHC" sheetId="17" r:id="rId16"/>
    <sheet name="QHYG" sheetId="18" r:id="rId17"/>
    <sheet name="QIWI" sheetId="19" r:id="rId18"/>
    <sheet name="QLYS" sheetId="20" r:id="rId19"/>
    <sheet name="QMCI" sheetId="21" r:id="rId20"/>
    <sheet name="QNBC" sheetId="22" r:id="rId21"/>
    <sheet name="QNST" sheetId="23" r:id="rId22"/>
    <sheet name="QNTA" sheetId="24" r:id="rId23"/>
    <sheet name="QNTO" sheetId="25" r:id="rId24"/>
    <sheet name="QPAG" sheetId="26" r:id="rId25"/>
    <sheet name="QPRC" sheetId="27" r:id="rId26"/>
    <sheet name="QPWR" sheetId="28" r:id="rId27"/>
    <sheet name="QRHC" sheetId="29" r:id="rId28"/>
    <sheet name="QRTEA" sheetId="30" r:id="rId29"/>
    <sheet name="QRVO" sheetId="31" r:id="rId30"/>
    <sheet name="QSEP" sheetId="32" r:id="rId31"/>
    <sheet name="QSMG" sheetId="33" r:id="rId32"/>
    <sheet name="QTMM" sheetId="34" r:id="rId33"/>
    <sheet name="QTNA" sheetId="35" r:id="rId34"/>
    <sheet name="QTNT" sheetId="36" r:id="rId35"/>
    <sheet name="QTRX" sheetId="37" r:id="rId36"/>
    <sheet name="QTS" sheetId="38" r:id="rId37"/>
    <sheet name="QTT" sheetId="39" r:id="rId38"/>
    <sheet name="QTWO" sheetId="40" r:id="rId39"/>
    <sheet name="QTXB" sheetId="41" r:id="rId40"/>
    <sheet name="QUAD" sheetId="42" r:id="rId41"/>
    <sheet name="QUES" sheetId="43" r:id="rId42"/>
    <sheet name="QUIK" sheetId="44" r:id="rId43"/>
    <sheet name="QUMU" sheetId="45" r:id="rId44"/>
    <sheet name="QUOT" sheetId="46" r:id="rId45"/>
    <sheet name="QURE" sheetId="47" r:id="rId46"/>
  </sheets>
  <externalReferences>
    <externalReference r:id="rId47"/>
  </externalReferences>
  <definedNames>
    <definedName name="Ticker">Sheet1!$B$3</definedName>
  </definedNames>
  <calcPr calcId="152511" calcMode="manual"/>
</workbook>
</file>

<file path=xl/calcChain.xml><?xml version="1.0" encoding="utf-8"?>
<calcChain xmlns="http://schemas.openxmlformats.org/spreadsheetml/2006/main">
  <c r="G85" i="2" l="1"/>
  <c r="G83" i="2"/>
  <c r="G84" i="2"/>
  <c r="G86" i="2"/>
  <c r="G87" i="2"/>
  <c r="G79" i="2"/>
  <c r="G80" i="2"/>
  <c r="G81" i="2"/>
  <c r="G82" i="2"/>
</calcChain>
</file>

<file path=xl/sharedStrings.xml><?xml version="1.0" encoding="utf-8"?>
<sst xmlns="http://schemas.openxmlformats.org/spreadsheetml/2006/main" count="4177" uniqueCount="87">
  <si>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</si>
  <si>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</si>
  <si>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</si>
  <si>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</si>
  <si>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</si>
  <si>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</si>
  <si>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</si>
  <si>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</si>
  <si>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</si>
  <si>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</si>
  <si>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</si>
  <si>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</si>
  <si>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</si>
  <si>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</si>
  <si>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</si>
  <si>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</si>
  <si>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</si>
  <si>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</si>
  <si>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</si>
  <si>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</si>
  <si>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</si>
  <si>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</si>
  <si>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</si>
  <si>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</si>
  <si>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</si>
  <si>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</si>
  <si>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</si>
  <si>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</si>
  <si>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</si>
  <si>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</si>
  <si>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</si>
  <si>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</si>
  <si>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</si>
  <si>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</si>
  <si>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</si>
  <si>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</si>
  <si>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</si>
  <si>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</si>
  <si>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</si>
  <si>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</si>
  <si>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</si>
  <si>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</si>
  <si>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</si>
  <si>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</si>
  <si>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</si>
  <si>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</si>
  <si>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</si>
  <si>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</si>
  <si>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</si>
  <si>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</si>
  <si>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</si>
  <si>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</si>
  <si>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</si>
  <si>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</si>
  <si>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</si>
  <si>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</si>
  <si>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</si>
  <si>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</si>
  <si>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</si>
  <si>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</si>
  <si>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</si>
  <si>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</si>
  <si>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</si>
  <si>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</si>
  <si>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</si>
  <si>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</si>
  <si>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</si>
  <si>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</si>
  <si>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</si>
  <si>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</si>
  <si>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</si>
  <si>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</si>
  <si>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</si>
  <si>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</si>
  <si>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</si>
  <si>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</si>
  <si>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</si>
  <si>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</si>
  <si>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</si>
  <si>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</si>
  <si>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</si>
  <si>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</si>
  <si>
    <t>Jun 5, 2019- Jun 10, 2019</t>
  </si>
  <si>
    <t>Obsolete</t>
  </si>
  <si>
    <t>Error</t>
  </si>
  <si>
    <t>Consumer Cyclical</t>
  </si>
  <si>
    <t>Specialty Retail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</si>
</sst>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1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CHGetElementNumb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str">
        <f>[1]!RCHGetElementNumber(Ticker,1285)</f>
        <v>Jun 5, 2019- Jun 10, 2019</v>
      </c>
    </row>
    <row r="80" spans="2:7" x14ac:dyDescent="0.2">
      <c r="D80" s="22"/>
      <c r="F80" s="1" t="s">
        <v>77</v>
      </c>
      <c r="G80" s="22" t="str">
        <f>[1]!RCHGetElementNumber(Ticker,938)</f>
        <v>Obsolete</v>
      </c>
    </row>
    <row r="81" spans="3:7" x14ac:dyDescent="0.2">
      <c r="D81" s="22"/>
      <c r="F81" s="1" t="s">
        <v>78</v>
      </c>
      <c r="G81" s="22" t="str">
        <f>[1]!RCHGetElementNumber(Ticker,939)</f>
        <v>Obsolete</v>
      </c>
    </row>
    <row r="82" spans="3:7" x14ac:dyDescent="0.2">
      <c r="D82" s="23"/>
      <c r="E82" s="23"/>
      <c r="F82" s="24" t="s">
        <v>70</v>
      </c>
      <c r="G82" s="23" t="str">
        <f>[1]!RCHGetElementNumber(Ticker,13863)</f>
        <v>Error</v>
      </c>
    </row>
    <row r="83" spans="3:7" x14ac:dyDescent="0.2">
      <c r="D83" s="23"/>
      <c r="E83" s="23"/>
      <c r="F83" s="24" t="s">
        <v>71</v>
      </c>
      <c r="G83" s="23" t="str">
        <f>[1]!RCHGetElementNumber(Ticker,13864)</f>
        <v>Obsolete</v>
      </c>
    </row>
    <row r="84" spans="3:7" x14ac:dyDescent="0.2">
      <c r="D84" s="23"/>
      <c r="E84" s="23"/>
      <c r="F84" s="24" t="s">
        <v>72</v>
      </c>
      <c r="G84" s="23" t="str">
        <f>[1]!RCHGetElementNumber(Ticker,13865)</f>
        <v>Consumer Cyclical</v>
      </c>
    </row>
    <row r="85" spans="3:7" x14ac:dyDescent="0.2">
      <c r="D85" s="23"/>
      <c r="E85" s="23"/>
      <c r="F85" s="24" t="s">
        <v>73</v>
      </c>
      <c r="G85" s="23" t="str">
        <f>[1]!RCHGetElementNumber(Ticker,13866)</f>
        <v>Obsolete</v>
      </c>
    </row>
    <row r="86" spans="3:7" x14ac:dyDescent="0.2">
      <c r="D86" s="23"/>
      <c r="E86" s="23"/>
      <c r="F86" s="24" t="s">
        <v>74</v>
      </c>
      <c r="G86" s="23" t="str">
        <f>[1]!RCHGetElementNumber(Ticker,13867)</f>
        <v>Specialty Retail</v>
      </c>
    </row>
    <row r="87" spans="3:7" x14ac:dyDescent="0.2">
      <c r="D87" s="23"/>
      <c r="E87" s="23"/>
      <c r="F87" s="24" t="s">
        <v>75</v>
      </c>
      <c r="G87" s="23" t="str">
        <f>[1]!RCHGetElementNumber(Ticker,13868)</f>
        <v>Obsolete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46</vt:i4>
      </vt:variant>
      <vt:variant>
        <vt:lpstr>Named Ranges</vt:lpstr>
      </vt:variant>
      <vt:variant>
        <vt:i4>1</vt:i4>
      </vt:variant>
    </vt:vector>
  </HeadingPairs>
  <TitlesOfParts>
    <vt:vector size="47" baseType="lpstr">
      <vt:lpstr>Sheet1</vt:lpstr>
      <vt:lpstr>QADA</vt:lpstr>
      <vt:lpstr>QBAK</vt:lpstr>
      <vt:lpstr>QBIO</vt:lpstr>
      <vt:lpstr>QCCO</vt:lpstr>
      <vt:lpstr>QCOM</vt:lpstr>
      <vt:lpstr>QCRH</vt:lpstr>
      <vt:lpstr>QD</vt:lpstr>
      <vt:lpstr>QDEL</vt:lpstr>
      <vt:lpstr>QEGY</vt:lpstr>
      <vt:lpstr>QEP</vt:lpstr>
      <vt:lpstr>QEPC</vt:lpstr>
      <vt:lpstr>QES</vt:lpstr>
      <vt:lpstr>QFIN</vt:lpstr>
      <vt:lpstr>QGEN</vt:lpstr>
      <vt:lpstr>QHC</vt:lpstr>
      <vt:lpstr>QHYG</vt:lpstr>
      <vt:lpstr>QIWI</vt:lpstr>
      <vt:lpstr>QLYS</vt:lpstr>
      <vt:lpstr>QMCI</vt:lpstr>
      <vt:lpstr>QNBC</vt:lpstr>
      <vt:lpstr>QNST</vt:lpstr>
      <vt:lpstr>QNTA</vt:lpstr>
      <vt:lpstr>QNTO</vt:lpstr>
      <vt:lpstr>QPAG</vt:lpstr>
      <vt:lpstr>QPRC</vt:lpstr>
      <vt:lpstr>QPWR</vt:lpstr>
      <vt:lpstr>QRHC</vt:lpstr>
      <vt:lpstr>QRTEA</vt:lpstr>
      <vt:lpstr>QRVO</vt:lpstr>
      <vt:lpstr>QSEP</vt:lpstr>
      <vt:lpstr>QSMG</vt:lpstr>
      <vt:lpstr>QTMM</vt:lpstr>
      <vt:lpstr>QTNA</vt:lpstr>
      <vt:lpstr>QTNT</vt:lpstr>
      <vt:lpstr>QTRX</vt:lpstr>
      <vt:lpstr>QTS</vt:lpstr>
      <vt:lpstr>QTT</vt:lpstr>
      <vt:lpstr>QTWO</vt:lpstr>
      <vt:lpstr>QTXB</vt:lpstr>
      <vt:lpstr>QUAD</vt:lpstr>
      <vt:lpstr>QUES</vt:lpstr>
      <vt:lpstr>QUIK</vt:lpstr>
      <vt:lpstr>QUMU</vt:lpstr>
      <vt:lpstr>QUOT</vt:lpstr>
      <vt:lpstr>QURE</vt:lpstr>
      <vt:lpstr>Ticker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2015-05-30T04:47:25Z</dcterms:created>
  <dcterms:modified xsi:type="dcterms:W3CDTF">2019-04-04T09:12:21Z</dcterms:modified>
</cp:coreProperties>
</file>