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tocks\AAII Database\Downloaded from AAII\Templates\"/>
    </mc:Choice>
  </mc:AlternateContent>
  <bookViews>
    <workbookView xWindow="2055" yWindow="945" windowWidth="29160" windowHeight="21165" tabRatio="500"/>
  </bookViews>
  <sheets>
    <sheet name="Sheet2" sheetId="2" r:id="rId1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2" l="1"/>
  <c r="D125" i="2"/>
  <c r="E121" i="2"/>
  <c r="D121" i="2"/>
  <c r="D122" i="2"/>
  <c r="M122" i="2"/>
  <c r="L122" i="2"/>
  <c r="K122" i="2"/>
  <c r="K121" i="2"/>
  <c r="J121" i="2"/>
  <c r="J122" i="2"/>
  <c r="F121" i="2"/>
  <c r="E122" i="2"/>
  <c r="G121" i="2"/>
  <c r="F122" i="2"/>
  <c r="H121" i="2"/>
  <c r="G122" i="2"/>
  <c r="I121" i="2"/>
  <c r="H122" i="2"/>
  <c r="I122" i="2"/>
  <c r="D7" i="2"/>
  <c r="D30" i="2"/>
  <c r="D31" i="2"/>
  <c r="D9" i="2"/>
  <c r="D25" i="2"/>
  <c r="D15" i="2"/>
  <c r="D18" i="2"/>
  <c r="D19" i="2"/>
  <c r="D33" i="2"/>
  <c r="D34" i="2"/>
  <c r="D32" i="2"/>
  <c r="F2" i="2"/>
  <c r="F4" i="2"/>
  <c r="F3" i="2"/>
  <c r="F5" i="2"/>
  <c r="D164" i="2"/>
  <c r="D115" i="2"/>
  <c r="E115" i="2"/>
  <c r="F115" i="2"/>
  <c r="G115" i="2"/>
  <c r="D116" i="2"/>
  <c r="E116" i="2"/>
  <c r="F116" i="2"/>
  <c r="G116" i="2"/>
  <c r="D117" i="2"/>
  <c r="D118" i="2"/>
  <c r="D120" i="2"/>
  <c r="D167" i="2"/>
  <c r="D168" i="2"/>
  <c r="D169" i="2"/>
  <c r="D170" i="2"/>
  <c r="D171" i="2"/>
  <c r="D172" i="2"/>
  <c r="D173" i="2"/>
  <c r="D180" i="2"/>
  <c r="D175" i="2"/>
  <c r="D177" i="2"/>
  <c r="D176" i="2"/>
  <c r="D178" i="2"/>
  <c r="D179" i="2"/>
  <c r="D181" i="2"/>
  <c r="D182" i="2"/>
  <c r="F182" i="2"/>
  <c r="F65" i="2"/>
  <c r="D60" i="2"/>
  <c r="D54" i="2"/>
  <c r="D58" i="2"/>
  <c r="D62" i="2"/>
  <c r="D65" i="2"/>
  <c r="D56" i="2"/>
  <c r="D191" i="2"/>
  <c r="F191" i="2"/>
  <c r="D21" i="2"/>
  <c r="D26" i="2"/>
  <c r="D27" i="2"/>
  <c r="D111" i="2"/>
  <c r="N130" i="2"/>
  <c r="M132" i="2"/>
  <c r="L132" i="2"/>
  <c r="AF129" i="2"/>
  <c r="AG129" i="2"/>
  <c r="AH129" i="2"/>
  <c r="AI129" i="2"/>
  <c r="AC129" i="2"/>
  <c r="AD129" i="2"/>
  <c r="AE129" i="2"/>
  <c r="K130" i="2"/>
  <c r="AJ129" i="2"/>
  <c r="AK129" i="2"/>
  <c r="AL129" i="2"/>
  <c r="AM129" i="2"/>
  <c r="L130" i="2"/>
  <c r="K132" i="2"/>
  <c r="Y129" i="2"/>
  <c r="Z129" i="2"/>
  <c r="AA129" i="2"/>
  <c r="AB129" i="2"/>
  <c r="J130" i="2"/>
  <c r="J132" i="2"/>
  <c r="U129" i="2"/>
  <c r="V129" i="2"/>
  <c r="W129" i="2"/>
  <c r="X129" i="2"/>
  <c r="I130" i="2"/>
  <c r="I132" i="2"/>
  <c r="Q129" i="2"/>
  <c r="R129" i="2"/>
  <c r="S129" i="2"/>
  <c r="T129" i="2"/>
  <c r="H130" i="2"/>
  <c r="H132" i="2"/>
  <c r="M129" i="2"/>
  <c r="N129" i="2"/>
  <c r="O129" i="2"/>
  <c r="P129" i="2"/>
  <c r="G130" i="2"/>
  <c r="G132" i="2"/>
  <c r="I129" i="2"/>
  <c r="J129" i="2"/>
  <c r="K129" i="2"/>
  <c r="L129" i="2"/>
  <c r="F130" i="2"/>
  <c r="F132" i="2"/>
  <c r="E129" i="2"/>
  <c r="F129" i="2"/>
  <c r="G129" i="2"/>
  <c r="H129" i="2"/>
  <c r="E130" i="2"/>
  <c r="E132" i="2"/>
  <c r="AU129" i="2"/>
  <c r="AT129" i="2"/>
  <c r="AS129" i="2"/>
  <c r="AR129" i="2"/>
  <c r="AQ129" i="2"/>
  <c r="AP129" i="2"/>
  <c r="AO129" i="2"/>
  <c r="AN129" i="2"/>
  <c r="D129" i="2"/>
  <c r="D130" i="2"/>
  <c r="D132" i="2"/>
  <c r="M130" i="2"/>
  <c r="E128" i="2"/>
  <c r="D138" i="2"/>
  <c r="D23" i="2"/>
  <c r="D162" i="2"/>
  <c r="E162" i="2"/>
  <c r="F162" i="2"/>
  <c r="G162" i="2"/>
  <c r="H162" i="2"/>
  <c r="I162" i="2"/>
  <c r="J162" i="2"/>
  <c r="K162" i="2"/>
  <c r="L162" i="2"/>
  <c r="M162" i="2"/>
  <c r="D161" i="2"/>
  <c r="E161" i="2"/>
  <c r="F161" i="2"/>
  <c r="G161" i="2"/>
  <c r="H161" i="2"/>
  <c r="I161" i="2"/>
  <c r="J161" i="2"/>
  <c r="K161" i="2"/>
  <c r="L161" i="2"/>
  <c r="M161" i="2"/>
  <c r="D159" i="2"/>
  <c r="E159" i="2"/>
  <c r="F159" i="2"/>
  <c r="G159" i="2"/>
  <c r="H159" i="2"/>
  <c r="I159" i="2"/>
  <c r="J159" i="2"/>
  <c r="K159" i="2"/>
  <c r="L159" i="2"/>
  <c r="M159" i="2"/>
  <c r="D160" i="2"/>
  <c r="E160" i="2"/>
  <c r="F160" i="2"/>
  <c r="G160" i="2"/>
  <c r="H160" i="2"/>
  <c r="M160" i="2"/>
  <c r="L160" i="2"/>
  <c r="K160" i="2"/>
  <c r="J160" i="2"/>
  <c r="I160" i="2"/>
  <c r="M123" i="2"/>
  <c r="L123" i="2"/>
  <c r="K123" i="2"/>
  <c r="J123" i="2"/>
  <c r="I123" i="2"/>
  <c r="H123" i="2"/>
  <c r="G123" i="2"/>
  <c r="F123" i="2"/>
  <c r="E123" i="2"/>
  <c r="D123" i="2"/>
  <c r="D85" i="2"/>
  <c r="D128" i="2"/>
  <c r="D13" i="2"/>
  <c r="D197" i="2"/>
  <c r="F197" i="2"/>
  <c r="AN137" i="2"/>
  <c r="AO137" i="2"/>
  <c r="AP137" i="2"/>
  <c r="AQ137" i="2"/>
  <c r="M141" i="2"/>
  <c r="AN138" i="2"/>
  <c r="AO138" i="2"/>
  <c r="AP138" i="2"/>
  <c r="AQ138" i="2"/>
  <c r="M142" i="2"/>
  <c r="M143" i="2"/>
  <c r="AR137" i="2"/>
  <c r="AS137" i="2"/>
  <c r="AT137" i="2"/>
  <c r="AU137" i="2"/>
  <c r="N141" i="2"/>
  <c r="AR138" i="2"/>
  <c r="AS138" i="2"/>
  <c r="AT138" i="2"/>
  <c r="AU138" i="2"/>
  <c r="N142" i="2"/>
  <c r="N143" i="2"/>
  <c r="M145" i="2"/>
  <c r="AJ137" i="2"/>
  <c r="AK137" i="2"/>
  <c r="AL137" i="2"/>
  <c r="AM137" i="2"/>
  <c r="L141" i="2"/>
  <c r="AJ138" i="2"/>
  <c r="AK138" i="2"/>
  <c r="AL138" i="2"/>
  <c r="AM138" i="2"/>
  <c r="L142" i="2"/>
  <c r="L143" i="2"/>
  <c r="L145" i="2"/>
  <c r="AF137" i="2"/>
  <c r="AG137" i="2"/>
  <c r="AH137" i="2"/>
  <c r="AI137" i="2"/>
  <c r="K141" i="2"/>
  <c r="AF138" i="2"/>
  <c r="AG138" i="2"/>
  <c r="AH138" i="2"/>
  <c r="AI138" i="2"/>
  <c r="K142" i="2"/>
  <c r="K143" i="2"/>
  <c r="K145" i="2"/>
  <c r="AB137" i="2"/>
  <c r="AC137" i="2"/>
  <c r="AD137" i="2"/>
  <c r="AE137" i="2"/>
  <c r="J141" i="2"/>
  <c r="AB138" i="2"/>
  <c r="AC138" i="2"/>
  <c r="AD138" i="2"/>
  <c r="AE138" i="2"/>
  <c r="J142" i="2"/>
  <c r="J143" i="2"/>
  <c r="J145" i="2"/>
  <c r="X137" i="2"/>
  <c r="Y137" i="2"/>
  <c r="Z137" i="2"/>
  <c r="AA137" i="2"/>
  <c r="I141" i="2"/>
  <c r="X138" i="2"/>
  <c r="Y138" i="2"/>
  <c r="Z138" i="2"/>
  <c r="AA138" i="2"/>
  <c r="I142" i="2"/>
  <c r="I143" i="2"/>
  <c r="I145" i="2"/>
  <c r="T137" i="2"/>
  <c r="U137" i="2"/>
  <c r="V137" i="2"/>
  <c r="W137" i="2"/>
  <c r="H141" i="2"/>
  <c r="T138" i="2"/>
  <c r="U138" i="2"/>
  <c r="V138" i="2"/>
  <c r="W138" i="2"/>
  <c r="H142" i="2"/>
  <c r="H143" i="2"/>
  <c r="H145" i="2"/>
  <c r="P137" i="2"/>
  <c r="Q137" i="2"/>
  <c r="R137" i="2"/>
  <c r="S137" i="2"/>
  <c r="G141" i="2"/>
  <c r="P138" i="2"/>
  <c r="Q138" i="2"/>
  <c r="R138" i="2"/>
  <c r="S138" i="2"/>
  <c r="G142" i="2"/>
  <c r="G143" i="2"/>
  <c r="G145" i="2"/>
  <c r="L137" i="2"/>
  <c r="M137" i="2"/>
  <c r="N137" i="2"/>
  <c r="O137" i="2"/>
  <c r="F141" i="2"/>
  <c r="L138" i="2"/>
  <c r="M138" i="2"/>
  <c r="N138" i="2"/>
  <c r="O138" i="2"/>
  <c r="F142" i="2"/>
  <c r="F143" i="2"/>
  <c r="F145" i="2"/>
  <c r="H137" i="2"/>
  <c r="I137" i="2"/>
  <c r="J137" i="2"/>
  <c r="K137" i="2"/>
  <c r="E141" i="2"/>
  <c r="H138" i="2"/>
  <c r="I138" i="2"/>
  <c r="J138" i="2"/>
  <c r="K138" i="2"/>
  <c r="E142" i="2"/>
  <c r="E143" i="2"/>
  <c r="E145" i="2"/>
  <c r="D137" i="2"/>
  <c r="E137" i="2"/>
  <c r="F137" i="2"/>
  <c r="G137" i="2"/>
  <c r="D141" i="2"/>
  <c r="E138" i="2"/>
  <c r="F138" i="2"/>
  <c r="G138" i="2"/>
  <c r="D142" i="2"/>
  <c r="D143" i="2"/>
  <c r="D145" i="2"/>
  <c r="D93" i="2"/>
  <c r="D92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I118" i="2"/>
  <c r="D139" i="2"/>
  <c r="D94" i="2"/>
  <c r="D69" i="2"/>
  <c r="F69" i="2"/>
  <c r="D99" i="2"/>
  <c r="D100" i="2"/>
  <c r="F100" i="2"/>
  <c r="AU115" i="2"/>
  <c r="AT115" i="2"/>
  <c r="AS115" i="2"/>
  <c r="AR115" i="2"/>
  <c r="AQ115" i="2"/>
  <c r="AP115" i="2"/>
  <c r="AO115" i="2"/>
  <c r="AN115" i="2"/>
  <c r="AM115" i="2"/>
  <c r="AL115" i="2"/>
  <c r="AH115" i="2"/>
  <c r="AK115" i="2"/>
  <c r="AJ115" i="2"/>
  <c r="AI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M51" i="2"/>
  <c r="L51" i="2"/>
  <c r="K51" i="2"/>
  <c r="J51" i="2"/>
  <c r="I51" i="2"/>
  <c r="H51" i="2"/>
  <c r="G51" i="2"/>
  <c r="F51" i="2"/>
  <c r="E51" i="2"/>
  <c r="M49" i="2"/>
  <c r="L49" i="2"/>
  <c r="K49" i="2"/>
  <c r="J49" i="2"/>
  <c r="I49" i="2"/>
  <c r="H49" i="2"/>
  <c r="G49" i="2"/>
  <c r="F49" i="2"/>
  <c r="E49" i="2"/>
  <c r="M42" i="2"/>
  <c r="L42" i="2"/>
  <c r="K42" i="2"/>
  <c r="J42" i="2"/>
  <c r="I42" i="2"/>
  <c r="H42" i="2"/>
  <c r="M41" i="2"/>
  <c r="L41" i="2"/>
  <c r="K41" i="2"/>
  <c r="J41" i="2"/>
  <c r="I41" i="2"/>
  <c r="H41" i="2"/>
  <c r="M40" i="2"/>
  <c r="L40" i="2"/>
  <c r="K40" i="2"/>
  <c r="J40" i="2"/>
  <c r="I40" i="2"/>
  <c r="H40" i="2"/>
  <c r="M39" i="2"/>
  <c r="L39" i="2"/>
  <c r="K39" i="2"/>
  <c r="J39" i="2"/>
  <c r="I39" i="2"/>
  <c r="H39" i="2"/>
  <c r="D66" i="2"/>
  <c r="D68" i="2"/>
  <c r="F68" i="2"/>
  <c r="D71" i="2"/>
  <c r="D74" i="2"/>
  <c r="D75" i="2"/>
  <c r="D44" i="2"/>
  <c r="D46" i="2"/>
  <c r="D45" i="2"/>
  <c r="D47" i="2"/>
  <c r="D76" i="2"/>
  <c r="D77" i="2"/>
  <c r="D73" i="2"/>
  <c r="D67" i="2"/>
  <c r="F66" i="2"/>
  <c r="D78" i="2"/>
  <c r="D83" i="2"/>
  <c r="D190" i="2"/>
  <c r="D189" i="2"/>
  <c r="D79" i="2"/>
  <c r="D81" i="2"/>
  <c r="D87" i="2"/>
  <c r="F87" i="2"/>
  <c r="D49" i="2"/>
  <c r="D50" i="2"/>
  <c r="D70" i="2"/>
  <c r="L121" i="2"/>
  <c r="M120" i="2"/>
  <c r="L120" i="2"/>
  <c r="K120" i="2"/>
  <c r="I120" i="2"/>
  <c r="H120" i="2"/>
  <c r="G120" i="2"/>
  <c r="F120" i="2"/>
  <c r="H117" i="2"/>
  <c r="H118" i="2"/>
  <c r="E120" i="2"/>
  <c r="J120" i="2"/>
  <c r="G118" i="2"/>
  <c r="F118" i="2"/>
  <c r="E118" i="2"/>
  <c r="D153" i="2"/>
  <c r="G117" i="2"/>
  <c r="F117" i="2"/>
  <c r="E117" i="2"/>
  <c r="D95" i="2"/>
  <c r="D96" i="2"/>
  <c r="F96" i="2"/>
  <c r="D89" i="2"/>
  <c r="D90" i="2"/>
  <c r="D82" i="2"/>
  <c r="D155" i="2"/>
  <c r="D42" i="2"/>
  <c r="D134" i="2"/>
  <c r="E134" i="2"/>
  <c r="D135" i="2"/>
  <c r="M153" i="2"/>
  <c r="M155" i="2"/>
  <c r="M154" i="2"/>
  <c r="M156" i="2"/>
  <c r="N153" i="2"/>
  <c r="N155" i="2"/>
  <c r="N154" i="2"/>
  <c r="N156" i="2"/>
  <c r="M157" i="2"/>
  <c r="L153" i="2"/>
  <c r="L155" i="2"/>
  <c r="L154" i="2"/>
  <c r="L156" i="2"/>
  <c r="L157" i="2"/>
  <c r="K153" i="2"/>
  <c r="K155" i="2"/>
  <c r="K154" i="2"/>
  <c r="K156" i="2"/>
  <c r="K157" i="2"/>
  <c r="J153" i="2"/>
  <c r="J155" i="2"/>
  <c r="J154" i="2"/>
  <c r="J156" i="2"/>
  <c r="J157" i="2"/>
  <c r="I153" i="2"/>
  <c r="I155" i="2"/>
  <c r="I154" i="2"/>
  <c r="I156" i="2"/>
  <c r="I157" i="2"/>
  <c r="H153" i="2"/>
  <c r="H155" i="2"/>
  <c r="H154" i="2"/>
  <c r="H156" i="2"/>
  <c r="H157" i="2"/>
  <c r="G153" i="2"/>
  <c r="G155" i="2"/>
  <c r="G154" i="2"/>
  <c r="G156" i="2"/>
  <c r="G157" i="2"/>
  <c r="F153" i="2"/>
  <c r="F155" i="2"/>
  <c r="F154" i="2"/>
  <c r="F156" i="2"/>
  <c r="F157" i="2"/>
  <c r="E153" i="2"/>
  <c r="E155" i="2"/>
  <c r="E154" i="2"/>
  <c r="E156" i="2"/>
  <c r="E157" i="2"/>
  <c r="D154" i="2"/>
  <c r="D156" i="2"/>
  <c r="D157" i="2"/>
  <c r="F147" i="2"/>
  <c r="F149" i="2"/>
  <c r="F148" i="2"/>
  <c r="F150" i="2"/>
  <c r="G147" i="2"/>
  <c r="G149" i="2"/>
  <c r="G148" i="2"/>
  <c r="G150" i="2"/>
  <c r="F151" i="2"/>
  <c r="E147" i="2"/>
  <c r="E149" i="2"/>
  <c r="E148" i="2"/>
  <c r="E150" i="2"/>
  <c r="E151" i="2"/>
  <c r="D147" i="2"/>
  <c r="D149" i="2"/>
  <c r="D148" i="2"/>
  <c r="D150" i="2"/>
  <c r="D151" i="2"/>
  <c r="M147" i="2"/>
  <c r="M149" i="2"/>
  <c r="M148" i="2"/>
  <c r="M150" i="2"/>
  <c r="N147" i="2"/>
  <c r="N149" i="2"/>
  <c r="N148" i="2"/>
  <c r="N150" i="2"/>
  <c r="M151" i="2"/>
  <c r="L147" i="2"/>
  <c r="L149" i="2"/>
  <c r="L148" i="2"/>
  <c r="L150" i="2"/>
  <c r="L151" i="2"/>
  <c r="K147" i="2"/>
  <c r="K149" i="2"/>
  <c r="K148" i="2"/>
  <c r="K150" i="2"/>
  <c r="K151" i="2"/>
  <c r="J147" i="2"/>
  <c r="J149" i="2"/>
  <c r="J148" i="2"/>
  <c r="J150" i="2"/>
  <c r="J151" i="2"/>
  <c r="I147" i="2"/>
  <c r="I149" i="2"/>
  <c r="I148" i="2"/>
  <c r="I150" i="2"/>
  <c r="I151" i="2"/>
  <c r="H147" i="2"/>
  <c r="H149" i="2"/>
  <c r="H148" i="2"/>
  <c r="H150" i="2"/>
  <c r="H151" i="2"/>
  <c r="G151" i="2"/>
  <c r="D84" i="2"/>
  <c r="F83" i="2"/>
  <c r="F70" i="2"/>
  <c r="D97" i="2"/>
  <c r="F97" i="2"/>
  <c r="D86" i="2"/>
  <c r="F86" i="2"/>
  <c r="M38" i="2"/>
  <c r="L38" i="2"/>
  <c r="K38" i="2"/>
  <c r="J38" i="2"/>
  <c r="I38" i="2"/>
  <c r="H38" i="2"/>
  <c r="G42" i="2"/>
  <c r="G41" i="2"/>
  <c r="G40" i="2"/>
  <c r="G39" i="2"/>
  <c r="G38" i="2"/>
  <c r="F42" i="2"/>
  <c r="F41" i="2"/>
  <c r="F40" i="2"/>
  <c r="F39" i="2"/>
  <c r="F38" i="2"/>
  <c r="E42" i="2"/>
  <c r="E41" i="2"/>
  <c r="E40" i="2"/>
  <c r="E39" i="2"/>
  <c r="E38" i="2"/>
  <c r="D41" i="2"/>
  <c r="D40" i="2"/>
  <c r="D39" i="2"/>
  <c r="D38" i="2"/>
  <c r="L128" i="2"/>
  <c r="M128" i="2"/>
  <c r="K128" i="2"/>
  <c r="J128" i="2"/>
  <c r="H128" i="2"/>
  <c r="I128" i="2"/>
  <c r="G128" i="2"/>
  <c r="F128" i="2"/>
  <c r="D163" i="2"/>
  <c r="D51" i="2"/>
  <c r="M135" i="2"/>
  <c r="L134" i="2"/>
  <c r="M134" i="2"/>
  <c r="L135" i="2"/>
  <c r="K134" i="2"/>
  <c r="K135" i="2"/>
  <c r="J134" i="2"/>
  <c r="J135" i="2"/>
  <c r="I134" i="2"/>
  <c r="I135" i="2"/>
  <c r="H134" i="2"/>
  <c r="H135" i="2"/>
  <c r="G134" i="2"/>
  <c r="G135" i="2"/>
  <c r="F134" i="2"/>
  <c r="F135" i="2"/>
  <c r="E135" i="2"/>
  <c r="N134" i="2"/>
  <c r="N121" i="2"/>
  <c r="M121" i="2"/>
  <c r="M124" i="2"/>
  <c r="L124" i="2"/>
  <c r="K124" i="2"/>
  <c r="J124" i="2"/>
  <c r="I124" i="2"/>
  <c r="H124" i="2"/>
  <c r="G124" i="2"/>
  <c r="F124" i="2"/>
  <c r="E124" i="2"/>
  <c r="D124" i="2"/>
  <c r="N123" i="2"/>
  <c r="N128" i="2"/>
  <c r="D17" i="2"/>
  <c r="E111" i="2"/>
  <c r="F111" i="2"/>
  <c r="G111" i="2"/>
  <c r="H111" i="2"/>
  <c r="I111" i="2"/>
  <c r="J111" i="2"/>
  <c r="K111" i="2"/>
  <c r="L111" i="2"/>
  <c r="M111" i="2"/>
  <c r="M112" i="2"/>
  <c r="N111" i="2"/>
  <c r="N112" i="2"/>
  <c r="M113" i="2"/>
  <c r="L112" i="2"/>
  <c r="L113" i="2"/>
  <c r="K112" i="2"/>
  <c r="K113" i="2"/>
  <c r="J112" i="2"/>
  <c r="J113" i="2"/>
  <c r="I112" i="2"/>
  <c r="I113" i="2"/>
  <c r="H112" i="2"/>
  <c r="H113" i="2"/>
  <c r="G112" i="2"/>
  <c r="G113" i="2"/>
  <c r="F112" i="2"/>
  <c r="F113" i="2"/>
  <c r="E112" i="2"/>
  <c r="E113" i="2"/>
  <c r="D112" i="2"/>
  <c r="D113" i="2"/>
  <c r="D72" i="2"/>
  <c r="E13" i="2"/>
</calcChain>
</file>

<file path=xl/comments1.xml><?xml version="1.0" encoding="utf-8"?>
<comments xmlns="http://schemas.openxmlformats.org/spreadsheetml/2006/main">
  <authors>
    <author>AAM</author>
  </authors>
  <commentList>
    <comment ref="F44" authorId="0" shapeId="0">
      <text>
        <r>
          <rPr>
            <b/>
            <sz val="9"/>
            <color indexed="81"/>
            <rFont val="Verdana"/>
            <family val="2"/>
          </rPr>
          <t>from key stastics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65" authorId="0" shapeId="0">
      <text>
        <r>
          <rPr>
            <b/>
            <sz val="9"/>
            <color indexed="81"/>
            <rFont val="Verdana"/>
            <family val="2"/>
          </rPr>
          <t>"One Up on Wall Street", by Peter Lynch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66" authorId="0" shapeId="0">
      <text>
        <r>
          <rPr>
            <b/>
            <sz val="9"/>
            <color indexed="81"/>
            <rFont val="Verdana"/>
            <family val="2"/>
          </rPr>
          <t>from my file:  investing/Deciles/performance, 2016-01-17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68" authorId="0" shapeId="0">
      <text>
        <r>
          <rPr>
            <b/>
            <sz val="9"/>
            <color indexed="81"/>
            <rFont val="Verdana"/>
            <family val="2"/>
          </rPr>
          <t>p. 199, 2nd &amp; 3rd paragraphs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70" authorId="0" shapeId="0">
      <text>
        <r>
          <rPr>
            <b/>
            <sz val="9"/>
            <color indexed="81"/>
            <rFont val="Verdana"/>
            <family val="2"/>
          </rPr>
          <t>p. 199, last paragraph of "The Price/Earnings Ratio"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81" authorId="0" shapeId="0">
      <text>
        <r>
          <rPr>
            <b/>
            <sz val="9"/>
            <color indexed="81"/>
            <rFont val="Verdana"/>
            <family val="2"/>
          </rPr>
          <t>cash + short term investments - long term debt
p. 194, paragraphs 4 &amp; 6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82" authorId="0" shapeId="0">
      <text>
        <r>
          <rPr>
            <b/>
            <sz val="9"/>
            <color indexed="81"/>
            <rFont val="Verdana"/>
            <family val="2"/>
          </rPr>
          <t>p. 197, 2nd paragraph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83" authorId="0" shapeId="0">
      <text>
        <r>
          <rPr>
            <b/>
            <sz val="9"/>
            <color indexed="81"/>
            <rFont val="Verdana"/>
            <family val="2"/>
          </rPr>
          <t>p. 202, 1st paragraph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86" authorId="0" shapeId="0">
      <text>
        <r>
          <rPr>
            <b/>
            <sz val="9"/>
            <color indexed="81"/>
            <rFont val="Verdana"/>
            <family val="2"/>
          </rPr>
          <t>p. 202, 2nd paragraph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87" authorId="0" shapeId="0">
      <text>
        <r>
          <rPr>
            <b/>
            <sz val="9"/>
            <color indexed="81"/>
            <rFont val="Verdana"/>
            <family val="2"/>
          </rPr>
          <t xml:space="preserve">from my file:  investing/Deciles/performance, 2016-01-17 </t>
        </r>
      </text>
    </comment>
    <comment ref="I92" authorId="0" shapeId="0">
      <text>
        <r>
          <rPr>
            <b/>
            <sz val="9"/>
            <color indexed="81"/>
            <rFont val="Verdana"/>
            <family val="2"/>
          </rPr>
          <t>p. 215, 2nd paragraph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96" authorId="0" shapeId="0">
      <text>
        <r>
          <rPr>
            <b/>
            <sz val="9"/>
            <color indexed="81"/>
            <rFont val="Verdana"/>
            <family val="2"/>
          </rPr>
          <t>p. 214, 3rd paragraph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100" authorId="0" shapeId="0">
      <text>
        <r>
          <rPr>
            <b/>
            <sz val="9"/>
            <color indexed="81"/>
            <rFont val="Verdana"/>
            <family val="2"/>
          </rPr>
          <t>p. 216, 4th &amp; 5th paragraphs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M111" authorId="0" shapeId="0">
      <text>
        <r>
          <rPr>
            <b/>
            <sz val="9"/>
            <color indexed="81"/>
            <rFont val="Verdana"/>
            <family val="2"/>
          </rPr>
          <t>"Rule #1: The Simple Strategy for Getting Rich--in Only 15 Minutes a Week!", by Phil Town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166" authorId="0" shapeId="0">
      <text>
        <r>
          <rPr>
            <b/>
            <sz val="9"/>
            <color indexed="81"/>
            <rFont val="Verdana"/>
            <family val="2"/>
          </rPr>
          <t>"The Little Book That Still Beats the Market", by Joel Greenblatt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16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17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182" authorId="0" shapeId="0">
      <text>
        <r>
          <rPr>
            <b/>
            <sz val="9"/>
            <color indexed="81"/>
            <rFont val="Verdana"/>
            <family val="2"/>
          </rPr>
          <t>from my file:  investing/Deciles/Greenblatt deciles, 2016--01-25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191" authorId="0" shapeId="0">
      <text>
        <r>
          <rPr>
            <b/>
            <sz val="9"/>
            <color indexed="81"/>
            <rFont val="Verdana"/>
            <family val="2"/>
          </rPr>
          <t>p. 302, "What Works on Wall Street: The Classic Guide to the Best-Performing Investment Strategies of All Time", by James O'shaughnessy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I197" authorId="0" shapeId="0">
      <text>
        <r>
          <rPr>
            <b/>
            <sz val="9"/>
            <color indexed="81"/>
            <rFont val="Verdana"/>
            <family val="2"/>
          </rPr>
          <t>email dated 11/11/2013:  General rule of thumb is avoid stock with less than 1m shares/day avg. volume, unless you have a compelling reason to buy and hold for an extended period of time.  I've seen as much as a 10% spread between the bid and the ask on thinly traded stocks.  Personally I avoid listed stocks with &lt; 100,000 shares/day.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<sst xmlns="http://schemas.openxmlformats.org/spreadsheetml/2006/main" count="165" uniqueCount="147">
  <si>
    <t>Stock Symbol:</t>
  </si>
  <si>
    <t>Stock price on date of most recent Key Statistics:</t>
  </si>
  <si>
    <t>Row # in historical for that date:</t>
  </si>
  <si>
    <t>Market Capitalization on  date Key Statistics collected:</t>
  </si>
  <si>
    <t>Today:</t>
  </si>
  <si>
    <t>&lt;&lt;--- obtains the date from the stock file, not this file</t>
  </si>
  <si>
    <t>&lt;&lt;--- uses the date in this file (cell D8)</t>
  </si>
  <si>
    <t>Row # in historical for closest to Date in cell D16:</t>
  </si>
  <si>
    <t>Market Capitalization using most recent listed stock price: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</si>
  <si>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</si>
  <si>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dividend rate</t>
  </si>
  <si>
    <t>assets</t>
  </si>
  <si>
    <t>(growth+dividend)/pe ratio</t>
  </si>
  <si>
    <t>PE adjusted (stock price - net cash position)</t>
  </si>
  <si>
    <t>price to sales ratio</t>
  </si>
  <si>
    <t>growth of earnings versus PE</t>
  </si>
  <si>
    <t>trailing PE</t>
  </si>
  <si>
    <t>factor for adjusting PE for net cash</t>
  </si>
  <si>
    <t>net cash per share</t>
  </si>
  <si>
    <t>long term debt</t>
  </si>
  <si>
    <t>equity</t>
  </si>
  <si>
    <t>short term debt</t>
  </si>
  <si>
    <t>equity to debt ratio</t>
  </si>
  <si>
    <t>change in cash flow</t>
  </si>
  <si>
    <t>number of shares outstanding</t>
  </si>
  <si>
    <t>cash flow per share</t>
  </si>
  <si>
    <t>return on cash flow</t>
  </si>
  <si>
    <t>% increase in inventory over last year</t>
  </si>
  <si>
    <t>% increase in sales over last year</t>
  </si>
  <si>
    <t>Return on Investment Capital (ROIC, ROC, or ROI) &gt; 10% per year</t>
  </si>
  <si>
    <t>sales or revenue growth rate &gt; 10% per year</t>
  </si>
  <si>
    <t>earnings per share growth rate &gt; 10% per year</t>
  </si>
  <si>
    <t>adjusted stock prices for last 10 years</t>
  </si>
  <si>
    <t>find the column (&gt;E)  containing "Period Ending"</t>
  </si>
  <si>
    <t>insider ownership of at least 5%</t>
  </si>
  <si>
    <t>rising book value</t>
  </si>
  <si>
    <t>Joel Greenblatt Analysis</t>
  </si>
  <si>
    <t>EBIT</t>
  </si>
  <si>
    <t>Enterprise Value</t>
  </si>
  <si>
    <t>EBIT/Enterprise Value</t>
  </si>
  <si>
    <t>rising profit margins (management efficiency)</t>
  </si>
  <si>
    <t xml:space="preserve">Net Fixed Assets </t>
  </si>
  <si>
    <t xml:space="preserve">Net Working Capital </t>
  </si>
  <si>
    <t>EBIT/(Net Working Capital + Net Fixed Assets)</t>
  </si>
  <si>
    <t>Lynch Analysis:</t>
  </si>
  <si>
    <t>rising operating margins</t>
  </si>
  <si>
    <t>Date when most recent Key Statistics collected:</t>
  </si>
  <si>
    <t xml:space="preserve">more than $200 million in market cap </t>
  </si>
  <si>
    <t>7 signs of a winner.doc, by  Rex Moore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</si>
  <si>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</si>
  <si>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</si>
  <si>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</si>
  <si>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</si>
  <si>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</si>
  <si>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</si>
  <si>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</si>
  <si>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the windup:</t>
  </si>
  <si>
    <t>the pitch:</t>
  </si>
  <si>
    <t>Double-digit rising sales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</si>
  <si>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</si>
  <si>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</si>
  <si>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</si>
  <si>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</si>
  <si>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</si>
  <si>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ROIC (per Sundeep) &gt; 10% per year</t>
  </si>
  <si>
    <t>annual revenue, ttq</t>
  </si>
  <si>
    <t>stockholder equity</t>
  </si>
  <si>
    <t>cash position change</t>
  </si>
  <si>
    <t>overall cash position should be &gt; 0</t>
  </si>
  <si>
    <t>PE, at current price</t>
  </si>
  <si>
    <t xml:space="preserve">   Market Capitalization</t>
  </si>
  <si>
    <t>also in Phil Town</t>
  </si>
  <si>
    <t>listed</t>
  </si>
  <si>
    <t>Rex Moore Analysis</t>
  </si>
  <si>
    <t>price to sales</t>
  </si>
  <si>
    <t>price to earnings</t>
  </si>
  <si>
    <t>shareholder yield</t>
  </si>
  <si>
    <t>listed under Lynch</t>
  </si>
  <si>
    <t>O'Shaughnessy Additions:</t>
  </si>
  <si>
    <t>Equity growth rate &gt; 10% per year</t>
  </si>
  <si>
    <t>Phil Town Analysis (in order of priority)</t>
  </si>
  <si>
    <t>PEG (5 yr expected)</t>
  </si>
  <si>
    <t>cash flow growth rate &gt; 10% per year</t>
  </si>
  <si>
    <t>operating free cash flow (key statistics) growth rate &gt; 10% per year</t>
  </si>
  <si>
    <t>levered free cash flow (key statistics) growth rate &gt; 10% per year</t>
  </si>
  <si>
    <t>long term debt change (should be negative)</t>
  </si>
  <si>
    <t>net cash position</t>
  </si>
  <si>
    <t>number of shares outstanding, text</t>
  </si>
  <si>
    <t>capital spending</t>
  </si>
  <si>
    <t>operating cash flow</t>
  </si>
  <si>
    <t>free cash flow per share</t>
  </si>
  <si>
    <t>operating income or loss</t>
  </si>
  <si>
    <t xml:space="preserve"> Income Tax Expense</t>
  </si>
  <si>
    <t>dividend yield, trailing</t>
  </si>
  <si>
    <t>cash + short term investments</t>
  </si>
  <si>
    <t>I'm pretty sure this is wrong because it's the total cash flow, not the free cash flow</t>
  </si>
  <si>
    <t>cash and cash equivalents</t>
  </si>
  <si>
    <t>short term investments</t>
  </si>
  <si>
    <t>Most recent stock price in Excel file:</t>
  </si>
  <si>
    <t>Dan Caldwell Addition:</t>
  </si>
  <si>
    <t>Avg Vol (3 month)</t>
  </si>
  <si>
    <t>free cash flow</t>
  </si>
  <si>
    <t>free cash flow (Lynch calculation)</t>
  </si>
  <si>
    <t>Enterprise Value TODAY</t>
  </si>
  <si>
    <t>Total Assets</t>
  </si>
  <si>
    <t>total current assets</t>
  </si>
  <si>
    <t>goodwill</t>
  </si>
  <si>
    <t>intangible assets</t>
  </si>
  <si>
    <t>magic formula sum</t>
  </si>
  <si>
    <t>Rising book value</t>
  </si>
  <si>
    <t>Rising free cash flow</t>
  </si>
  <si>
    <t>Rex Moore prefers large-cap or mega-cap stocks</t>
  </si>
  <si>
    <t>cash and cash equivalents, previous quarter</t>
  </si>
  <si>
    <t>short term investments, previous quarter</t>
  </si>
  <si>
    <t>quarterly operating cash flow</t>
  </si>
  <si>
    <t>annual operating cash flow, ttm</t>
  </si>
  <si>
    <t>quarterly capital spending</t>
  </si>
  <si>
    <t>annual capital spending, ttm</t>
  </si>
  <si>
    <t>quarterly free cash flow</t>
  </si>
  <si>
    <t>annual operating free cash flow, ttm</t>
  </si>
  <si>
    <t>free cash flow (Lynch method) growth rate &gt; 10% per year</t>
  </si>
  <si>
    <t>EBITDA/EV</t>
  </si>
  <si>
    <t>price to cash flow</t>
  </si>
  <si>
    <t>Lynch calls this "return on cash flow" (cell D81)</t>
  </si>
  <si>
    <t>EV to Revenue</t>
  </si>
  <si>
    <t>not part of O'Shaughnessey method, but an available key statistic</t>
  </si>
  <si>
    <t>annual earnings/share, ttm</t>
  </si>
  <si>
    <t>row of most recent stock price in Excel file:</t>
  </si>
  <si>
    <t>date of row of most recent stock price:</t>
  </si>
  <si>
    <t>revenue</t>
  </si>
  <si>
    <t>annual revenue, ttm</t>
  </si>
  <si>
    <t>earnings growth rate, quarter to same quarter last year</t>
  </si>
  <si>
    <t>what is it's column number?</t>
  </si>
  <si>
    <t>add a footnote that this is based on a different quarter than the quarter last year</t>
  </si>
  <si>
    <t>how many columns between that column and column E?</t>
  </si>
  <si>
    <t>C</t>
  </si>
  <si>
    <t>Q</t>
  </si>
  <si>
    <t>A</t>
  </si>
  <si>
    <t>what is the earnings growth?</t>
  </si>
  <si>
    <t>=power(A/C,4/Q)-1</t>
  </si>
  <si>
    <t>lookup value of the first positive black diamond between $I$76 and the location where annual financial data begins</t>
  </si>
  <si>
    <t>what is the value of the current black diamond?</t>
  </si>
  <si>
    <t>if most recent date isn't the first annual date, use the recent date</t>
  </si>
  <si>
    <t>otherwise use the first annual date</t>
  </si>
  <si>
    <t>if the most recent date has blank data, use the 2nd most recent date</t>
  </si>
  <si>
    <t>=IF(indirect(D11&amp;"E90")=indirect(D11&amp;" "),IF(ISNUMBER(INDIRECT(D11&amp;"E160")),D27,D21),whatever is the first annual date)</t>
  </si>
  <si>
    <t>RAX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</si>
</sst>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#,##0.00;[Red]\-&quot;$&quot;#,##0.00"/>
    <numFmt numFmtId="165" formatCode="_-&quot;$&quot;* #,##0.00_-;\-&quot;$&quot;* #,##0.00_-;_-&quot;$&quot;* &quot;-&quot;??_-;_-@_-"/>
    <numFmt numFmtId="166" formatCode="#,##0.000"/>
    <numFmt numFmtId="167" formatCode="0_);[Red]\(0\)"/>
    <numFmt numFmtId="168" formatCode="0.00%;[Red]\-0.00%"/>
    <numFmt numFmtId="169" formatCode="#,##0.00_ ;\-#,##0.00\ "/>
    <numFmt numFmtId="170" formatCode="#,##0_ ;\-#,##0\ "/>
    <numFmt numFmtId="171" formatCode="#,##0_ ;[Red]\-#,##0\ "/>
    <numFmt numFmtId="172" formatCode="##0.00E+0"/>
    <numFmt numFmtId="173" formatCode="0.0000"/>
  </numFmts>
  <fonts count="18">
    <font>
      <sz val="12"/>
      <color theme="1"/>
      <name val="Verdana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rgb="FF000000"/>
      <name val="Monaco"/>
      <family val="3"/>
    </font>
    <font>
      <u/>
      <sz val="12"/>
      <color theme="10"/>
      <name val="Verdana"/>
      <family val="2"/>
    </font>
    <font>
      <u/>
      <sz val="12"/>
      <color theme="11"/>
      <name val="Verdana"/>
      <family val="2"/>
    </font>
    <font>
      <b/>
      <sz val="18"/>
      <color theme="1"/>
      <name val="Verdana"/>
      <family val="2"/>
    </font>
    <font>
      <b/>
      <sz val="12"/>
      <color theme="1"/>
      <name val="Verdana"/>
      <family val="2"/>
    </font>
    <font>
      <sz val="9"/>
      <color indexed="81"/>
      <name val="Verdana"/>
      <family val="2"/>
    </font>
    <font>
      <b/>
      <sz val="9"/>
      <color indexed="81"/>
      <name val="Verdana"/>
      <family val="2"/>
    </font>
    <font>
      <sz val="12"/>
      <color theme="1"/>
      <name val="Times"/>
    </font>
    <font>
      <sz val="12"/>
      <color rgb="FFFF0000"/>
      <name val="Verdana"/>
      <family val="2"/>
    </font>
    <font>
      <b/>
      <sz val="12"/>
      <name val="Verdana"/>
      <family val="2"/>
    </font>
    <font>
      <sz val="12"/>
      <color theme="1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sz val="13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lightGray">
        <fgColor theme="0"/>
        <bgColor theme="8" tint="0.79998168889431442"/>
      </patternFill>
    </fill>
    <fill>
      <patternFill patternType="mediumGray">
        <fgColor theme="0"/>
        <bgColor theme="6" tint="0.59999389629810485"/>
      </patternFill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gray125">
        <fgColor theme="0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auto="1"/>
      </bottom>
      <diagonal/>
    </border>
  </borders>
  <cellStyleXfs count="40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65" fontId="1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10" fontId="0" fillId="0" borderId="0" xfId="9" applyNumberFormat="1" applyFont="1"/>
    <xf numFmtId="3" fontId="0" fillId="0" borderId="0" xfId="0" applyNumberFormat="1"/>
    <xf numFmtId="2" fontId="0" fillId="0" borderId="0" xfId="0" applyNumberFormat="1"/>
    <xf numFmtId="2" fontId="0" fillId="0" borderId="0" xfId="9" applyNumberFormat="1" applyFont="1"/>
    <xf numFmtId="166" fontId="0" fillId="0" borderId="0" xfId="0" applyNumberFormat="1"/>
    <xf numFmtId="1" fontId="0" fillId="0" borderId="0" xfId="9" applyNumberFormat="1" applyFont="1"/>
    <xf numFmtId="164" fontId="7" fillId="0" borderId="0" xfId="0" applyNumberFormat="1" applyFont="1" applyAlignment="1">
      <alignment horizontal="right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right"/>
    </xf>
    <xf numFmtId="3" fontId="0" fillId="0" borderId="0" xfId="0" applyNumberFormat="1" applyAlignment="1">
      <alignment horizontal="right"/>
    </xf>
    <xf numFmtId="0" fontId="0" fillId="2" borderId="0" xfId="0" applyFill="1"/>
    <xf numFmtId="168" fontId="0" fillId="0" borderId="0" xfId="9" applyNumberFormat="1" applyFont="1" applyFill="1"/>
    <xf numFmtId="169" fontId="0" fillId="0" borderId="0" xfId="232" applyNumberFormat="1" applyFont="1" applyFill="1"/>
    <xf numFmtId="14" fontId="15" fillId="0" borderId="0" xfId="0" applyNumberFormat="1" applyFont="1"/>
    <xf numFmtId="0" fontId="8" fillId="3" borderId="1" xfId="0" applyFont="1" applyFill="1" applyBorder="1" applyAlignment="1">
      <alignment horizontal="right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10" fontId="0" fillId="3" borderId="1" xfId="9" applyNumberFormat="1" applyFont="1" applyFill="1" applyBorder="1"/>
    <xf numFmtId="4" fontId="0" fillId="3" borderId="1" xfId="0" applyNumberFormat="1" applyFill="1" applyBorder="1"/>
    <xf numFmtId="9" fontId="0" fillId="3" borderId="1" xfId="9" applyFont="1" applyFill="1" applyBorder="1"/>
    <xf numFmtId="9" fontId="0" fillId="3" borderId="1" xfId="9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0" fillId="4" borderId="1" xfId="0" applyFill="1" applyBorder="1"/>
    <xf numFmtId="15" fontId="13" fillId="4" borderId="1" xfId="0" applyNumberFormat="1" applyFont="1" applyFill="1" applyBorder="1"/>
    <xf numFmtId="0" fontId="0" fillId="4" borderId="1" xfId="0" applyFill="1" applyBorder="1" applyAlignment="1">
      <alignment horizontal="right"/>
    </xf>
    <xf numFmtId="167" fontId="0" fillId="4" borderId="1" xfId="0" applyNumberFormat="1" applyFill="1" applyBorder="1"/>
    <xf numFmtId="3" fontId="0" fillId="4" borderId="1" xfId="0" applyNumberFormat="1" applyFill="1" applyBorder="1" applyAlignment="1">
      <alignment horizontal="right"/>
    </xf>
    <xf numFmtId="3" fontId="0" fillId="4" borderId="1" xfId="0" applyNumberFormat="1" applyFill="1" applyBorder="1"/>
    <xf numFmtId="10" fontId="0" fillId="4" borderId="1" xfId="9" applyNumberFormat="1" applyFont="1" applyFill="1" applyBorder="1" applyAlignment="1">
      <alignment horizontal="right"/>
    </xf>
    <xf numFmtId="10" fontId="0" fillId="4" borderId="1" xfId="9" applyNumberFormat="1" applyFont="1" applyFill="1" applyBorder="1"/>
    <xf numFmtId="2" fontId="0" fillId="4" borderId="1" xfId="9" applyNumberFormat="1" applyFont="1" applyFill="1" applyBorder="1"/>
    <xf numFmtId="2" fontId="0" fillId="4" borderId="1" xfId="0" applyNumberFormat="1" applyFill="1" applyBorder="1" applyAlignment="1">
      <alignment horizontal="right"/>
    </xf>
    <xf numFmtId="4" fontId="0" fillId="4" borderId="1" xfId="0" applyNumberFormat="1" applyFill="1" applyBorder="1"/>
    <xf numFmtId="2" fontId="0" fillId="4" borderId="1" xfId="9" applyNumberFormat="1" applyFont="1" applyFill="1" applyBorder="1" applyAlignment="1">
      <alignment horizontal="right"/>
    </xf>
    <xf numFmtId="0" fontId="16" fillId="4" borderId="1" xfId="0" applyFont="1" applyFill="1" applyBorder="1"/>
    <xf numFmtId="1" fontId="0" fillId="4" borderId="1" xfId="0" applyNumberFormat="1" applyFill="1" applyBorder="1" applyAlignment="1">
      <alignment horizontal="right"/>
    </xf>
    <xf numFmtId="2" fontId="0" fillId="4" borderId="1" xfId="0" applyNumberFormat="1" applyFill="1" applyBorder="1"/>
    <xf numFmtId="0" fontId="0" fillId="4" borderId="1" xfId="0" quotePrefix="1" applyFill="1" applyBorder="1"/>
    <xf numFmtId="9" fontId="0" fillId="4" borderId="1" xfId="9" applyFont="1" applyFill="1" applyBorder="1"/>
    <xf numFmtId="166" fontId="0" fillId="4" borderId="1" xfId="0" applyNumberFormat="1" applyFill="1" applyBorder="1"/>
    <xf numFmtId="9" fontId="0" fillId="4" borderId="1" xfId="9" quotePrefix="1" applyFont="1" applyFill="1" applyBorder="1"/>
    <xf numFmtId="9" fontId="0" fillId="4" borderId="1" xfId="9" applyFont="1" applyFill="1" applyBorder="1" applyAlignment="1">
      <alignment horizontal="right"/>
    </xf>
    <xf numFmtId="14" fontId="8" fillId="3" borderId="1" xfId="0" applyNumberFormat="1" applyFont="1" applyFill="1" applyBorder="1"/>
    <xf numFmtId="0" fontId="8" fillId="5" borderId="1" xfId="0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166" fontId="0" fillId="5" borderId="1" xfId="0" applyNumberFormat="1" applyFill="1" applyBorder="1"/>
    <xf numFmtId="2" fontId="0" fillId="5" borderId="1" xfId="0" applyNumberFormat="1" applyFill="1" applyBorder="1"/>
    <xf numFmtId="10" fontId="0" fillId="5" borderId="1" xfId="9" applyNumberFormat="1" applyFont="1" applyFill="1" applyBorder="1"/>
    <xf numFmtId="1" fontId="0" fillId="5" borderId="1" xfId="9" applyNumberFormat="1" applyFont="1" applyFill="1" applyBorder="1"/>
    <xf numFmtId="168" fontId="0" fillId="5" borderId="1" xfId="9" applyNumberFormat="1" applyFont="1" applyFill="1" applyBorder="1"/>
    <xf numFmtId="0" fontId="0" fillId="5" borderId="1" xfId="0" applyFont="1" applyFill="1" applyBorder="1" applyAlignment="1">
      <alignment horizontal="right"/>
    </xf>
    <xf numFmtId="2" fontId="0" fillId="5" borderId="1" xfId="9" applyNumberFormat="1" applyFont="1" applyFill="1" applyBorder="1"/>
    <xf numFmtId="0" fontId="12" fillId="5" borderId="1" xfId="0" applyFont="1" applyFill="1" applyBorder="1" applyAlignment="1">
      <alignment horizontal="right"/>
    </xf>
    <xf numFmtId="169" fontId="0" fillId="5" borderId="1" xfId="232" applyNumberFormat="1" applyFont="1" applyFill="1" applyBorder="1"/>
    <xf numFmtId="0" fontId="8" fillId="6" borderId="1" xfId="0" applyFont="1" applyFill="1" applyBorder="1" applyAlignment="1">
      <alignment horizontal="right"/>
    </xf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" fontId="0" fillId="6" borderId="1" xfId="0" applyNumberFormat="1" applyFill="1" applyBorder="1"/>
    <xf numFmtId="0" fontId="8" fillId="7" borderId="1" xfId="0" applyFont="1" applyFill="1" applyBorder="1" applyAlignment="1">
      <alignment horizontal="right"/>
    </xf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Fill="1" applyBorder="1" applyAlignment="1">
      <alignment horizontal="right"/>
    </xf>
    <xf numFmtId="3" fontId="0" fillId="7" borderId="1" xfId="0" applyNumberFormat="1" applyFill="1" applyBorder="1"/>
    <xf numFmtId="166" fontId="0" fillId="7" borderId="1" xfId="0" applyNumberFormat="1" applyFill="1" applyBorder="1" applyAlignment="1">
      <alignment horizontal="right"/>
    </xf>
    <xf numFmtId="167" fontId="0" fillId="4" borderId="2" xfId="0" applyNumberFormat="1" applyFill="1" applyBorder="1"/>
    <xf numFmtId="167" fontId="0" fillId="4" borderId="3" xfId="0" applyNumberFormat="1" applyFill="1" applyBorder="1"/>
    <xf numFmtId="170" fontId="0" fillId="5" borderId="1" xfId="232" applyNumberFormat="1" applyFont="1" applyFill="1" applyBorder="1"/>
    <xf numFmtId="170" fontId="0" fillId="0" borderId="0" xfId="232" applyNumberFormat="1" applyFont="1" applyFill="1"/>
    <xf numFmtId="170" fontId="0" fillId="0" borderId="0" xfId="0" applyNumberFormat="1"/>
    <xf numFmtId="171" fontId="0" fillId="5" borderId="1" xfId="232" applyNumberFormat="1" applyFont="1" applyFill="1" applyBorder="1"/>
    <xf numFmtId="172" fontId="0" fillId="6" borderId="1" xfId="0" applyNumberFormat="1" applyFill="1" applyBorder="1"/>
    <xf numFmtId="173" fontId="0" fillId="6" borderId="1" xfId="0" applyNumberFormat="1" applyFill="1" applyBorder="1"/>
    <xf numFmtId="168" fontId="0" fillId="5" borderId="1" xfId="9" applyNumberFormat="1" applyFont="1" applyFill="1" applyBorder="1" applyAlignment="1">
      <alignment horizontal="right"/>
    </xf>
    <xf numFmtId="1" fontId="0" fillId="5" borderId="0" xfId="9" applyNumberFormat="1" applyFont="1" applyFill="1" applyBorder="1"/>
    <xf numFmtId="15" fontId="13" fillId="5" borderId="1" xfId="0" applyNumberFormat="1" applyFont="1" applyFill="1" applyBorder="1"/>
    <xf numFmtId="1" fontId="0" fillId="0" borderId="0" xfId="0" applyNumberFormat="1" applyAlignment="1">
      <alignment horizontal="right"/>
    </xf>
    <xf numFmtId="0" fontId="17" fillId="0" borderId="0" xfId="0" quotePrefix="1" applyFont="1"/>
    <xf numFmtId="3" fontId="0" fillId="4" borderId="1" xfId="0" quotePrefix="1" applyNumberFormat="1" applyFill="1" applyBorder="1"/>
    <xf numFmtId="0" fontId="0" fillId="0" borderId="0" xfId="0" quotePrefix="1"/>
    <xf numFmtId="4" fontId="0" fillId="4" borderId="1" xfId="0" quotePrefix="1" applyNumberFormat="1" applyFill="1" applyBorder="1"/>
    <xf numFmtId="0" fontId="0" fillId="4" borderId="1" xfId="0" quotePrefix="1" applyFill="1" applyBorder="1" applyAlignment="1">
      <alignment horizontal="right"/>
    </xf>
    <xf numFmtId="10" fontId="0" fillId="5" borderId="1" xfId="9" quotePrefix="1" applyNumberFormat="1" applyFont="1" applyFill="1" applyBorder="1"/>
  </cellXfs>
  <cellStyles count="407">
    <cellStyle name="Currency" xfId="232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Normal" xfId="0" builtinId="0" customBuiltin="1"/>
    <cellStyle name="Percent" xfId="9" builtinId="5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123</xdr:row>
      <xdr:rowOff>76200</xdr:rowOff>
    </xdr:from>
    <xdr:to>
      <xdr:col>23</xdr:col>
      <xdr:colOff>355600</xdr:colOff>
      <xdr:row>150</xdr:row>
      <xdr:rowOff>76200</xdr:rowOff>
    </xdr:to>
    <xdr:sp macro="" textlink="">
      <xdr:nvSpPr>
        <xdr:cNvPr id="2" name="TextBox 1"/>
        <xdr:cNvSpPr txBox="1"/>
      </xdr:nvSpPr>
      <xdr:spPr>
        <a:xfrm>
          <a:off x="22682200" y="20878800"/>
          <a:ext cx="46355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/>
            <a:t>No key statistics available.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U218"/>
  <sheetViews>
    <sheetView tabSelected="1" workbookViewId="0">
      <selection activeCell="D43" sqref="D43"/>
    </sheetView>
  </sheetViews>
  <sheetFormatPr defaultColWidth="11.19921875" defaultRowHeight="15" outlineLevelRow="1"/>
  <cols>
    <col min="1" max="1" width="2.59765625" customWidth="1"/>
    <col min="2" max="2" width="53.19921875" style="1" customWidth="1"/>
    <col min="3" max="3" width="1.8984375" customWidth="1"/>
    <col min="4" max="4" width="12.5" customWidth="1"/>
    <col min="5" max="13" width="10.69921875" customWidth="1"/>
    <col min="14" max="14" width="2.69921875" customWidth="1"/>
  </cols>
  <sheetData>
    <row r="2" spans="2:15" ht="22.5">
      <c r="B2" s="1" t="s">
        <v>0</v>
      </c>
      <c r="D2" s="11" t="s">
        <v>146</v>
      </c>
      <c r="F2" s="1" t="e">
        <f ca="1">CONCATENATE(TEXT(D34,"#,###.00"),D32)</f>
        <v>#REF!</v>
      </c>
      <c r="G2" s="3" t="s">
        <v>70</v>
      </c>
    </row>
    <row r="3" spans="2:15" ht="22.5" hidden="1" outlineLevel="1">
      <c r="D3" s="11"/>
      <c r="F3" s="1" t="e">
        <f ca="1">LEFT(F2,LEN(F2)-1)</f>
        <v>#REF!</v>
      </c>
      <c r="G3" s="3"/>
    </row>
    <row r="4" spans="2:15" ht="22.5" hidden="1" outlineLevel="1">
      <c r="D4" s="11"/>
      <c r="F4" s="1" t="e">
        <f ca="1">RIGHT(F2,1)</f>
        <v>#REF!</v>
      </c>
      <c r="G4" s="3"/>
    </row>
    <row r="5" spans="2:15" ht="22.5" hidden="1" outlineLevel="1">
      <c r="D5" s="11"/>
      <c r="F5" s="15" t="e">
        <f ca="1">IF(F4="B",F3*1000000,IF(F4="M",F3*1000,F3))</f>
        <v>#REF!</v>
      </c>
      <c r="G5" s="3"/>
    </row>
    <row r="6" spans="2:15" ht="22.5" hidden="1" outlineLevel="1">
      <c r="D6" s="11"/>
      <c r="F6" s="1"/>
      <c r="G6" s="3"/>
    </row>
    <row r="7" spans="2:15" hidden="1" outlineLevel="1">
      <c r="D7" t="str">
        <f>"'["&amp;D2&amp;".xlsm]key statistics'!"</f>
        <v>'[RAX.xlsm]key statistics'!</v>
      </c>
    </row>
    <row r="8" spans="2:15" hidden="1" outlineLevel="1"/>
    <row r="9" spans="2:15" hidden="1" outlineLevel="1">
      <c r="D9" t="str">
        <f>"'["&amp;D2&amp;".xlsm]historical'!"</f>
        <v>'[RAX.xlsm]historical'!</v>
      </c>
    </row>
    <row r="10" spans="2:15" hidden="1" outlineLevel="1"/>
    <row r="11" spans="2:15" hidden="1" outlineLevel="1">
      <c r="D11" t="str">
        <f>"'["&amp;D2&amp;".xlsm]data'!"</f>
        <v>'[RAX.xlsm]data'!</v>
      </c>
    </row>
    <row r="12" spans="2:15" hidden="1" outlineLevel="1"/>
    <row r="13" spans="2:15" hidden="1" outlineLevel="1">
      <c r="B13" s="1" t="s">
        <v>46</v>
      </c>
      <c r="D13" s="2" t="e">
        <f ca="1">INDIRECT(D7&amp;"$C$6")</f>
        <v>#REF!</v>
      </c>
      <c r="E13" s="2" t="e">
        <f ca="1">INDIRECT("'["&amp;D2&amp;".xlsm]key statistics'!"&amp;"$C$6",1)</f>
        <v>#REF!</v>
      </c>
      <c r="L13" s="2"/>
      <c r="M13" s="2"/>
    </row>
    <row r="14" spans="2:15" hidden="1" outlineLevel="1">
      <c r="D14" s="3"/>
      <c r="L14" s="3"/>
    </row>
    <row r="15" spans="2:15" hidden="1" outlineLevel="1">
      <c r="B15" s="1" t="s">
        <v>2</v>
      </c>
      <c r="D15" t="e">
        <f ca="1">IF(ISERROR(MATCH(INDIRECT(D7&amp;"$C$6"),INDIRECT(D9&amp;"A:A"),0)),MATCH(INDIRECT(D7&amp;"$C$6"),INDIRECT(D9&amp;"A:A"),-1)+1,MATCH(INDIRECT(D7&amp;"$C$6"),INDIRECT(D9&amp;"A:A"),0))</f>
        <v>#REF!</v>
      </c>
      <c r="F15" t="s">
        <v>5</v>
      </c>
    </row>
    <row r="16" spans="2:15" hidden="1" outlineLevel="1">
      <c r="O16" s="2"/>
    </row>
    <row r="17" spans="2:15" hidden="1" outlineLevel="1">
      <c r="D17" t="e">
        <f ca="1">IF(ISERROR(MATCH(D13,INDIRECT(D9&amp;"A:A"),0)),MATCH(D13,INDIRECT(D9&amp;"A:A"),-1)+1,MATCH(D13,INDIRECT(D9&amp;"A:A"),0))</f>
        <v>#REF!</v>
      </c>
      <c r="F17" t="s">
        <v>6</v>
      </c>
      <c r="O17" s="2"/>
    </row>
    <row r="18" spans="2:15" hidden="1" outlineLevel="1">
      <c r="D18" t="e">
        <f ca="1">D15+1</f>
        <v>#REF!</v>
      </c>
      <c r="O18" s="2"/>
    </row>
    <row r="19" spans="2:15" hidden="1" outlineLevel="1">
      <c r="B19" s="1" t="s">
        <v>1</v>
      </c>
      <c r="D19" s="7" t="e">
        <f ca="1">IF(INDIRECT(D9&amp;"G"&amp;D15)=0,INDIRECT(D9&amp;"G"&amp;D18),INDIRECT(D9&amp;"G"&amp;D15))</f>
        <v>#REF!</v>
      </c>
      <c r="M19" s="7"/>
    </row>
    <row r="20" spans="2:15" hidden="1" outlineLevel="1"/>
    <row r="21" spans="2:15" hidden="1" outlineLevel="1">
      <c r="B21" s="1" t="s">
        <v>4</v>
      </c>
      <c r="D21" s="2">
        <f ca="1">TODAY()</f>
        <v>42511</v>
      </c>
      <c r="L21" s="2"/>
    </row>
    <row r="22" spans="2:15" hidden="1" outlineLevel="1">
      <c r="I22" s="85"/>
    </row>
    <row r="23" spans="2:15" hidden="1" outlineLevel="1">
      <c r="B23" s="1" t="s">
        <v>7</v>
      </c>
      <c r="D23" t="e">
        <f ca="1">IF(ISERROR(MATCH(D21,INDIRECT(D9&amp;"A:A"),0)),MATCH(D21,INDIRECT(D9&amp;"A:A"),-1)+1,MATCH(D21,INDIRECT(D9&amp;"A:A"),0))</f>
        <v>#REF!</v>
      </c>
      <c r="I23" s="85"/>
    </row>
    <row r="24" spans="2:15" hidden="1" outlineLevel="1">
      <c r="I24" s="85"/>
    </row>
    <row r="25" spans="2:15" hidden="1" outlineLevel="1">
      <c r="B25" s="1" t="s">
        <v>98</v>
      </c>
      <c r="D25" s="7" t="e">
        <f ca="1">INDEX(INDIRECT(D9&amp;"G2:G1048576"),MATCH(TRUE,INDEX((INDIRECT(D9&amp;"G2:G1048576")&lt;&gt;0),0),0))</f>
        <v>#REF!</v>
      </c>
      <c r="I25" s="85"/>
    </row>
    <row r="26" spans="2:15" ht="15.75" hidden="1" outlineLevel="1">
      <c r="B26" s="1" t="s">
        <v>127</v>
      </c>
      <c r="D26" s="82" t="e">
        <f ca="1">TEXT(MATCH(TRUE,INDEX((INDIRECT(D9&amp;"G2:G1048576")&lt;&gt;0),0),0)+1,"0")</f>
        <v>#REF!</v>
      </c>
      <c r="I26" s="83"/>
    </row>
    <row r="27" spans="2:15" hidden="1" outlineLevel="1">
      <c r="B27" s="1" t="s">
        <v>128</v>
      </c>
      <c r="D27" s="2" t="e">
        <f ca="1">INDIRECT(D9&amp;CONCATENATE("A",D26))</f>
        <v>#REF!</v>
      </c>
      <c r="I27" s="85"/>
    </row>
    <row r="28" spans="2:15" collapsed="1">
      <c r="D28" s="7"/>
      <c r="I28" s="85"/>
    </row>
    <row r="29" spans="2:15" hidden="1" outlineLevel="1"/>
    <row r="30" spans="2:15" hidden="1" outlineLevel="1">
      <c r="B30" s="1" t="s">
        <v>3</v>
      </c>
      <c r="D30" s="1" t="e">
        <f ca="1">INDIRECT(D7&amp;"$C$8")</f>
        <v>#REF!</v>
      </c>
    </row>
    <row r="31" spans="2:15" ht="18.75" hidden="1" outlineLevel="1">
      <c r="D31" s="1" t="e">
        <f ca="1">LEFT(D30,LEN(D30)-1)</f>
        <v>#REF!</v>
      </c>
      <c r="L31" s="4"/>
    </row>
    <row r="32" spans="2:15" hidden="1" outlineLevel="1">
      <c r="D32" s="1" t="e">
        <f ca="1">RIGHT(D30,1)</f>
        <v>#REF!</v>
      </c>
    </row>
    <row r="33" spans="2:13" hidden="1" outlineLevel="1">
      <c r="D33" t="e">
        <f ca="1">D31*D25/D19</f>
        <v>#REF!</v>
      </c>
    </row>
    <row r="34" spans="2:13" hidden="1" outlineLevel="1">
      <c r="B34" s="1" t="s">
        <v>8</v>
      </c>
      <c r="D34" t="e">
        <f ca="1">ROUND(D33,2)</f>
        <v>#REF!</v>
      </c>
    </row>
    <row r="35" spans="2:13" hidden="1" outlineLevel="1"/>
    <row r="36" spans="2:13" hidden="1" outlineLevel="1"/>
    <row r="37" spans="2:13" collapsed="1">
      <c r="D37" s="1"/>
    </row>
    <row r="38" spans="2:13">
      <c r="B38" s="27" t="s">
        <v>44</v>
      </c>
      <c r="C38" s="28"/>
      <c r="D38" s="29" t="e">
        <f ca="1">INDIRECT($D$11&amp;"E47")</f>
        <v>#REF!</v>
      </c>
      <c r="E38" s="29" t="e">
        <f ca="1">INDIRECT($D$11&amp;"F47")</f>
        <v>#REF!</v>
      </c>
      <c r="F38" s="29" t="e">
        <f ca="1">INDIRECT($D$11&amp;"G47")</f>
        <v>#REF!</v>
      </c>
      <c r="G38" s="29" t="e">
        <f ca="1">INDIRECT($D$11&amp;"H47")</f>
        <v>#REF!</v>
      </c>
      <c r="H38" s="29" t="e">
        <f ca="1">INDIRECT($D$11&amp;"I47")</f>
        <v>#REF!</v>
      </c>
      <c r="I38" s="29" t="e">
        <f ca="1">INDIRECT($D$11&amp;"J47")</f>
        <v>#REF!</v>
      </c>
      <c r="J38" s="29" t="e">
        <f ca="1">INDIRECT($D$11&amp;"K47")</f>
        <v>#REF!</v>
      </c>
      <c r="K38" s="29" t="e">
        <f ca="1">INDIRECT($D$11&amp;"L47")</f>
        <v>#REF!</v>
      </c>
      <c r="L38" s="29" t="e">
        <f ca="1">INDIRECT($D$11&amp;"M47")</f>
        <v>#REF!</v>
      </c>
      <c r="M38" s="29" t="e">
        <f ca="1">INDIRECT($D$11&amp;"N47")</f>
        <v>#REF!</v>
      </c>
    </row>
    <row r="39" spans="2:13">
      <c r="B39" s="30" t="s">
        <v>67</v>
      </c>
      <c r="C39" s="28"/>
      <c r="D39" s="31" t="e">
        <f ca="1">INDIRECT($D$11&amp;"E48")</f>
        <v>#REF!</v>
      </c>
      <c r="E39" s="31" t="e">
        <f ca="1">INDIRECT($D$11&amp;"F48")</f>
        <v>#REF!</v>
      </c>
      <c r="F39" s="31" t="e">
        <f ca="1">INDIRECT($D$11&amp;"G48")</f>
        <v>#REF!</v>
      </c>
      <c r="G39" s="31" t="e">
        <f ca="1">INDIRECT($D$11&amp;"H48")</f>
        <v>#REF!</v>
      </c>
      <c r="H39" s="31" t="str">
        <f ca="1">IF(ISNUMBER(INDIRECT($D$11&amp;"I48")),INDIRECT($D$11&amp;"I48"),"")</f>
        <v/>
      </c>
      <c r="I39" s="31" t="str">
        <f ca="1">IF(ISNUMBER(INDIRECT($D$11&amp;"J48")),INDIRECT($D$11&amp;"J48"),"")</f>
        <v/>
      </c>
      <c r="J39" s="31" t="str">
        <f ca="1">IF(ISNUMBER(INDIRECT($D$11&amp;"K48")),INDIRECT($D$11&amp;"K48"),"")</f>
        <v/>
      </c>
      <c r="K39" s="31" t="str">
        <f ca="1">IF(ISNUMBER(INDIRECT($D$11&amp;"L48")),INDIRECT($D$11&amp;"L48"),"")</f>
        <v/>
      </c>
      <c r="L39" s="31" t="str">
        <f ca="1">IF(ISNUMBER(INDIRECT($D$11&amp;"M48")),INDIRECT($D$11&amp;"M48"),"")</f>
        <v/>
      </c>
      <c r="M39" s="31" t="str">
        <f ca="1">IF(ISNUMBER(INDIRECT($D$11&amp;"N48")),INDIRECT($D$11&amp;"N48"),"")</f>
        <v/>
      </c>
    </row>
    <row r="40" spans="2:13">
      <c r="B40" s="30" t="s">
        <v>21</v>
      </c>
      <c r="C40" s="28"/>
      <c r="D40" s="32" t="e">
        <f ca="1">INDIRECT($D$11&amp;"E49")</f>
        <v>#REF!</v>
      </c>
      <c r="E40" s="32" t="e">
        <f ca="1">INDIRECT($D$11&amp;"F49")</f>
        <v>#REF!</v>
      </c>
      <c r="F40" s="32" t="e">
        <f ca="1">INDIRECT($D$11&amp;"G49")</f>
        <v>#REF!</v>
      </c>
      <c r="G40" s="32" t="e">
        <f ca="1">INDIRECT($D$11&amp;"H49")</f>
        <v>#REF!</v>
      </c>
      <c r="H40" s="32" t="str">
        <f ca="1">IF(ISNUMBER(INDIRECT($D$11&amp;"I49")),INDIRECT($D$11&amp;"I49"),"")</f>
        <v/>
      </c>
      <c r="I40" s="32" t="str">
        <f ca="1">IF(ISNUMBER(INDIRECT($D$11&amp;"J49")),INDIRECT($D$11&amp;"J49"),"")</f>
        <v/>
      </c>
      <c r="J40" s="32" t="str">
        <f ca="1">IF(ISNUMBER(INDIRECT($D$11&amp;"K49")),INDIRECT($D$11&amp;"K49"),"")</f>
        <v/>
      </c>
      <c r="K40" s="32" t="str">
        <f ca="1">IF(ISNUMBER(INDIRECT($D$11&amp;"L49")),INDIRECT($D$11&amp;"L49"),"")</f>
        <v/>
      </c>
      <c r="L40" s="32" t="str">
        <f ca="1">IF(ISNUMBER(INDIRECT($D$11&amp;"M49")),INDIRECT($D$11&amp;"M49"),"")</f>
        <v/>
      </c>
      <c r="M40" s="32" t="str">
        <f ca="1">IF(ISNUMBER(INDIRECT($D$11&amp;"N49")),INDIRECT($D$11&amp;"N49"),"")</f>
        <v/>
      </c>
    </row>
    <row r="41" spans="2:13" ht="15.75" thickBot="1">
      <c r="B41" s="30" t="s">
        <v>85</v>
      </c>
      <c r="C41" s="28"/>
      <c r="D41" s="72" t="e">
        <f ca="1">INDIRECT($D$11&amp;"E50")</f>
        <v>#REF!</v>
      </c>
      <c r="E41" s="72" t="e">
        <f ca="1">INDIRECT($D$11&amp;"F50")</f>
        <v>#REF!</v>
      </c>
      <c r="F41" s="72" t="e">
        <f ca="1">INDIRECT($D$11&amp;"G50")</f>
        <v>#REF!</v>
      </c>
      <c r="G41" s="72" t="e">
        <f ca="1">INDIRECT($D$11&amp;"H50")</f>
        <v>#REF!</v>
      </c>
      <c r="H41" s="72" t="str">
        <f ca="1">IF(ISNUMBER(INDIRECT($D$11&amp;"I50")),INDIRECT($D$11&amp;"I50"),"")</f>
        <v/>
      </c>
      <c r="I41" s="72" t="str">
        <f ca="1">IF(ISNUMBER(INDIRECT($D$11&amp;"J50")),INDIRECT($D$11&amp;"J50"),"")</f>
        <v/>
      </c>
      <c r="J41" s="72" t="str">
        <f ca="1">IF(ISNUMBER(INDIRECT($D$11&amp;"K50")),INDIRECT($D$11&amp;"K50"),"")</f>
        <v/>
      </c>
      <c r="K41" s="72" t="str">
        <f ca="1">IF(ISNUMBER(INDIRECT($D$11&amp;"L50")),INDIRECT($D$11&amp;"L50"),"")</f>
        <v/>
      </c>
      <c r="L41" s="72" t="str">
        <f ca="1">IF(ISNUMBER(INDIRECT($D$11&amp;"M50")),INDIRECT($D$11&amp;"M50"),"")</f>
        <v/>
      </c>
      <c r="M41" s="72" t="str">
        <f ca="1">IF(ISNUMBER(INDIRECT($D$11&amp;"N50")),INDIRECT($D$11&amp;"N50"),"")</f>
        <v/>
      </c>
    </row>
    <row r="42" spans="2:13">
      <c r="B42" s="30" t="s">
        <v>68</v>
      </c>
      <c r="C42" s="28"/>
      <c r="D42" s="71" t="e">
        <f ca="1">INDIRECT(D11&amp;"E51")</f>
        <v>#REF!</v>
      </c>
      <c r="E42" s="71" t="e">
        <f ca="1">INDIRECT($D$11&amp;"F51")</f>
        <v>#REF!</v>
      </c>
      <c r="F42" s="71" t="e">
        <f ca="1">INDIRECT($D$11&amp;"G51")</f>
        <v>#REF!</v>
      </c>
      <c r="G42" s="71" t="e">
        <f ca="1">INDIRECT($D$11&amp;"H51")</f>
        <v>#REF!</v>
      </c>
      <c r="H42" s="71" t="str">
        <f ca="1">IF(ISNUMBER(INDIRECT($D$11&amp;"I51")),INDIRECT($D$11&amp;"I51"),"")</f>
        <v/>
      </c>
      <c r="I42" s="71" t="str">
        <f ca="1">IF(ISNUMBER(INDIRECT($D$11&amp;"J51")),INDIRECT($D$11&amp;"J51"),"")</f>
        <v/>
      </c>
      <c r="J42" s="71" t="str">
        <f ca="1">IF(ISNUMBER(INDIRECT($D$11&amp;"K51")),INDIRECT($D$11&amp;"K51"),"")</f>
        <v/>
      </c>
      <c r="K42" s="71" t="str">
        <f ca="1">IF(ISNUMBER(INDIRECT($D$11&amp;"L51")),INDIRECT($D$11&amp;"L51"),"")</f>
        <v/>
      </c>
      <c r="L42" s="71" t="str">
        <f ca="1">IF(ISNUMBER(INDIRECT($D$11&amp;"M51")),INDIRECT($D$11&amp;"M51"),"")</f>
        <v/>
      </c>
      <c r="M42" s="71" t="str">
        <f ca="1">IF(ISNUMBER(INDIRECT($D$11&amp;"N51")),INDIRECT($D$11&amp;"N51"),"")</f>
        <v/>
      </c>
    </row>
    <row r="43" spans="2:13">
      <c r="B43" s="27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2:13" hidden="1" outlineLevel="1">
      <c r="B44" s="30" t="s">
        <v>87</v>
      </c>
      <c r="C44" s="28"/>
      <c r="D44" s="32" t="e">
        <f ca="1">INDIRECT(D7&amp;"C59")</f>
        <v>#REF!</v>
      </c>
      <c r="E44" s="28"/>
      <c r="F44" s="28"/>
      <c r="G44" s="28"/>
      <c r="H44" s="28"/>
      <c r="I44" s="28"/>
      <c r="J44" s="28"/>
      <c r="K44" s="28"/>
      <c r="L44" s="28"/>
      <c r="M44" s="28"/>
    </row>
    <row r="45" spans="2:13" hidden="1" outlineLevel="1">
      <c r="B45" s="30"/>
      <c r="C45" s="28"/>
      <c r="D45" s="32" t="e">
        <f ca="1">LEFT(D44,LEN(D44)-1)</f>
        <v>#REF!</v>
      </c>
      <c r="E45" s="28"/>
      <c r="F45" s="28"/>
      <c r="G45" s="28"/>
      <c r="H45" s="28"/>
      <c r="I45" s="28"/>
      <c r="J45" s="28"/>
      <c r="K45" s="28"/>
      <c r="L45" s="28"/>
      <c r="M45" s="28"/>
    </row>
    <row r="46" spans="2:13" hidden="1" outlineLevel="1">
      <c r="B46" s="30"/>
      <c r="C46" s="28"/>
      <c r="D46" s="32" t="e">
        <f ca="1">RIGHT(D44,1)</f>
        <v>#REF!</v>
      </c>
      <c r="E46" s="28"/>
      <c r="F46" s="28"/>
      <c r="G46" s="28"/>
      <c r="H46" s="28"/>
      <c r="I46" s="28"/>
      <c r="J46" s="28"/>
      <c r="K46" s="28"/>
      <c r="L46" s="28"/>
      <c r="M46" s="28"/>
    </row>
    <row r="47" spans="2:13" hidden="1" outlineLevel="1">
      <c r="B47" s="30" t="s">
        <v>24</v>
      </c>
      <c r="C47" s="28"/>
      <c r="D47" s="33" t="e">
        <f ca="1">IF(D46="B",D45*1000000,IF(D46="M",D45*1000,D45))</f>
        <v>#REF!</v>
      </c>
      <c r="E47" s="28"/>
      <c r="F47" s="28"/>
      <c r="G47" s="28"/>
      <c r="H47" s="28"/>
      <c r="I47" s="28"/>
      <c r="J47" s="28"/>
      <c r="K47" s="28"/>
      <c r="L47" s="28"/>
      <c r="M47" s="28"/>
    </row>
    <row r="48" spans="2:13" hidden="1" outlineLevel="1">
      <c r="B48" s="30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2:19" collapsed="1">
      <c r="B49" s="30" t="s">
        <v>10</v>
      </c>
      <c r="C49" s="28"/>
      <c r="D49" s="30" t="e">
        <f ca="1">INDIRECT(D7&amp;"$C$68")</f>
        <v>#REF!</v>
      </c>
      <c r="E49" s="30" t="str">
        <f ca="1">IF(ISNUMBER(INDIRECT(D7&amp;"$G$68")),INDIRECT(D7&amp;"$G$68"),"")</f>
        <v/>
      </c>
      <c r="F49" s="30" t="str">
        <f ca="1">IF(ISNUMBER(INDIRECT(D7&amp;"$H$68")),INDIRECT(D7&amp;"$H$68"),"")</f>
        <v/>
      </c>
      <c r="G49" s="30" t="str">
        <f ca="1">IF(ISNUMBER(INDIRECT(D7&amp;"$I$68")),INDIRECT(D7&amp;"$I$68"),"")</f>
        <v/>
      </c>
      <c r="H49" s="30" t="str">
        <f ca="1">IF(ISNUMBER(INDIRECT(D7&amp;"$J$68")),INDIRECT(D7&amp;"$J$68"),"")</f>
        <v/>
      </c>
      <c r="I49" s="30" t="str">
        <f ca="1">IF(ISNUMBER(INDIRECT(D7&amp;"$K$68")),INDIRECT(D7&amp;"$K$68"),"")</f>
        <v/>
      </c>
      <c r="J49" s="30" t="str">
        <f ca="1">IF(ISNUMBER(INDIRECT(D7&amp;"$L$68")),INDIRECT(D7&amp;"$L$68"),"")</f>
        <v/>
      </c>
      <c r="K49" s="30" t="str">
        <f ca="1">IF(ISNUMBER(INDIRECT(D7&amp;"$M$68")),INDIRECT(D7&amp;"$M$68"),"")</f>
        <v/>
      </c>
      <c r="L49" s="30" t="str">
        <f ca="1">IF(ISNUMBER(INDIRECT(D7&amp;"$N$68")),INDIRECT(D7&amp;"$N$68"),"")</f>
        <v/>
      </c>
      <c r="M49" s="30" t="str">
        <f ca="1">IF(ISNUMBER(INDIRECT(D7&amp;"$O$68")),INDIRECT(D7&amp;"$O$68"),"")</f>
        <v/>
      </c>
      <c r="N49" s="5"/>
    </row>
    <row r="50" spans="2:19">
      <c r="B50" s="30" t="s">
        <v>93</v>
      </c>
      <c r="C50" s="28"/>
      <c r="D50" s="34" t="e">
        <f ca="1">IF(D49="N/A","N/A",D49/D25)</f>
        <v>#REF!</v>
      </c>
      <c r="E50" s="28"/>
      <c r="F50" s="28"/>
      <c r="G50" s="28"/>
      <c r="H50" s="28"/>
      <c r="I50" s="28"/>
      <c r="J50" s="28"/>
      <c r="K50" s="28"/>
      <c r="L50" s="28"/>
      <c r="M50" s="28"/>
      <c r="N50" s="5"/>
    </row>
    <row r="51" spans="2:19">
      <c r="B51" s="30" t="s">
        <v>11</v>
      </c>
      <c r="C51" s="28"/>
      <c r="D51" s="33" t="e">
        <f ca="1">IF(D125&gt;4,INDIRECT($D$11&amp;"E$137"),"")</f>
        <v>#REF!</v>
      </c>
      <c r="E51" s="33" t="e">
        <f ca="1">INDIRECT($D$11&amp;"F$137")</f>
        <v>#REF!</v>
      </c>
      <c r="F51" s="33" t="e">
        <f ca="1">INDIRECT($D$11&amp;"G$137")</f>
        <v>#REF!</v>
      </c>
      <c r="G51" s="33" t="e">
        <f ca="1">INDIRECT($D$11&amp;"H$137")</f>
        <v>#REF!</v>
      </c>
      <c r="H51" s="33" t="str">
        <f ca="1">IF(ISNUMBER(INDIRECT($D$11&amp;"I$137")),INDIRECT($D$11&amp;"I$137"),"")</f>
        <v/>
      </c>
      <c r="I51" s="33" t="str">
        <f ca="1">IF(ISNUMBER(INDIRECT($D$11&amp;"J$137")),INDIRECT($D$11&amp;"J$137"),"")</f>
        <v/>
      </c>
      <c r="J51" s="33" t="e">
        <f ca="1">IF(D125&gt;6,IF(ISNUMBER(INDIRECT($D$11&amp;"K$137")),INDIRECT($D$11&amp;"K$137"),""),"")</f>
        <v>#REF!</v>
      </c>
      <c r="K51" s="33" t="e">
        <f ca="1">IF(D125&gt;7,IF(ISNUMBER(INDIRECT($D$11&amp;"L$137")),INDIRECT($D$11&amp;"L$137"),""),"")</f>
        <v>#REF!</v>
      </c>
      <c r="L51" s="33" t="e">
        <f ca="1">IF(D125&gt;8,IF(ISNUMBER(INDIRECT($D$11&amp;"M$137")),INDIRECT($D$11&amp;"M$137"),""),"")</f>
        <v>#REF!</v>
      </c>
      <c r="M51" s="33" t="e">
        <f ca="1">IF(D125&gt;9,IF(ISNUMBER(INDIRECT($D$11&amp;"N$137")),INDIRECT($D$11&amp;"N$137"),""),"")</f>
        <v>#REF!</v>
      </c>
      <c r="N51" s="6"/>
      <c r="O51" s="6"/>
      <c r="P51" s="6"/>
      <c r="Q51" s="6"/>
      <c r="R51" s="6"/>
      <c r="S51" s="6"/>
    </row>
    <row r="52" spans="2:19">
      <c r="B52" s="30"/>
      <c r="C52" s="28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6"/>
      <c r="O52" s="6"/>
      <c r="P52" s="6"/>
      <c r="Q52" s="6"/>
      <c r="R52" s="6"/>
      <c r="S52" s="6"/>
    </row>
    <row r="53" spans="2:19" hidden="1" outlineLevel="1">
      <c r="B53" s="30"/>
      <c r="C53" s="28"/>
      <c r="D53" s="33" t="s">
        <v>140</v>
      </c>
      <c r="E53" s="33"/>
      <c r="F53" s="33"/>
      <c r="G53" s="33"/>
      <c r="H53" s="33"/>
      <c r="I53" s="33"/>
      <c r="J53" s="33"/>
      <c r="K53" s="33"/>
      <c r="L53" s="33"/>
      <c r="M53" s="33"/>
      <c r="N53" s="6"/>
      <c r="O53" s="6"/>
      <c r="P53" s="6"/>
      <c r="Q53" s="6"/>
      <c r="R53" s="6"/>
      <c r="S53" s="6"/>
    </row>
    <row r="54" spans="2:19" hidden="1" outlineLevel="1">
      <c r="B54" s="30" t="s">
        <v>135</v>
      </c>
      <c r="C54" s="28"/>
      <c r="D54" s="86" t="e">
        <f ca="1">INDIRECT(D11&amp;ADDRESS(76,9+COUNTA(INDIRECT(D11&amp;"I76"):INDIRECT(D11&amp;ADDRESS(76,D125+4)))-COUNTIF(INDIRECT(D11&amp;"I76"):INDIRECT(D11&amp;ADDRESS(76,D125+4)),"&gt;0")))</f>
        <v>#REF!</v>
      </c>
      <c r="E54" s="33"/>
      <c r="F54" s="33"/>
      <c r="G54" s="33"/>
      <c r="H54" s="33"/>
      <c r="I54" s="33"/>
      <c r="J54" s="33"/>
      <c r="K54" s="33"/>
      <c r="L54" s="33"/>
      <c r="M54" s="33"/>
      <c r="N54" s="6"/>
      <c r="O54" s="6"/>
      <c r="P54" s="6"/>
      <c r="Q54" s="6"/>
      <c r="R54" s="6"/>
      <c r="S54" s="6"/>
    </row>
    <row r="55" spans="2:19" hidden="1" outlineLevel="1">
      <c r="B55" s="30"/>
      <c r="C55" s="28"/>
      <c r="D55" s="33" t="s">
        <v>132</v>
      </c>
      <c r="E55" s="33"/>
      <c r="F55" s="33"/>
      <c r="G55" s="33"/>
      <c r="H55" s="33"/>
      <c r="I55" s="33"/>
      <c r="J55" s="33"/>
      <c r="K55" s="33"/>
      <c r="L55" s="33"/>
      <c r="M55" s="33"/>
      <c r="N55" s="6"/>
      <c r="O55" s="6"/>
      <c r="P55" s="6"/>
      <c r="Q55" s="6"/>
      <c r="R55" s="6"/>
      <c r="S55" s="6"/>
    </row>
    <row r="56" spans="2:19" hidden="1" outlineLevel="1">
      <c r="B56" s="30"/>
      <c r="C56" s="28"/>
      <c r="D56" s="84" t="e">
        <f ca="1">9+COUNTA(INDIRECT(D11&amp;"I76"):INDIRECT(D11&amp;ADDRESS(76,D125+4)))-COUNTIF(INDIRECT(D11&amp;"I76"):INDIRECT(D11&amp;ADDRESS(76,D125+4)),"&gt;0")</f>
        <v>#REF!</v>
      </c>
      <c r="E56" s="33"/>
      <c r="F56" s="33"/>
      <c r="G56" s="33"/>
      <c r="H56" s="33"/>
      <c r="I56" s="33"/>
      <c r="J56" s="33"/>
      <c r="K56" s="33"/>
      <c r="L56" s="33"/>
      <c r="M56" s="33"/>
      <c r="N56" s="6"/>
      <c r="O56" s="6"/>
      <c r="P56" s="6"/>
      <c r="Q56" s="6"/>
      <c r="R56" s="6"/>
      <c r="S56" s="6"/>
    </row>
    <row r="57" spans="2:19" hidden="1" outlineLevel="1">
      <c r="B57" s="30"/>
      <c r="C57" s="28"/>
      <c r="D57" s="33" t="s">
        <v>134</v>
      </c>
      <c r="E57" s="33"/>
      <c r="F57" s="33"/>
      <c r="G57" s="33"/>
      <c r="H57" s="33"/>
      <c r="I57" s="33"/>
      <c r="J57" s="33"/>
      <c r="K57" s="33"/>
      <c r="L57" s="33"/>
      <c r="M57" s="33"/>
      <c r="N57" s="6"/>
      <c r="O57" s="6"/>
      <c r="P57" s="6"/>
      <c r="Q57" s="6"/>
      <c r="R57" s="6"/>
      <c r="S57" s="6"/>
    </row>
    <row r="58" spans="2:19" hidden="1" outlineLevel="1">
      <c r="B58" s="30" t="s">
        <v>136</v>
      </c>
      <c r="C58" s="28"/>
      <c r="D58" s="33" t="e">
        <f ca="1">4+COUNTA(INDIRECT(D11&amp;"I76"):INDIRECT(D11&amp;ADDRESS(76,D125+4)))-COUNTIF(INDIRECT(D11&amp;"I76"):INDIRECT(D11&amp;ADDRESS(76,D125+4)),"&gt;0")</f>
        <v>#REF!</v>
      </c>
      <c r="E58" s="33"/>
      <c r="F58" s="33"/>
      <c r="G58" s="33"/>
      <c r="H58" s="33"/>
      <c r="I58" s="33"/>
      <c r="J58" s="33"/>
      <c r="K58" s="33"/>
      <c r="L58" s="33"/>
      <c r="M58" s="33"/>
      <c r="N58" s="6"/>
      <c r="O58" s="6"/>
      <c r="P58" s="6"/>
      <c r="Q58" s="6"/>
      <c r="R58" s="6"/>
      <c r="S58" s="6"/>
    </row>
    <row r="59" spans="2:19" hidden="1" outlineLevel="1">
      <c r="B59" s="30"/>
      <c r="C59" s="28"/>
      <c r="D59" s="33" t="s">
        <v>141</v>
      </c>
      <c r="E59" s="33"/>
      <c r="F59" s="33"/>
      <c r="G59" s="33"/>
      <c r="H59" s="33"/>
      <c r="I59" s="33"/>
      <c r="J59" s="33"/>
      <c r="K59" s="33"/>
      <c r="L59" s="33"/>
      <c r="M59" s="33"/>
      <c r="N59" s="6"/>
      <c r="O59" s="6"/>
      <c r="P59" s="6"/>
      <c r="Q59" s="6"/>
      <c r="R59" s="6"/>
      <c r="S59" s="6"/>
    </row>
    <row r="60" spans="2:19" hidden="1" outlineLevel="1">
      <c r="B60" s="30" t="s">
        <v>137</v>
      </c>
      <c r="C60" s="28"/>
      <c r="D60" s="38" t="e">
        <f ca="1">INDIRECT(D11&amp;"E76")</f>
        <v>#REF!</v>
      </c>
      <c r="E60" s="33"/>
      <c r="F60" s="33"/>
      <c r="G60" s="33"/>
      <c r="H60" s="33"/>
      <c r="I60" s="33"/>
      <c r="J60" s="33"/>
      <c r="K60" s="33"/>
      <c r="L60" s="33"/>
      <c r="M60" s="33"/>
      <c r="N60" s="6"/>
      <c r="O60" s="6"/>
      <c r="P60" s="6"/>
      <c r="Q60" s="6"/>
      <c r="R60" s="6"/>
      <c r="S60" s="6"/>
    </row>
    <row r="61" spans="2:19" hidden="1" outlineLevel="1">
      <c r="B61" s="30"/>
      <c r="C61" s="28"/>
      <c r="D61" s="33" t="s">
        <v>138</v>
      </c>
      <c r="E61" s="33"/>
      <c r="F61" s="33"/>
      <c r="G61" s="33"/>
      <c r="H61" s="33"/>
      <c r="I61" s="33"/>
      <c r="J61" s="33"/>
      <c r="K61" s="33"/>
      <c r="L61" s="33"/>
      <c r="M61" s="33"/>
      <c r="N61" s="6"/>
      <c r="O61" s="6"/>
      <c r="P61" s="6"/>
      <c r="Q61" s="6"/>
      <c r="R61" s="6"/>
      <c r="S61" s="6"/>
    </row>
    <row r="62" spans="2:19" hidden="1" outlineLevel="1">
      <c r="B62" s="87" t="s">
        <v>139</v>
      </c>
      <c r="C62" s="28"/>
      <c r="D62" s="38" t="e">
        <f ca="1">POWER(D60/D54,4/D58)-1</f>
        <v>#REF!</v>
      </c>
      <c r="E62" s="33"/>
      <c r="F62" s="33"/>
      <c r="G62" s="33"/>
      <c r="H62" s="33"/>
      <c r="I62" s="33"/>
      <c r="J62" s="33"/>
      <c r="K62" s="33"/>
      <c r="L62" s="33"/>
      <c r="M62" s="33"/>
      <c r="N62" s="6"/>
      <c r="O62" s="6"/>
      <c r="P62" s="6"/>
      <c r="Q62" s="6"/>
      <c r="R62" s="6"/>
      <c r="S62" s="6"/>
    </row>
    <row r="63" spans="2:19" hidden="1" outlineLevel="1">
      <c r="B63" s="30"/>
      <c r="C63" s="28"/>
      <c r="D63" s="33" t="s">
        <v>133</v>
      </c>
      <c r="E63" s="33"/>
      <c r="F63" s="33"/>
      <c r="G63" s="33"/>
      <c r="H63" s="33"/>
      <c r="I63" s="33"/>
      <c r="J63" s="33"/>
      <c r="K63" s="33"/>
      <c r="L63" s="33"/>
      <c r="M63" s="33"/>
      <c r="N63" s="6"/>
      <c r="O63" s="6"/>
      <c r="P63" s="6"/>
      <c r="Q63" s="6"/>
      <c r="R63" s="6"/>
      <c r="S63" s="6"/>
    </row>
    <row r="64" spans="2:19" hidden="1" outlineLevel="1">
      <c r="B64" s="30"/>
      <c r="C64" s="28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6"/>
      <c r="O64" s="6"/>
      <c r="P64" s="6"/>
      <c r="Q64" s="6"/>
      <c r="R64" s="6"/>
      <c r="S64" s="6"/>
    </row>
    <row r="65" spans="2:14" collapsed="1">
      <c r="B65" s="30" t="s">
        <v>131</v>
      </c>
      <c r="C65" s="28"/>
      <c r="D65" s="35" t="e">
        <f ca="1">IF(INDIRECT(D11&amp;"I118")&lt;0,D62,(INDIRECT(D11&amp;"E118")-INDIRECT(D11&amp;"I118"))/INDIRECT(D11&amp;"I118"))</f>
        <v>#REF!</v>
      </c>
      <c r="E65" s="28"/>
      <c r="F65" s="28" t="e">
        <f ca="1">IF(INDIRECT(D11&amp;"I118")&lt;0,"(calculated from most recent positive black diamond)","")</f>
        <v>#REF!</v>
      </c>
      <c r="G65" s="28"/>
      <c r="H65" s="28"/>
      <c r="I65" s="28"/>
      <c r="J65" s="28"/>
      <c r="K65" s="28"/>
      <c r="L65" s="35"/>
      <c r="M65" s="28"/>
      <c r="N65" s="5"/>
    </row>
    <row r="66" spans="2:14">
      <c r="B66" s="30" t="s">
        <v>69</v>
      </c>
      <c r="C66" s="28"/>
      <c r="D66" s="36" t="e">
        <f ca="1">IF(INDIRECT(D7&amp;"C10")="N/A",D25/INDIRECT(D11&amp;"E85"),INDIRECT(D7&amp;"C10")*$D25/$D19)</f>
        <v>#REF!</v>
      </c>
      <c r="E66" s="28"/>
      <c r="F66" s="28" t="e">
        <f ca="1">IF(D66&lt;=0,"negative",IF(D66&lt;7,"least expensive decile",IF(D66&lt;10.25,"2nd least expensive decile",IF(D66&lt;12.7,"3rd least expensive decile",""))))</f>
        <v>#REF!</v>
      </c>
      <c r="G66" s="28"/>
      <c r="H66" s="28"/>
      <c r="I66" s="28"/>
      <c r="J66" s="28"/>
      <c r="K66" s="28"/>
      <c r="L66" s="28"/>
      <c r="M66" s="28"/>
    </row>
    <row r="67" spans="2:14">
      <c r="B67" s="30" t="s">
        <v>13</v>
      </c>
      <c r="C67" s="28"/>
      <c r="D67" s="37" t="e">
        <f ca="1">IF(D66&lt;=0,"N/A",(D25-D73)/(INDIRECT(D11&amp;"E71")+INDIRECT(D11&amp;"F71")+INDIRECT(D11&amp;"G71")+INDIRECT(D11&amp;"H71")))</f>
        <v>#REF!</v>
      </c>
      <c r="E67" s="28"/>
      <c r="F67" s="28"/>
      <c r="G67" s="28"/>
      <c r="H67" s="28"/>
      <c r="I67" s="28"/>
      <c r="J67" s="28"/>
      <c r="K67" s="28"/>
      <c r="L67" s="28"/>
      <c r="M67" s="28"/>
    </row>
    <row r="68" spans="2:14">
      <c r="B68" s="30" t="s">
        <v>15</v>
      </c>
      <c r="C68" s="28"/>
      <c r="D68" s="38" t="e">
        <f ca="1">D65/(D66/100)</f>
        <v>#REF!</v>
      </c>
      <c r="E68" s="28"/>
      <c r="F68" s="28" t="e">
        <f ca="1">IF(D68&gt;=2,"very attractive",IF(D68&gt;=1.5,"great bargain",IF(D68&gt;=1,"a bargain",IF(D68&gt;=0.9,"pretty good",IF(D68&gt;=0.5,"mediocre","headed for a comedown")))))</f>
        <v>#REF!</v>
      </c>
      <c r="G68" s="28"/>
      <c r="H68" s="28"/>
      <c r="I68" s="28"/>
      <c r="J68" s="28"/>
      <c r="K68" s="28"/>
      <c r="L68" s="30"/>
      <c r="M68" s="28"/>
    </row>
    <row r="69" spans="2:14" hidden="1" outlineLevel="1">
      <c r="B69" s="30" t="s">
        <v>81</v>
      </c>
      <c r="C69" s="28"/>
      <c r="D69" s="30" t="e">
        <f ca="1">INDIRECT(D7&amp;"C12")</f>
        <v>#REF!</v>
      </c>
      <c r="E69" s="28"/>
      <c r="F69" s="28" t="str">
        <f ca="1">IF(ISNUMBER(D69),IF(D69&lt;=0,"meaningless",IF(D69&lt;=1,"consider",IF(D69&gt;100,"no growth",IF(D69&gt;1,"expensive","NA")))),"")</f>
        <v/>
      </c>
      <c r="G69" s="28"/>
      <c r="H69" s="28"/>
      <c r="I69" s="28"/>
      <c r="J69" s="28"/>
      <c r="K69" s="28"/>
      <c r="L69" s="30"/>
      <c r="M69" s="28"/>
    </row>
    <row r="70" spans="2:14" collapsed="1">
      <c r="B70" s="30" t="s">
        <v>12</v>
      </c>
      <c r="C70" s="28"/>
      <c r="D70" s="39" t="e">
        <f ca="1">IF(D49="N/A","N/A",(D65+D50)*100/D66)</f>
        <v>#REF!</v>
      </c>
      <c r="E70" s="28"/>
      <c r="F70" s="28" t="e">
        <f ca="1">IF(D70="N/A","",IF(D70&gt;3,"fabulous",IF(D70&gt;2,"better",IF(D70&gt;1.5,"okay",IF(D70&gt;1,"mediocre","poor")))))</f>
        <v>#REF!</v>
      </c>
      <c r="G70" s="40"/>
      <c r="H70" s="28"/>
      <c r="I70" s="28"/>
      <c r="J70" s="28"/>
      <c r="K70" s="28"/>
      <c r="L70" s="30"/>
      <c r="M70" s="28"/>
    </row>
    <row r="71" spans="2:14" hidden="1" outlineLevel="1">
      <c r="B71" s="30" t="s">
        <v>17</v>
      </c>
      <c r="C71" s="28"/>
      <c r="D71" s="28" t="e">
        <f ca="1">IF(INDIRECT(D11&amp;"E118")/INDIRECT(D11&amp;"E87")=INDIRECT(D11&amp;"E71"),1,IF(INDIRECT(D11&amp;"E118")*0.001/INDIRECT(D11&amp;"E87")=INDIRECT(D11&amp;"E71"),0.001,IF(INDIRECT(D11&amp;"E118")*1000/INDIRECT(D11&amp;"E87")=INDIRECT(D11&amp;"E71"),1000,"N'/A")))</f>
        <v>#REF!</v>
      </c>
      <c r="E71" s="28"/>
      <c r="F71" s="28"/>
      <c r="G71" s="28"/>
      <c r="H71" s="28"/>
      <c r="I71" s="28"/>
      <c r="J71" s="28"/>
      <c r="K71" s="28"/>
      <c r="L71" s="28"/>
      <c r="M71" s="28"/>
    </row>
    <row r="72" spans="2:14" hidden="1" outlineLevel="1">
      <c r="B72" s="30" t="s">
        <v>16</v>
      </c>
      <c r="C72" s="28"/>
      <c r="D72" s="37" t="e">
        <f ca="1">D66</f>
        <v>#REF!</v>
      </c>
      <c r="E72" s="28"/>
      <c r="F72" s="28"/>
      <c r="G72" s="28"/>
      <c r="H72" s="28"/>
      <c r="I72" s="28"/>
      <c r="J72" s="28"/>
      <c r="K72" s="28"/>
      <c r="L72" s="28"/>
      <c r="M72" s="28"/>
    </row>
    <row r="73" spans="2:14" hidden="1" outlineLevel="1">
      <c r="B73" s="30" t="s">
        <v>18</v>
      </c>
      <c r="C73" s="28"/>
      <c r="D73" s="37" t="e">
        <f ca="1">D71*IF((D74+D75)/D47=0,(D76+D77)/D47,(D74+D75)/D47)</f>
        <v>#REF!</v>
      </c>
      <c r="E73" s="28"/>
      <c r="F73" s="28"/>
      <c r="G73" s="28"/>
      <c r="H73" s="28"/>
      <c r="I73" s="28"/>
      <c r="J73" s="28"/>
      <c r="K73" s="28"/>
      <c r="L73" s="28"/>
      <c r="M73" s="28"/>
    </row>
    <row r="74" spans="2:14" hidden="1" outlineLevel="1">
      <c r="B74" s="30" t="s">
        <v>96</v>
      </c>
      <c r="C74" s="28"/>
      <c r="D74" s="41">
        <f ca="1">IF(ISNUMBER(INDIRECT(D11&amp;"E124")),INDIRECT(D11&amp;"E124"),0)</f>
        <v>0</v>
      </c>
      <c r="E74" s="28"/>
      <c r="F74" s="28"/>
      <c r="G74" s="28"/>
      <c r="H74" s="28"/>
      <c r="I74" s="28"/>
      <c r="J74" s="28"/>
      <c r="K74" s="28"/>
      <c r="L74" s="28"/>
      <c r="M74" s="28"/>
    </row>
    <row r="75" spans="2:14" hidden="1" outlineLevel="1">
      <c r="B75" s="30" t="s">
        <v>97</v>
      </c>
      <c r="C75" s="28"/>
      <c r="D75" s="41">
        <f ca="1">IF(ISNUMBER(INDIRECT(D11&amp;"E125")),INDIRECT(D11&amp;"E125"),0)</f>
        <v>0</v>
      </c>
      <c r="E75" s="28"/>
      <c r="F75" s="28"/>
      <c r="G75" s="28"/>
      <c r="H75" s="28"/>
      <c r="I75" s="28"/>
      <c r="J75" s="28"/>
      <c r="K75" s="28"/>
      <c r="L75" s="28"/>
      <c r="M75" s="28"/>
    </row>
    <row r="76" spans="2:14" hidden="1" outlineLevel="1">
      <c r="B76" s="30" t="s">
        <v>112</v>
      </c>
      <c r="C76" s="28"/>
      <c r="D76" s="41">
        <f ca="1">IF(ISNUMBER(INDIRECT(D11&amp;"F124")),INDIRECT(D11&amp;"F124"),0)</f>
        <v>0</v>
      </c>
      <c r="E76" s="28"/>
      <c r="F76" s="28"/>
      <c r="G76" s="28"/>
      <c r="H76" s="28"/>
      <c r="I76" s="28"/>
      <c r="J76" s="28"/>
      <c r="K76" s="28"/>
      <c r="L76" s="28"/>
      <c r="M76" s="28"/>
    </row>
    <row r="77" spans="2:14" hidden="1" outlineLevel="1">
      <c r="B77" s="30" t="s">
        <v>113</v>
      </c>
      <c r="C77" s="28"/>
      <c r="D77" s="41">
        <f ca="1">IF(ISNUMBER(INDIRECT(D11&amp;"F125")),INDIRECT(D11&amp;"F125"),0)</f>
        <v>0</v>
      </c>
      <c r="E77" s="28"/>
      <c r="F77" s="28"/>
      <c r="G77" s="28"/>
      <c r="H77" s="28"/>
      <c r="I77" s="28"/>
      <c r="J77" s="28"/>
      <c r="K77" s="28"/>
      <c r="L77" s="28"/>
      <c r="M77" s="28"/>
    </row>
    <row r="78" spans="2:14" hidden="1" outlineLevel="1" collapsed="1">
      <c r="B78" s="30" t="s">
        <v>94</v>
      </c>
      <c r="C78" s="28"/>
      <c r="D78" s="41">
        <f ca="1">IF(D74+D75=0,D76+D77,D74+D75)</f>
        <v>0</v>
      </c>
      <c r="E78" s="28"/>
      <c r="F78" s="28"/>
      <c r="G78" s="28"/>
      <c r="H78" s="28"/>
      <c r="I78" s="28"/>
      <c r="J78" s="28"/>
      <c r="K78" s="28"/>
      <c r="L78" s="28"/>
      <c r="M78" s="28"/>
    </row>
    <row r="79" spans="2:14" hidden="1" outlineLevel="1">
      <c r="B79" s="30" t="s">
        <v>19</v>
      </c>
      <c r="C79" s="28"/>
      <c r="D79" s="41">
        <f ca="1">IF(ISNUMBER(INDIRECT(D11&amp;"E144")),INDIRECT(D11&amp;"E144"),0)</f>
        <v>0</v>
      </c>
      <c r="E79" s="28"/>
      <c r="F79" s="28"/>
      <c r="G79" s="28"/>
      <c r="H79" s="28"/>
      <c r="I79" s="28"/>
      <c r="J79" s="28"/>
      <c r="K79" s="28"/>
      <c r="L79" s="28"/>
      <c r="M79" s="28"/>
    </row>
    <row r="80" spans="2:14" hidden="1" outlineLevel="1">
      <c r="B80" s="30"/>
      <c r="C80" s="28"/>
      <c r="D80" s="41"/>
      <c r="E80" s="28"/>
      <c r="F80" s="28"/>
      <c r="G80" s="28"/>
      <c r="H80" s="28"/>
      <c r="I80" s="28"/>
      <c r="J80" s="28"/>
      <c r="K80" s="28"/>
      <c r="L80" s="28"/>
      <c r="M80" s="28"/>
    </row>
    <row r="81" spans="2:13" collapsed="1">
      <c r="B81" s="30" t="s">
        <v>86</v>
      </c>
      <c r="C81" s="28"/>
      <c r="D81" s="33">
        <f ca="1">D74+D75-D79</f>
        <v>0</v>
      </c>
      <c r="E81" s="28"/>
      <c r="F81" s="28"/>
      <c r="G81" s="28"/>
      <c r="H81" s="28"/>
      <c r="I81" s="28"/>
      <c r="J81" s="28"/>
      <c r="K81" s="28"/>
      <c r="L81" s="28"/>
      <c r="M81" s="28"/>
    </row>
    <row r="82" spans="2:13">
      <c r="B82" s="30" t="s">
        <v>18</v>
      </c>
      <c r="C82" s="28"/>
      <c r="D82" s="42" t="e">
        <f ca="1">D81/D47</f>
        <v>#REF!</v>
      </c>
      <c r="E82" s="28"/>
      <c r="F82" s="28"/>
      <c r="G82" s="28"/>
      <c r="H82" s="28"/>
      <c r="I82" s="28"/>
      <c r="J82" s="28"/>
      <c r="K82" s="28"/>
      <c r="L82" s="28"/>
      <c r="M82" s="28"/>
    </row>
    <row r="83" spans="2:13">
      <c r="B83" s="30" t="s">
        <v>21</v>
      </c>
      <c r="C83" s="28"/>
      <c r="D83" s="33" t="e">
        <f ca="1">IF(ISNUMBER(INDIRECT(D11&amp;"E141")),INDIRECT(D11&amp;"E141"),INDIRECT(D11&amp;"F141"))</f>
        <v>#REF!</v>
      </c>
      <c r="E83" s="28"/>
      <c r="F83" s="28" t="str">
        <f ca="1">IF(ISNUMBER(D83),IF(D78&gt;D83,"enough cash to cover short term debt","not enough cash to cover short term debt"),"")</f>
        <v/>
      </c>
      <c r="G83" s="28"/>
      <c r="H83" s="28"/>
      <c r="I83" s="28"/>
      <c r="J83" s="28"/>
      <c r="K83" s="28"/>
      <c r="L83" s="28"/>
      <c r="M83" s="28"/>
    </row>
    <row r="84" spans="2:13" hidden="1" outlineLevel="1">
      <c r="B84" s="30" t="s">
        <v>19</v>
      </c>
      <c r="C84" s="28"/>
      <c r="D84" s="43" t="e">
        <f ca="1">IF(INDIRECT(D11&amp;"E144")="",IF(ISNUMBER(INDIRECT(D11&amp;"F144")),INDIRECT(D11&amp;"F144"),0),IF(ISNUMBER(INDIRECT(D11&amp;"E144")),INDIRECT(D11&amp;"E144"),0))</f>
        <v>#REF!</v>
      </c>
      <c r="E84" s="28"/>
      <c r="F84" s="28"/>
      <c r="G84" s="28"/>
      <c r="H84" s="28"/>
      <c r="I84" s="28"/>
      <c r="J84" s="28"/>
      <c r="K84" s="28"/>
      <c r="L84" s="28"/>
      <c r="M84" s="28"/>
    </row>
    <row r="85" spans="2:13" hidden="1" outlineLevel="1">
      <c r="B85" s="30" t="s">
        <v>20</v>
      </c>
      <c r="C85" s="28"/>
      <c r="D85" s="43">
        <f ca="1">IF(ISNUMBER(IF(INDIRECT(D11&amp;"E160")="",INDIRECT(D11&amp;"F159"),INDIRECT(D11&amp;"E159"))),IF(INDIRECT(D11&amp;"E159")="",INDIRECT(D11&amp;"F159"),INDIRECT(D11&amp;"E159")),0)</f>
        <v>0</v>
      </c>
      <c r="E85" s="28"/>
      <c r="F85" s="28"/>
      <c r="G85" s="28"/>
      <c r="H85" s="28"/>
      <c r="I85" s="28"/>
      <c r="J85" s="28"/>
      <c r="K85" s="28"/>
      <c r="L85" s="28"/>
      <c r="M85" s="28"/>
    </row>
    <row r="86" spans="2:13" collapsed="1">
      <c r="B86" s="30" t="s">
        <v>22</v>
      </c>
      <c r="C86" s="28"/>
      <c r="D86" s="44" t="e">
        <f ca="1">D85/(D84+D85)</f>
        <v>#REF!</v>
      </c>
      <c r="E86" s="28"/>
      <c r="F86" s="28" t="e">
        <f ca="1">IF(D86&gt;0.99,"excellent",IF(D86&gt;0.9,"very strong",IF(D86&gt;0.75,"normal",IF(D86&gt;0.4,"less desirable",IF(D86&gt;0.2,"very weak","lousy")))))</f>
        <v>#REF!</v>
      </c>
      <c r="G86" s="28"/>
      <c r="H86" s="28"/>
      <c r="I86" s="28"/>
      <c r="J86" s="28"/>
      <c r="K86" s="28"/>
      <c r="L86" s="28"/>
      <c r="M86" s="28"/>
    </row>
    <row r="87" spans="2:13">
      <c r="B87" s="30" t="s">
        <v>14</v>
      </c>
      <c r="C87" s="28"/>
      <c r="D87" s="30" t="e">
        <f ca="1">INDIRECT(D7&amp;"C13")</f>
        <v>#REF!</v>
      </c>
      <c r="E87" s="28"/>
      <c r="F87" s="28" t="e">
        <f ca="1">IF(D87&gt;11,"most expensive decile",IF(D87&gt;4.8,"2nd most expensive decile",IF(D87&gt;3.24,"3rd most expensive decile",IF(D87&lt;0.8,"inexpensive",IF(D87&lt;2,"reasonably good","normal")))))</f>
        <v>#REF!</v>
      </c>
      <c r="G87" s="28"/>
      <c r="H87" s="28"/>
      <c r="I87" s="28"/>
      <c r="J87" s="28"/>
      <c r="K87" s="28"/>
      <c r="L87" s="28"/>
      <c r="M87" s="28"/>
    </row>
    <row r="88" spans="2:13" hidden="1" outlineLevel="1">
      <c r="B88" s="30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</row>
    <row r="89" spans="2:13" hidden="1" outlineLevel="1">
      <c r="B89" s="30" t="s">
        <v>23</v>
      </c>
      <c r="C89" s="28"/>
      <c r="D89" s="33" t="e">
        <f ca="1">IF(INDIRECT(D11&amp;"E185")="",INDIRECT(D11&amp;"F185")+INDIRECT(D11&amp;"G185")+INDIRECT(D11&amp;"H185")+INDIRECT(D11&amp;"I185"),INDIRECT(D11&amp;"E185")+INDIRECT(D11&amp;"F185")+INDIRECT(D11&amp;"G185")+INDIRECT(D11&amp;"H185"))*1000</f>
        <v>#REF!</v>
      </c>
      <c r="E89" s="28"/>
      <c r="F89" s="28"/>
      <c r="G89" s="28"/>
      <c r="H89" s="28"/>
      <c r="I89" s="28"/>
      <c r="J89" s="28"/>
      <c r="K89" s="28"/>
      <c r="L89" s="28"/>
      <c r="M89" s="28"/>
    </row>
    <row r="90" spans="2:13" hidden="1" outlineLevel="1">
      <c r="B90" s="30" t="s">
        <v>25</v>
      </c>
      <c r="C90" s="28"/>
      <c r="D90" s="38" t="e">
        <f ca="1">D89/D47</f>
        <v>#REF!</v>
      </c>
      <c r="E90" s="28"/>
      <c r="F90" s="28"/>
      <c r="G90" s="28"/>
      <c r="H90" s="28"/>
      <c r="I90" s="28"/>
      <c r="J90" s="28"/>
      <c r="K90" s="28"/>
      <c r="L90" s="28"/>
      <c r="M90" s="28"/>
    </row>
    <row r="91" spans="2:13" hidden="1" outlineLevel="1">
      <c r="B91" s="30"/>
      <c r="C91" s="28"/>
      <c r="D91" s="38"/>
      <c r="E91" s="28"/>
      <c r="F91" s="28"/>
      <c r="G91" s="28"/>
      <c r="H91" s="28"/>
      <c r="I91" s="28"/>
      <c r="J91" s="28"/>
      <c r="K91" s="28"/>
      <c r="L91" s="28"/>
      <c r="M91" s="28"/>
    </row>
    <row r="92" spans="2:13" hidden="1" outlineLevel="1">
      <c r="B92" s="30" t="s">
        <v>89</v>
      </c>
      <c r="C92" s="28"/>
      <c r="D92" s="33">
        <f ca="1">D141</f>
        <v>0</v>
      </c>
      <c r="E92" s="28"/>
      <c r="F92" s="28"/>
      <c r="G92" s="28"/>
      <c r="H92" s="28"/>
      <c r="I92" s="28"/>
      <c r="J92" s="28"/>
      <c r="K92" s="28"/>
      <c r="L92" s="28"/>
      <c r="M92" s="28"/>
    </row>
    <row r="93" spans="2:13" hidden="1" outlineLevel="1">
      <c r="B93" s="30" t="s">
        <v>88</v>
      </c>
      <c r="C93" s="28"/>
      <c r="D93" s="33">
        <f ca="1">D142</f>
        <v>0</v>
      </c>
      <c r="E93" s="28"/>
      <c r="F93" s="28"/>
      <c r="G93" s="28"/>
      <c r="H93" s="28"/>
      <c r="I93" s="28"/>
      <c r="J93" s="28"/>
      <c r="K93" s="28"/>
      <c r="L93" s="28"/>
      <c r="M93" s="28"/>
    </row>
    <row r="94" spans="2:13" hidden="1" outlineLevel="1">
      <c r="B94" s="30" t="s">
        <v>101</v>
      </c>
      <c r="C94" s="28"/>
      <c r="D94" s="33">
        <f ca="1">D92+D93</f>
        <v>0</v>
      </c>
      <c r="E94" s="28"/>
      <c r="F94" s="28"/>
      <c r="G94" s="28"/>
      <c r="H94" s="28"/>
      <c r="I94" s="28"/>
      <c r="J94" s="28"/>
      <c r="K94" s="28"/>
      <c r="L94" s="28"/>
      <c r="M94" s="28"/>
    </row>
    <row r="95" spans="2:13" hidden="1" outlineLevel="1">
      <c r="B95" s="30" t="s">
        <v>90</v>
      </c>
      <c r="C95" s="28"/>
      <c r="D95" s="38" t="e">
        <f ca="1">D94/D47</f>
        <v>#REF!</v>
      </c>
      <c r="E95" s="28"/>
      <c r="F95" s="28"/>
      <c r="G95" s="28"/>
      <c r="H95" s="28"/>
      <c r="I95" s="28"/>
      <c r="J95" s="28"/>
      <c r="K95" s="28"/>
      <c r="L95" s="28"/>
      <c r="M95" s="28"/>
    </row>
    <row r="96" spans="2:13" collapsed="1">
      <c r="B96" s="30" t="s">
        <v>26</v>
      </c>
      <c r="C96" s="28"/>
      <c r="D96" s="38" t="e">
        <f ca="1">D95/D25</f>
        <v>#REF!</v>
      </c>
      <c r="E96" s="28"/>
      <c r="F96" s="28" t="e">
        <f ca="1">IF(D96&gt;=0.45,"buy all the shares you can",IF(D96&gt;=0.19,"terrific",IF(D96&gt;=0.14,"excellent",IF(D96&gt;=0.09,"standard",IF(D96&gt;=0.05,"marginal","poor")))))</f>
        <v>#REF!</v>
      </c>
      <c r="G96" s="28"/>
      <c r="H96" s="28"/>
      <c r="I96" s="28"/>
      <c r="J96" s="28"/>
      <c r="K96" s="28"/>
      <c r="L96" s="28"/>
      <c r="M96" s="28"/>
    </row>
    <row r="97" spans="2:14" hidden="1" outlineLevel="1">
      <c r="B97" s="30" t="s">
        <v>26</v>
      </c>
      <c r="C97" s="28"/>
      <c r="D97" s="45" t="e">
        <f ca="1">D90/D25</f>
        <v>#REF!</v>
      </c>
      <c r="E97" s="28"/>
      <c r="F97" s="28" t="e">
        <f ca="1">IF(D97&gt;=0.45,"buy all the shares you can",IF(D97&gt;=0.19,"terrific",IF(D97&gt;=0.14,"excellent",IF(D97&gt;=0.09,"standard",IF(D97&gt;=0.05,"marginal","poor")))))</f>
        <v>#REF!</v>
      </c>
      <c r="G97" s="28"/>
      <c r="H97" s="28"/>
      <c r="I97" s="28" t="s">
        <v>95</v>
      </c>
      <c r="J97" s="28"/>
      <c r="K97" s="28"/>
      <c r="L97" s="28"/>
      <c r="M97" s="28"/>
      <c r="N97" s="16"/>
    </row>
    <row r="98" spans="2:14" hidden="1" outlineLevel="1">
      <c r="B98" s="30"/>
      <c r="C98" s="28"/>
      <c r="D98" s="45"/>
      <c r="E98" s="28"/>
      <c r="F98" s="28"/>
      <c r="G98" s="28"/>
      <c r="H98" s="28"/>
      <c r="I98" s="28"/>
      <c r="J98" s="28"/>
      <c r="K98" s="28"/>
      <c r="L98" s="28"/>
      <c r="M98" s="28"/>
    </row>
    <row r="99" spans="2:14" collapsed="1">
      <c r="B99" s="30" t="s">
        <v>27</v>
      </c>
      <c r="C99" s="28"/>
      <c r="D99" s="46" t="str">
        <f ca="1">IF(ISERROR(IF(INDIRECT(D11&amp;"E127")="",(INDIRECT(D11&amp;"F127")-INDIRECT(D11&amp;"J127"))/INDIRECT(D11&amp;"J127"),(INDIRECT(D11&amp;"E127")-INDIRECT(D11&amp;"I127"))/INDIRECT(D11&amp;"I127"))),"",IF(INDIRECT(D11&amp;"E127")="",(INDIRECT(D11&amp;"F127")-INDIRECT(D11&amp;"J127"))/INDIRECT(D11&amp;"J127"),(INDIRECT(D11&amp;"E127")-INDIRECT(D11&amp;"I127"))/INDIRECT(D11&amp;"I127")))</f>
        <v/>
      </c>
      <c r="E99" s="28"/>
      <c r="F99" s="28"/>
      <c r="G99" s="28"/>
      <c r="H99" s="28"/>
      <c r="I99" s="28"/>
      <c r="J99" s="28"/>
      <c r="K99" s="28"/>
      <c r="L99" s="28"/>
      <c r="M99" s="28"/>
    </row>
    <row r="100" spans="2:14">
      <c r="B100" s="30" t="s">
        <v>28</v>
      </c>
      <c r="C100" s="28"/>
      <c r="D100" s="47" t="e">
        <f ca="1">IF(INDIRECT(D11&amp;"E91")="",IF(ISNUMBER((INDIRECT(D11&amp;"F91")-INDIRECT(D11&amp;"J91"))/INDIRECT(D11&amp;"J91")),(INDIRECT(D11&amp;"F91")-INDIRECT(D11&amp;"J91"))/INDIRECT(D11&amp;"J91"),"N/A"),IF(ISNUMBER((INDIRECT(D11&amp;"E91")-INDIRECT(D11&amp;"I91"))/INDIRECT(D11&amp;"I91")),(INDIRECT(D11&amp;"E91")-INDIRECT(D11&amp;"I91"))/INDIRECT(D11&amp;"I91"),"N/A"))</f>
        <v>#REF!</v>
      </c>
      <c r="E100" s="28"/>
      <c r="F100" s="28" t="str">
        <f ca="1">IF(D99="","",IF(D100&gt;D99,"good inventory control",IF(D99&gt;2*D100,"inventory may be increasing too much","okay")))</f>
        <v/>
      </c>
      <c r="G100" s="28"/>
      <c r="H100" s="28"/>
      <c r="I100" s="28"/>
      <c r="J100" s="28"/>
      <c r="K100" s="28"/>
      <c r="L100" s="28"/>
      <c r="M100" s="28"/>
    </row>
    <row r="101" spans="2:14">
      <c r="D101" s="9"/>
    </row>
    <row r="102" spans="2:14" hidden="1" outlineLevel="1">
      <c r="B102" s="51" t="s">
        <v>142</v>
      </c>
      <c r="C102" s="50"/>
      <c r="D102" s="88" t="s">
        <v>145</v>
      </c>
      <c r="E102" s="54"/>
      <c r="F102" s="54"/>
      <c r="G102" s="54"/>
      <c r="H102" s="54"/>
      <c r="I102" s="54"/>
      <c r="J102" s="54"/>
      <c r="K102" s="54"/>
      <c r="L102" s="54"/>
      <c r="M102" s="54"/>
    </row>
    <row r="103" spans="2:14" hidden="1" outlineLevel="1">
      <c r="B103" s="51" t="s">
        <v>144</v>
      </c>
      <c r="C103" s="50"/>
      <c r="D103" s="54"/>
      <c r="E103" s="54"/>
      <c r="F103" s="54"/>
      <c r="G103" s="54"/>
      <c r="H103" s="54"/>
      <c r="I103" s="54"/>
      <c r="J103" s="54"/>
      <c r="K103" s="54"/>
      <c r="L103" s="54"/>
      <c r="M103" s="54"/>
    </row>
    <row r="104" spans="2:14" hidden="1" outlineLevel="1">
      <c r="B104" s="51" t="s">
        <v>143</v>
      </c>
      <c r="C104" s="50"/>
      <c r="D104" s="54"/>
      <c r="E104" s="54"/>
      <c r="F104" s="54"/>
      <c r="G104" s="54"/>
      <c r="H104" s="54"/>
      <c r="I104" s="54"/>
      <c r="J104" s="54"/>
      <c r="K104" s="54"/>
      <c r="L104" s="54"/>
      <c r="M104" s="54"/>
    </row>
    <row r="105" spans="2:14" hidden="1" outlineLevel="1">
      <c r="B105" s="51"/>
      <c r="C105" s="50"/>
      <c r="D105" s="54"/>
      <c r="E105" s="54"/>
      <c r="F105" s="54"/>
      <c r="G105" s="54"/>
      <c r="H105" s="54"/>
      <c r="I105" s="54"/>
      <c r="J105" s="54"/>
      <c r="K105" s="54"/>
      <c r="L105" s="54"/>
      <c r="M105" s="54"/>
    </row>
    <row r="106" spans="2:14" hidden="1" outlineLevel="1">
      <c r="B106" s="51"/>
      <c r="C106" s="50"/>
      <c r="D106" s="54"/>
      <c r="E106" s="54"/>
      <c r="F106" s="54"/>
      <c r="G106" s="54"/>
      <c r="H106" s="54"/>
      <c r="I106" s="54"/>
      <c r="J106" s="54"/>
      <c r="K106" s="54"/>
      <c r="L106" s="54"/>
      <c r="M106" s="54"/>
    </row>
    <row r="107" spans="2:14" hidden="1" outlineLevel="1">
      <c r="B107" s="51"/>
      <c r="C107" s="50"/>
      <c r="D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2:14" hidden="1" outlineLevel="1">
      <c r="B108" s="51"/>
      <c r="C108" s="50"/>
      <c r="D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2:14" hidden="1" outlineLevel="1">
      <c r="B109" s="51"/>
      <c r="C109" s="50"/>
      <c r="D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2:14" hidden="1" outlineLevel="1">
      <c r="B110" s="51"/>
      <c r="C110" s="50"/>
      <c r="D110" s="55"/>
      <c r="E110" s="55"/>
      <c r="F110" s="55"/>
      <c r="G110" s="55"/>
      <c r="H110" s="55"/>
      <c r="I110" s="55"/>
      <c r="J110" s="55"/>
      <c r="K110" s="55"/>
      <c r="L110" s="55"/>
      <c r="M110" s="55"/>
    </row>
    <row r="111" spans="2:14" collapsed="1">
      <c r="B111" s="49" t="s">
        <v>80</v>
      </c>
      <c r="C111" s="50"/>
      <c r="D111" s="81">
        <f ca="1">IF(ISNUMBER(INDIRECT(D11&amp;"E160")),D27,D21)</f>
        <v>42511</v>
      </c>
      <c r="E111" s="81">
        <f t="shared" ref="E111:N111" ca="1" si="0">D111-365</f>
        <v>42146</v>
      </c>
      <c r="F111" s="81">
        <f t="shared" ca="1" si="0"/>
        <v>41781</v>
      </c>
      <c r="G111" s="81">
        <f t="shared" ca="1" si="0"/>
        <v>41416</v>
      </c>
      <c r="H111" s="81">
        <f t="shared" ca="1" si="0"/>
        <v>41051</v>
      </c>
      <c r="I111" s="81">
        <f t="shared" ca="1" si="0"/>
        <v>40686</v>
      </c>
      <c r="J111" s="81">
        <f t="shared" ca="1" si="0"/>
        <v>40321</v>
      </c>
      <c r="K111" s="81">
        <f t="shared" ca="1" si="0"/>
        <v>39956</v>
      </c>
      <c r="L111" s="81">
        <f t="shared" ca="1" si="0"/>
        <v>39591</v>
      </c>
      <c r="M111" s="81">
        <f t="shared" ca="1" si="0"/>
        <v>39226</v>
      </c>
      <c r="N111" s="19">
        <f t="shared" ca="1" si="0"/>
        <v>38861</v>
      </c>
    </row>
    <row r="112" spans="2:14" hidden="1" outlineLevel="1">
      <c r="B112" s="51" t="s">
        <v>32</v>
      </c>
      <c r="C112" s="50"/>
      <c r="D112" s="52" t="e">
        <f ca="1">D25</f>
        <v>#REF!</v>
      </c>
      <c r="E112" s="53" t="e">
        <f t="shared" ref="E112:F112" ca="1" si="1">INDEX(INDIRECT($D$9&amp;"G:G"),MATCH(E111,INDIRECT($D$9&amp;"A:A"),-1))</f>
        <v>#REF!</v>
      </c>
      <c r="F112" s="53" t="e">
        <f t="shared" ca="1" si="1"/>
        <v>#REF!</v>
      </c>
      <c r="G112" s="53" t="e">
        <f ca="1">INDEX(INDIRECT($D$9&amp;"G:G"),MATCH(G111,INDIRECT($D$9&amp;"A:A"),-1))</f>
        <v>#REF!</v>
      </c>
      <c r="H112" s="53" t="e">
        <f t="shared" ref="H112:N112" ca="1" si="2">INDEX(INDIRECT($D$9&amp;"G:G"),MATCH(H111,INDIRECT($D$9&amp;"A:A"),-1))</f>
        <v>#REF!</v>
      </c>
      <c r="I112" s="53" t="e">
        <f t="shared" ca="1" si="2"/>
        <v>#REF!</v>
      </c>
      <c r="J112" s="53" t="e">
        <f t="shared" ca="1" si="2"/>
        <v>#REF!</v>
      </c>
      <c r="K112" s="53" t="e">
        <f t="shared" ca="1" si="2"/>
        <v>#REF!</v>
      </c>
      <c r="L112" s="53" t="e">
        <f t="shared" ca="1" si="2"/>
        <v>#REF!</v>
      </c>
      <c r="M112" s="53" t="e">
        <f t="shared" ca="1" si="2"/>
        <v>#REF!</v>
      </c>
      <c r="N112" s="53" t="e">
        <f t="shared" ca="1" si="2"/>
        <v>#REF!</v>
      </c>
    </row>
    <row r="113" spans="2:47" hidden="1" outlineLevel="1">
      <c r="B113" s="51" t="s">
        <v>29</v>
      </c>
      <c r="C113" s="50"/>
      <c r="D113" s="54" t="e">
        <f ca="1">(D112-E112)/E112</f>
        <v>#REF!</v>
      </c>
      <c r="E113" s="54" t="e">
        <f t="shared" ref="E113:M113" ca="1" si="3">(E112-F112)/F112</f>
        <v>#REF!</v>
      </c>
      <c r="F113" s="54" t="e">
        <f t="shared" ca="1" si="3"/>
        <v>#REF!</v>
      </c>
      <c r="G113" s="54" t="e">
        <f t="shared" ca="1" si="3"/>
        <v>#REF!</v>
      </c>
      <c r="H113" s="54" t="e">
        <f t="shared" ca="1" si="3"/>
        <v>#REF!</v>
      </c>
      <c r="I113" s="54" t="e">
        <f t="shared" ca="1" si="3"/>
        <v>#REF!</v>
      </c>
      <c r="J113" s="54" t="e">
        <f t="shared" ca="1" si="3"/>
        <v>#REF!</v>
      </c>
      <c r="K113" s="54" t="e">
        <f t="shared" ca="1" si="3"/>
        <v>#REF!</v>
      </c>
      <c r="L113" s="54" t="e">
        <f t="shared" ca="1" si="3"/>
        <v>#REF!</v>
      </c>
      <c r="M113" s="54" t="e">
        <f t="shared" ca="1" si="3"/>
        <v>#REF!</v>
      </c>
    </row>
    <row r="114" spans="2:47" hidden="1" outlineLevel="1">
      <c r="B114" s="51"/>
      <c r="C114" s="50"/>
      <c r="D114" s="54"/>
      <c r="E114" s="54"/>
      <c r="F114" s="54"/>
      <c r="G114" s="54"/>
      <c r="H114" s="54"/>
      <c r="I114" s="54"/>
      <c r="J114" s="54"/>
      <c r="K114" s="54"/>
      <c r="L114" s="54"/>
      <c r="M114" s="54"/>
    </row>
    <row r="115" spans="2:47" hidden="1" outlineLevel="1">
      <c r="B115" s="51" t="s">
        <v>91</v>
      </c>
      <c r="C115" s="50"/>
      <c r="D115" s="55">
        <f ca="1">IF(ISNUMBER(INDIRECT(D11&amp;"E101")),INDIRECT(D11&amp;"E101"),0)</f>
        <v>0</v>
      </c>
      <c r="E115" s="55">
        <f ca="1">IF(ISNUMBER(INDIRECT(D11&amp;"F101")),INDIRECT(D11&amp;"F101"),0)</f>
        <v>0</v>
      </c>
      <c r="F115" s="55">
        <f ca="1">IF(ISNUMBER(INDIRECT(D11&amp;"G101")),INDIRECT(D11&amp;"G101"),0)</f>
        <v>0</v>
      </c>
      <c r="G115" s="55">
        <f ca="1">IF(ISNUMBER(INDIRECT(D11&amp;"H101")),INDIRECT(D11&amp;"H101"),0)</f>
        <v>0</v>
      </c>
      <c r="H115" s="55">
        <f ca="1">IF(ISNUMBER(INDIRECT(D11&amp;"I101")),INDIRECT(D11&amp;"I101"),0)</f>
        <v>0</v>
      </c>
      <c r="I115" s="55" t="e">
        <f ca="1">IF(D125&gt;6,IF(ISNUMBER(INDIRECT(D11&amp;"J101")),INDIRECT(D11&amp;"J101"),0),"")</f>
        <v>#REF!</v>
      </c>
      <c r="J115" s="55" t="e">
        <f ca="1">IF(D125&gt;7,IF(ISNUMBER(INDIRECT(D11&amp;"K101")),INDIRECT(D11&amp;"K101"),0),"")</f>
        <v>#REF!</v>
      </c>
      <c r="K115" s="55" t="e">
        <f ca="1">IF(D125&gt;8,IF(ISNUMBER(INDIRECT(D11&amp;"L101")),INDIRECT(D11&amp;"L101"),0),"")</f>
        <v>#REF!</v>
      </c>
      <c r="L115" s="55" t="e">
        <f ca="1">IF(D125&gt;9,IF(ISNUMBER(INDIRECT(D11&amp;"M101")),INDIRECT(D11&amp;"M101"),0),"")</f>
        <v>#REF!</v>
      </c>
      <c r="M115" s="55" t="e">
        <f ca="1">IF(D125&gt;10,IF(ISNUMBER(INDIRECT(D11&amp;"N101")),INDIRECT(D11&amp;"N101"),0),"")</f>
        <v>#REF!</v>
      </c>
      <c r="N115" s="55" t="e">
        <f ca="1">IF(D125&gt;11,IF(ISNUMBER(INDIRECT(D11&amp;"O101")),INDIRECT(D11&amp;"O101"),0),"")</f>
        <v>#REF!</v>
      </c>
      <c r="O115" s="55" t="e">
        <f ca="1">IF(D125&gt;12,IF(ISNUMBER(INDIRECT(D11&amp;"P101")),INDIRECT(D11&amp;"P101"),0),"")</f>
        <v>#REF!</v>
      </c>
      <c r="P115" s="55" t="e">
        <f ca="1">IF(D125&gt;13,IF(ISNUMBER(INDIRECT(D11&amp;"Q101")),INDIRECT(D11&amp;"Q101"),0),"")</f>
        <v>#REF!</v>
      </c>
      <c r="Q115" s="55" t="e">
        <f ca="1">IF(D125&gt;14,IF(ISNUMBER(INDIRECT(D11&amp;"R101")),INDIRECT(D11&amp;"R101"),0),"")</f>
        <v>#REF!</v>
      </c>
      <c r="R115" s="55" t="e">
        <f ca="1">IF(D125&gt;15,IF(ISNUMBER(INDIRECT(D11&amp;"S101")),INDIRECT(D11&amp;"S101"),0),"")</f>
        <v>#REF!</v>
      </c>
      <c r="S115" s="55" t="e">
        <f ca="1">IF(D125&gt;16,IF(ISNUMBER(INDIRECT(D11&amp;"T101")),INDIRECT(D11&amp;"T101"),0),"")</f>
        <v>#REF!</v>
      </c>
      <c r="T115" s="55" t="e">
        <f ca="1">IF(D125&gt;17,IF(ISNUMBER(INDIRECT(D11&amp;"U101")),INDIRECT(D11&amp;"U101"),0),"")</f>
        <v>#REF!</v>
      </c>
      <c r="U115" s="55" t="e">
        <f ca="1">IF(D125&gt;18,IF(ISNUMBER(INDIRECT(D11&amp;"V101")),INDIRECT(D11&amp;"V101"),0),"")</f>
        <v>#REF!</v>
      </c>
      <c r="V115" s="55" t="e">
        <f ca="1">IF(D125&gt;19,IF(ISNUMBER(INDIRECT(D11&amp;"W101")),INDIRECT(D11&amp;"W101"),0),"")</f>
        <v>#REF!</v>
      </c>
      <c r="W115" s="55" t="e">
        <f ca="1">IF(D125&gt;20,IF(ISNUMBER(INDIRECT(D11&amp;"X101")),INDIRECT(D11&amp;"X101"),0),"")</f>
        <v>#REF!</v>
      </c>
      <c r="X115" s="55" t="e">
        <f ca="1">IF(D125&gt;21,IF(ISNUMBER(INDIRECT(D11&amp;"Y101")),INDIRECT(D11&amp;"Y101"),0),"")</f>
        <v>#REF!</v>
      </c>
      <c r="Y115" s="55" t="e">
        <f ca="1">IF(D125&gt;22,IF(ISNUMBER(INDIRECT(D11&amp;"Z101")),INDIRECT(D11&amp;"Z101"),0),"")</f>
        <v>#REF!</v>
      </c>
      <c r="Z115" s="55" t="e">
        <f ca="1">IF(D125&gt;23,IF(ISNUMBER(INDIRECT(D11&amp;"AA101")),INDIRECT(D11&amp;"AA101"),0),"")</f>
        <v>#REF!</v>
      </c>
      <c r="AA115" s="55" t="e">
        <f ca="1">IF(D125&gt;24,IF(ISNUMBER(INDIRECT(D11&amp;"AB101")),INDIRECT(D11&amp;"AB101"),0),"")</f>
        <v>#REF!</v>
      </c>
      <c r="AB115" s="55" t="e">
        <f ca="1">IF(D125&gt;25,IF(ISNUMBER(INDIRECT(D11&amp;"AC101")),INDIRECT(D11&amp;"AC101"),0),"")</f>
        <v>#REF!</v>
      </c>
      <c r="AC115" s="55" t="e">
        <f ca="1">IF(D125&gt;26,IF(ISNUMBER(INDIRECT(D11&amp;"AD101")),INDIRECT(D11&amp;"AD101"),0),"")</f>
        <v>#REF!</v>
      </c>
      <c r="AD115" s="55" t="e">
        <f ca="1">IF(D125&gt;27,IF(ISNUMBER(INDIRECT(D11&amp;"AE101")),INDIRECT(D11&amp;"AE101"),0),"")</f>
        <v>#REF!</v>
      </c>
      <c r="AE115" s="55" t="e">
        <f ca="1">IF(D125&gt;28,IF(ISNUMBER(INDIRECT(D11&amp;"AF101")),INDIRECT(D11&amp;"AF101"),0),"")</f>
        <v>#REF!</v>
      </c>
      <c r="AF115" s="55" t="e">
        <f ca="1">IF(D125&gt;29,IF(ISNUMBER(INDIRECT(D11&amp;"AG101")),INDIRECT(D11&amp;"AG101"),0),"")</f>
        <v>#REF!</v>
      </c>
      <c r="AG115" s="55" t="e">
        <f ca="1">IF(D125&gt;30,IF(ISNUMBER(INDIRECT(D11&amp;"AH101")),INDIRECT(D11&amp;"AH101"),0),"")</f>
        <v>#REF!</v>
      </c>
      <c r="AH115" s="55" t="e">
        <f ca="1">IF(D125&gt;31,IF(ISNUMBER(INDIRECT(D11&amp;"AI101")),INDIRECT(D11&amp;"AI101"),0),"")</f>
        <v>#REF!</v>
      </c>
      <c r="AI115" s="55" t="e">
        <f ca="1">IF(D125&gt;32,IF(ISNUMBER(INDIRECT(D11&amp;"AJ101")),INDIRECT(D11&amp;"AJ101"),0),"")</f>
        <v>#REF!</v>
      </c>
      <c r="AJ115" s="55" t="e">
        <f ca="1">IF(D125&gt;33,IF(ISNUMBER(INDIRECT(D11&amp;"AK101")),INDIRECT(D11&amp;"AK101"),0),"")</f>
        <v>#REF!</v>
      </c>
      <c r="AK115" s="55" t="e">
        <f ca="1">IF(D125&gt;34,IF(ISNUMBER(INDIRECT(D11&amp;"AL101")),INDIRECT(D11&amp;"AL101"),0),"")</f>
        <v>#REF!</v>
      </c>
      <c r="AL115" s="55" t="e">
        <f ca="1">IF(D125&gt;35,IF(ISNUMBER(INDIRECT(D11&amp;"AM101")),INDIRECT(D11&amp;"AM101"),0),"")</f>
        <v>#REF!</v>
      </c>
      <c r="AM115" s="55" t="e">
        <f ca="1">IF(D125&gt;36,IF(ISNUMBER(INDIRECT(D11&amp;"AN101")),INDIRECT(D11&amp;"AN101"),0),"")</f>
        <v>#REF!</v>
      </c>
      <c r="AN115" s="55" t="e">
        <f ca="1">IF(D125&gt;37,IF(ISNUMBER(INDIRECT(D11&amp;"AO101")),INDIRECT(D11&amp;"AO101"),0),"")</f>
        <v>#REF!</v>
      </c>
      <c r="AO115" s="55" t="e">
        <f ca="1">IF(D125&gt;38,IF(ISNUMBER(INDIRECT(D11&amp;"AP101")),INDIRECT(D11&amp;"AP101"),0),"")</f>
        <v>#REF!</v>
      </c>
      <c r="AP115" s="55" t="e">
        <f ca="1">IF(D125&gt;39,IF(ISNUMBER(INDIRECT(D11&amp;"AQ101")),INDIRECT(D11&amp;"AQ101"),0),"")</f>
        <v>#REF!</v>
      </c>
      <c r="AQ115" s="55" t="e">
        <f ca="1">IF(D125&gt;40,IF(ISNUMBER(INDIRECT(D11&amp;"AR101")),INDIRECT(D11&amp;"AR101"),0),"")</f>
        <v>#REF!</v>
      </c>
      <c r="AR115" s="55" t="e">
        <f ca="1">IF(D125&gt;41,IF(ISNUMBER(INDIRECT(D11&amp;"AS101")),INDIRECT(D11&amp;"AS101"),0),"")</f>
        <v>#REF!</v>
      </c>
      <c r="AS115" s="55" t="e">
        <f ca="1">IF(D125&gt;42,IF(ISNUMBER(INDIRECT(D11&amp;"AT101")),INDIRECT(D11&amp;"AT101"),0),"")</f>
        <v>#REF!</v>
      </c>
      <c r="AT115" s="55" t="e">
        <f ca="1">IF(D125&gt;43,IF(ISNUMBER(INDIRECT(D11&amp;"AU101")),INDIRECT(D11&amp;"AU101"),0),"")</f>
        <v>#REF!</v>
      </c>
      <c r="AU115" s="55" t="e">
        <f ca="1">IF(D125&gt;44,IF(ISNUMBER(INDIRECT(D11&amp;"AV101")),INDIRECT(D11&amp;"AV101"),0),"")</f>
        <v>#REF!</v>
      </c>
    </row>
    <row r="116" spans="2:47" hidden="1" outlineLevel="1">
      <c r="B116" s="51" t="s">
        <v>92</v>
      </c>
      <c r="C116" s="50"/>
      <c r="D116" s="55">
        <f ca="1">IF(ISNUMBER(INDIRECT(D11&amp;"E107")),INDIRECT(D11&amp;"E107"),0)</f>
        <v>0</v>
      </c>
      <c r="E116" s="55">
        <f ca="1">IF(ISNUMBER(INDIRECT(D11&amp;"F107")),INDIRECT(D11&amp;"F107"),0)</f>
        <v>0</v>
      </c>
      <c r="F116" s="55">
        <f ca="1">IF(ISNUMBER(INDIRECT(D11&amp;"G107")),INDIRECT(D11&amp;"G107"),0)</f>
        <v>0</v>
      </c>
      <c r="G116" s="55">
        <f ca="1">IF(ISNUMBER(INDIRECT(D11&amp;"H107")),INDIRECT(D11&amp;"H107"),0)</f>
        <v>0</v>
      </c>
      <c r="H116" s="55">
        <f ca="1">IF(ISNUMBER(INDIRECT(D11&amp;"I107")),INDIRECT(D11&amp;"I107"),0)</f>
        <v>0</v>
      </c>
      <c r="I116" s="55" t="e">
        <f ca="1">IF(D125&gt;6,IF(ISNUMBER(INDIRECT(D11&amp;"J107")),INDIRECT(D11&amp;"J107"),0),"")</f>
        <v>#REF!</v>
      </c>
      <c r="J116" s="55" t="e">
        <f ca="1">IF(D125&gt;7,IF(ISNUMBER(INDIRECT(D11&amp;"K107")),INDIRECT(D11&amp;"K107"),0),"")</f>
        <v>#REF!</v>
      </c>
      <c r="K116" s="55" t="e">
        <f ca="1">IF(D125&gt;8,IF(ISNUMBER(INDIRECT(D11&amp;"L107")),INDIRECT(D11&amp;"L107"),0),"")</f>
        <v>#REF!</v>
      </c>
      <c r="L116" s="55" t="e">
        <f ca="1">IF(D125&gt;9,IF(ISNUMBER(INDIRECT(D11&amp;"M107")),INDIRECT(D11&amp;"M107"),0),"")</f>
        <v>#REF!</v>
      </c>
      <c r="M116" s="55" t="e">
        <f ca="1">IF(D125&gt;10,IF(ISNUMBER(INDIRECT(D11&amp;"N107")),INDIRECT(D11&amp;"N107"),0),"")</f>
        <v>#REF!</v>
      </c>
      <c r="N116" s="55" t="e">
        <f ca="1">IF(D125&gt;11,IF(ISNUMBER(INDIRECT(D11&amp;"O107")),INDIRECT(D11&amp;"O107"),0),"")</f>
        <v>#REF!</v>
      </c>
      <c r="O116" s="55" t="e">
        <f ca="1">IF(D125&gt;12,IF(ISNUMBER(INDIRECT(D11&amp;"P107")),INDIRECT(D11&amp;"P107"),0),"")</f>
        <v>#REF!</v>
      </c>
      <c r="P116" s="55" t="e">
        <f ca="1">IF(D125&gt;13,IF(ISNUMBER(INDIRECT(D11&amp;"Q107")),INDIRECT(D11&amp;"Q107"),0),"")</f>
        <v>#REF!</v>
      </c>
      <c r="Q116" s="55" t="e">
        <f ca="1">IF(D125&gt;14,IF(ISNUMBER(INDIRECT(D11&amp;"R107")),INDIRECT(D11&amp;"R107"),0),0)</f>
        <v>#REF!</v>
      </c>
      <c r="R116" s="55" t="e">
        <f ca="1">IF(D125&gt;15,IF(ISNUMBER(INDIRECT(D11&amp;"S107")),INDIRECT(D11&amp;"S107"),0),"")</f>
        <v>#REF!</v>
      </c>
      <c r="S116" s="55" t="e">
        <f ca="1">IF(D125&gt;16,IF(ISNUMBER(INDIRECT(D11&amp;"T107")),INDIRECT(D11&amp;"T107"),0),"")</f>
        <v>#REF!</v>
      </c>
      <c r="T116" s="55" t="e">
        <f ca="1">IF(D125&gt;17,IF(ISNUMBER(INDIRECT(D11&amp;"U107")),INDIRECT(D11&amp;"U107"),0),"")</f>
        <v>#REF!</v>
      </c>
      <c r="U116" s="55" t="e">
        <f ca="1">IF(D125&gt;18,IF(ISNUMBER(INDIRECT(D11&amp;"V107")),INDIRECT(D11&amp;"V107"),0),"")</f>
        <v>#REF!</v>
      </c>
      <c r="V116" s="55" t="e">
        <f ca="1">IF(D125&gt;19,IF(ISNUMBER(INDIRECT(D11&amp;"W107")),INDIRECT(D11&amp;"W107"),0),"")</f>
        <v>#REF!</v>
      </c>
      <c r="W116" s="55" t="e">
        <f ca="1">IF(D125&gt;20,IF(ISNUMBER(INDIRECT(D11&amp;"X107")),INDIRECT(D11&amp;"X107"),0),"")</f>
        <v>#REF!</v>
      </c>
      <c r="X116" s="55" t="e">
        <f ca="1">IF(D125&gt;21,IF(ISNUMBER(INDIRECT(D11&amp;"Y107")),INDIRECT(D11&amp;"Y107"),0),"")</f>
        <v>#REF!</v>
      </c>
      <c r="Y116" s="55" t="e">
        <f ca="1">IF(D125&gt;22,IF(ISNUMBER(INDIRECT(D11&amp;"Z107")),INDIRECT(D11&amp;"Z107"),0),"")</f>
        <v>#REF!</v>
      </c>
      <c r="Z116" s="55" t="e">
        <f ca="1">IF(D125&gt;23,IF(ISNUMBER(INDIRECT(D11&amp;"AA107")),INDIRECT(D11&amp;"AA107"),0),"")</f>
        <v>#REF!</v>
      </c>
      <c r="AA116" s="55" t="e">
        <f ca="1">IF(D125&gt;24,IF(ISNUMBER(INDIRECT(D11&amp;"AB107")),INDIRECT(D11&amp;"AB107"),0),"")</f>
        <v>#REF!</v>
      </c>
      <c r="AB116" s="55" t="e">
        <f ca="1">IF(D125&gt;25,IF(ISNUMBER(INDIRECT(D11&amp;"AC107")),INDIRECT(D11&amp;"AC107"),0),"")</f>
        <v>#REF!</v>
      </c>
      <c r="AC116" s="55" t="e">
        <f ca="1">IF(D125&gt;26,IF(ISNUMBER(INDIRECT(D11&amp;"AD107")),INDIRECT(D11&amp;"AD107"),0),"")</f>
        <v>#REF!</v>
      </c>
      <c r="AD116" s="55" t="e">
        <f ca="1">IF(D125&gt;27,IF(ISNUMBER(INDIRECT(D11&amp;"AE107")),INDIRECT(D11&amp;"AE107"),0),"")</f>
        <v>#REF!</v>
      </c>
      <c r="AE116" s="55" t="e">
        <f ca="1">IF(D125&gt;28,IF(ISNUMBER(INDIRECT(D11&amp;"AF107")),INDIRECT(D11&amp;"AF107"),0),"")</f>
        <v>#REF!</v>
      </c>
      <c r="AF116" s="55" t="e">
        <f ca="1">IF(D125&gt;29,IF(ISNUMBER(INDIRECT(D11&amp;"AG107")),INDIRECT(D11&amp;"AG107"),0),"")</f>
        <v>#REF!</v>
      </c>
      <c r="AG116" s="55" t="e">
        <f ca="1">IF(D125&gt;30,IF(ISNUMBER(INDIRECT(D11&amp;"AH107")),INDIRECT(D11&amp;"AH107"),0),"")</f>
        <v>#REF!</v>
      </c>
      <c r="AH116" s="55" t="e">
        <f ca="1">IF(D125&gt;31,IF(ISNUMBER(INDIRECT(D11&amp;"AI107")),INDIRECT(D11&amp;"AI107"),0),"")</f>
        <v>#REF!</v>
      </c>
      <c r="AI116" s="55" t="e">
        <f ca="1">IF(D125&gt;32,IF(ISNUMBER(INDIRECT(D11&amp;"AJ107")),INDIRECT(D11&amp;"AJ107"),0),"")</f>
        <v>#REF!</v>
      </c>
      <c r="AJ116" s="55" t="e">
        <f ca="1">IF(D125&gt;33,IF(ISNUMBER(INDIRECT(D11&amp;"AK107")),INDIRECT(D11&amp;"AK107"),0),"")</f>
        <v>#REF!</v>
      </c>
      <c r="AK116" s="55" t="e">
        <f ca="1">IF(D125&gt;34,IF(ISNUMBER(INDIRECT(D11&amp;"AL107")),INDIRECT(D11&amp;"AL107"),0),"")</f>
        <v>#REF!</v>
      </c>
      <c r="AL116" s="55" t="e">
        <f ca="1">IF(D125&gt;35,IF(ISNUMBER(INDIRECT(D11&amp;"AM107")),INDIRECT(D11&amp;"AM107"),0),"")</f>
        <v>#REF!</v>
      </c>
      <c r="AM116" s="55" t="e">
        <f ca="1">IF(D125&gt;36,IF(ISNUMBER(INDIRECT(D11&amp;"AN107")),INDIRECT(D11&amp;"AN107"),0),"")</f>
        <v>#REF!</v>
      </c>
      <c r="AN116" s="55" t="e">
        <f ca="1">IF(D125&gt;37,IF(ISNUMBER(INDIRECT(D11&amp;"AO107")),INDIRECT(D11&amp;"AO107"),0),"")</f>
        <v>#REF!</v>
      </c>
      <c r="AO116" s="55" t="e">
        <f ca="1">IF(D125&gt;38,IF(ISNUMBER(INDIRECT(D11&amp;"AP107")),INDIRECT(D11&amp;"AP107"),0),"")</f>
        <v>#REF!</v>
      </c>
      <c r="AP116" s="55" t="e">
        <f ca="1">IF(D125&gt;39,IF(ISNUMBER(INDIRECT(D11&amp;"AQ107")),INDIRECT(D11&amp;"AQ107"),0),"")</f>
        <v>#REF!</v>
      </c>
      <c r="AQ116" s="55" t="e">
        <f ca="1">IF(D125&gt;40,IF(ISNUMBER(INDIRECT(D11&amp;"AR107")),INDIRECT(D11&amp;"AR107"),0),"")</f>
        <v>#REF!</v>
      </c>
      <c r="AR116" s="55" t="e">
        <f ca="1">IF(D125&gt;41,IF(ISNUMBER(INDIRECT(D11&amp;"AS107")),INDIRECT(D11&amp;"AS107"),0),"")</f>
        <v>#REF!</v>
      </c>
      <c r="AS116" s="55" t="e">
        <f ca="1">IF(D125&gt;42,IF(ISNUMBER(INDIRECT(D11&amp;"AT107")),INDIRECT(D11&amp;"AT107"),0),"")</f>
        <v>#REF!</v>
      </c>
      <c r="AT116" s="55" t="e">
        <f ca="1">IF(D125&gt;43,IF(ISNUMBER(INDIRECT(D11&amp;"AU107")),INDIRECT(D11&amp;"AU107"),0),"")</f>
        <v>#REF!</v>
      </c>
      <c r="AU116" s="55" t="e">
        <f ca="1">IF(D125&gt;44,IF(ISNUMBER(INDIRECT(D11&amp;"AV107")),INDIRECT(D11&amp;"AV107"),0),"")</f>
        <v>#REF!</v>
      </c>
    </row>
    <row r="117" spans="2:47" hidden="1" outlineLevel="1">
      <c r="B117" s="51" t="s">
        <v>19</v>
      </c>
      <c r="C117" s="50"/>
      <c r="D117" s="55">
        <f ca="1">IF(ISNUMBER(INDIRECT(D11&amp;"E144")),INDIRECT(D11&amp;"E144"),0)</f>
        <v>0</v>
      </c>
      <c r="E117" s="55">
        <f ca="1">IF(ISNUMBER(INDIRECT(D11&amp;"F144")),INDIRECT(D11&amp;"F144"),0)</f>
        <v>0</v>
      </c>
      <c r="F117" s="55">
        <f ca="1">IF(ISNUMBER(INDIRECT(D11&amp;"G144")),INDIRECT(D11&amp;"G144"),0)</f>
        <v>0</v>
      </c>
      <c r="G117" s="55">
        <f ca="1">IF(ISNUMBER(INDIRECT(D11&amp;"H144")),INDIRECT(D11&amp;"H144"),0)</f>
        <v>0</v>
      </c>
      <c r="H117" s="55">
        <f ca="1">IF(ISNUMBER(INDIRECT(D11&amp;"I144")),INDIRECT(D11&amp;"I144"),0)</f>
        <v>0</v>
      </c>
      <c r="I117" s="55" t="e">
        <f ca="1">IF(D125&gt;6,IF(ISNUMBER(INDIRECT(D11&amp;"J144")),INDIRECT(D11&amp;"J144"),0),"")</f>
        <v>#REF!</v>
      </c>
      <c r="J117" s="55" t="e">
        <f ca="1">IF(D125&gt;7,IF(ISNUMBER(INDIRECT(D11&amp;"K144")),INDIRECT(D11&amp;"K144"),0),"")</f>
        <v>#REF!</v>
      </c>
      <c r="K117" s="55" t="e">
        <f ca="1">IF(D125&gt;8,IF(ISNUMBER(INDIRECT(D11&amp;"L144")),INDIRECT(D11&amp;"L144"),0),"")</f>
        <v>#REF!</v>
      </c>
      <c r="L117" s="55" t="e">
        <f ca="1">IF(D125&gt;9,IF(ISNUMBER(INDIRECT(D11&amp;"M144")),INDIRECT(D11&amp;"M144"),0),"")</f>
        <v>#REF!</v>
      </c>
      <c r="M117" s="55" t="e">
        <f ca="1">IF(D125&gt;10,IF(ISNUMBER(INDIRECT(D11&amp;"N144")),INDIRECT(D11&amp;"N144"),0),"")</f>
        <v>#REF!</v>
      </c>
      <c r="N117" s="55" t="e">
        <f ca="1">IF(D125&gt;11,IF(ISNUMBER(INDIRECT(D11&amp;"O144")),INDIRECT(D11&amp;"O144"),0),"")</f>
        <v>#REF!</v>
      </c>
      <c r="O117" s="55" t="e">
        <f ca="1">IF(D125&gt;12,IF(ISNUMBER(INDIRECT(D11&amp;"P144")),INDIRECT(D11&amp;"P144"),0),"")</f>
        <v>#REF!</v>
      </c>
      <c r="P117" s="55" t="e">
        <f ca="1">IF(D125&gt;13,IF(ISNUMBER(INDIRECT(D11&amp;"Q144")),INDIRECT(D11&amp;"Q144"),0),"")</f>
        <v>#REF!</v>
      </c>
      <c r="Q117" s="55" t="e">
        <f ca="1">IF(D125&gt;14,IF(ISNUMBER(INDIRECT(D11&amp;"R144")),INDIRECT(D11&amp;"R144"),0),"")</f>
        <v>#REF!</v>
      </c>
      <c r="R117" s="55" t="e">
        <f ca="1">IF(D125&gt;15,IF(ISNUMBER(INDIRECT(D11&amp;"S144")),INDIRECT(D11&amp;"S144"),0),"")</f>
        <v>#REF!</v>
      </c>
      <c r="S117" s="55" t="e">
        <f ca="1">IF(D125&gt;16,IF(ISNUMBER(INDIRECT(D11&amp;"T144")),INDIRECT(D11&amp;"T144"),0),"")</f>
        <v>#REF!</v>
      </c>
      <c r="T117" s="55" t="e">
        <f ca="1">IF(D125&gt;17,IF(ISNUMBER(INDIRECT(D11&amp;"U144")),INDIRECT(D11&amp;"U144"),0),"")</f>
        <v>#REF!</v>
      </c>
      <c r="U117" s="55" t="e">
        <f ca="1">IF(D125&gt;18,IF(ISNUMBER(INDIRECT(D11&amp;"V144")),INDIRECT(D11&amp;"V144"),0),"")</f>
        <v>#REF!</v>
      </c>
      <c r="V117" s="55" t="e">
        <f ca="1">IF(D125&gt;19,IF(ISNUMBER(INDIRECT(D11&amp;"W144")),INDIRECT(D11&amp;"W144"),0),"")</f>
        <v>#REF!</v>
      </c>
      <c r="W117" s="55" t="e">
        <f ca="1">IF(D125&gt;20,IF(ISNUMBER(INDIRECT(D11&amp;"X144")),INDIRECT(D11&amp;"X144"),0),"")</f>
        <v>#REF!</v>
      </c>
      <c r="X117" s="55" t="e">
        <f ca="1">IF(D125&gt;21,IF(ISNUMBER(INDIRECT(D11&amp;"Y144")),INDIRECT(D11&amp;"Y144"),0),"")</f>
        <v>#REF!</v>
      </c>
      <c r="Y117" s="55" t="e">
        <f ca="1">IF(D125&gt;22,IF(ISNUMBER(INDIRECT(D11&amp;"Z144")),INDIRECT(D11&amp;"Z144"),0),"")</f>
        <v>#REF!</v>
      </c>
      <c r="Z117" s="55" t="e">
        <f ca="1">IF(D125&gt;23,IF(ISNUMBER(INDIRECT(D11&amp;"AA144")),INDIRECT(D11&amp;"AA144"),0),"")</f>
        <v>#REF!</v>
      </c>
      <c r="AA117" s="55" t="e">
        <f ca="1">IF(D125&gt;24,IF(ISNUMBER(INDIRECT(D11&amp;"AB144")),INDIRECT(D11&amp;"AB144"),0),"")</f>
        <v>#REF!</v>
      </c>
      <c r="AB117" s="55" t="e">
        <f ca="1">IF(D125&gt;25,IF(ISNUMBER(INDIRECT(D11&amp;"AC144")),INDIRECT(D11&amp;"AC144"),0),"")</f>
        <v>#REF!</v>
      </c>
      <c r="AC117" s="55" t="e">
        <f ca="1">IF(D125&gt;26,IF(ISNUMBER(INDIRECT(D11&amp;"AD144")),INDIRECT(D11&amp;"AD144"),0),"")</f>
        <v>#REF!</v>
      </c>
      <c r="AD117" s="55" t="e">
        <f ca="1">IF(D125&gt;27,IF(ISNUMBER(INDIRECT(D11&amp;"AE144")),INDIRECT(D11&amp;"AE144"),0),"")</f>
        <v>#REF!</v>
      </c>
      <c r="AE117" s="55" t="e">
        <f ca="1">IF(D125&gt;28,IF(ISNUMBER(INDIRECT(D11&amp;"AF144")),INDIRECT(D11&amp;"AF144"),0),"")</f>
        <v>#REF!</v>
      </c>
      <c r="AF117" s="55" t="e">
        <f ca="1">IF(D125&gt;29,IF(ISNUMBER(INDIRECT(D11&amp;"AG144")),INDIRECT(D11&amp;"AG144"),0),"")</f>
        <v>#REF!</v>
      </c>
      <c r="AG117" s="55" t="e">
        <f ca="1">IF(D125&gt;30,IF(ISNUMBER(INDIRECT(D11&amp;"AH144")),INDIRECT(D11&amp;"AH144"),0),"")</f>
        <v>#REF!</v>
      </c>
      <c r="AH117" s="55" t="e">
        <f ca="1">IF(D125&gt;31,IF(ISNUMBER(INDIRECT(D11&amp;"AI144")),INDIRECT(D11&amp;"AI144"),0),"")</f>
        <v>#REF!</v>
      </c>
      <c r="AI117" s="55" t="e">
        <f ca="1">IF(D125&gt;32,IF(ISNUMBER(INDIRECT(D11&amp;"AJ144")),INDIRECT(D11&amp;"AJ144"),0),"")</f>
        <v>#REF!</v>
      </c>
      <c r="AJ117" s="55" t="e">
        <f ca="1">IF(D125&gt;33,IF(ISNUMBER(INDIRECT(D11&amp;"AK144")),INDIRECT(D11&amp;"AK144"),0),"")</f>
        <v>#REF!</v>
      </c>
      <c r="AK117" s="55" t="e">
        <f ca="1">IF(D125&gt;34,IF(ISNUMBER(INDIRECT(D11&amp;"AL144")),INDIRECT(D11&amp;"AL144"),0),"")</f>
        <v>#REF!</v>
      </c>
      <c r="AL117" s="55" t="e">
        <f ca="1">IF(D125&gt;35,IF(ISNUMBER(INDIRECT(D11&amp;"AM144")),INDIRECT(D11&amp;"AM144"),0),"")</f>
        <v>#REF!</v>
      </c>
      <c r="AM117" s="55" t="e">
        <f ca="1">IF(D125&gt;36,IF(ISNUMBER(INDIRECT(D11&amp;"AN144")),INDIRECT(D11&amp;"AN144"),0),"")</f>
        <v>#REF!</v>
      </c>
      <c r="AN117" s="55" t="e">
        <f ca="1">IF(D125&gt;37,IF(ISNUMBER(INDIRECT(D11&amp;"AO144")),INDIRECT(D11&amp;"AO144"),0),"")</f>
        <v>#REF!</v>
      </c>
      <c r="AO117" s="55" t="e">
        <f ca="1">IF(D125&gt;38,IF(ISNUMBER(INDIRECT(D11&amp;"AP144")),INDIRECT(D11&amp;"AP144"),0),"")</f>
        <v>#REF!</v>
      </c>
      <c r="AP117" s="55" t="e">
        <f ca="1">IF(D125&gt;39,IF(ISNUMBER(INDIRECT(D11&amp;"AQ144")),INDIRECT(D11&amp;"AQ144"),0),"")</f>
        <v>#REF!</v>
      </c>
      <c r="AQ117" s="55" t="e">
        <f ca="1">IF(D125&gt;40,IF(ISNUMBER(INDIRECT(D11&amp;"AR144")),INDIRECT(D11&amp;"AR144"),0),"")</f>
        <v>#REF!</v>
      </c>
      <c r="AR117" s="55" t="e">
        <f ca="1">IF(D125&gt;41,IF(ISNUMBER(INDIRECT(D11&amp;"AS144")),INDIRECT(D11&amp;"AS144"),0),"")</f>
        <v>#REF!</v>
      </c>
      <c r="AS117" s="55" t="e">
        <f ca="1">IF(D125&gt;42,IF(ISNUMBER(INDIRECT(D11&amp;"AT144")),INDIRECT(D11&amp;"AT144"),0),"")</f>
        <v>#REF!</v>
      </c>
      <c r="AT117" s="55" t="e">
        <f ca="1">IF(D125&gt;43,IF(ISNUMBER(INDIRECT(D11&amp;"AU144")),INDIRECT(D11&amp;"AU144"),0),"")</f>
        <v>#REF!</v>
      </c>
      <c r="AU117" s="55" t="e">
        <f ca="1">IF(D125&gt;44,IF(ISNUMBER(INDIRECT(D11&amp;"AV144")),INDIRECT(D11&amp;"AV144"),0),"")</f>
        <v>#REF!</v>
      </c>
    </row>
    <row r="118" spans="2:47" hidden="1" outlineLevel="1">
      <c r="B118" s="51" t="s">
        <v>66</v>
      </c>
      <c r="C118" s="50"/>
      <c r="D118" s="55">
        <f ca="1">IF(ISNUMBER(INDIRECT(D11&amp;"E160")),INDIRECT(D11&amp;"E159"),0)</f>
        <v>0</v>
      </c>
      <c r="E118" s="55">
        <f ca="1">IF(ISNUMBER(INDIRECT(D11&amp;"F159")),INDIRECT(D11&amp;"F159"),0)</f>
        <v>0</v>
      </c>
      <c r="F118" s="55">
        <f ca="1">IF(ISNUMBER(INDIRECT(D11&amp;"G159")),INDIRECT(D11&amp;"G159"),0)</f>
        <v>0</v>
      </c>
      <c r="G118" s="55">
        <f ca="1">IF(ISNUMBER(INDIRECT(D11&amp;"H159")),INDIRECT(D11&amp;"H159"),0)</f>
        <v>0</v>
      </c>
      <c r="H118" s="55">
        <f ca="1">IF(ISNUMBER(INDIRECT(D11&amp;"I159")),INDIRECT(D11&amp;"I159"),0)</f>
        <v>0</v>
      </c>
      <c r="I118" s="55" t="e">
        <f ca="1">IF(D125&gt;6,IF(ISNUMBER(INDIRECT(D11&amp;"J159")),INDIRECT(D11&amp;"J159"),0),"")</f>
        <v>#REF!</v>
      </c>
      <c r="J118" s="55" t="e">
        <f ca="1">IF(D125&gt;7,IF(ISNUMBER(INDIRECT(D11&amp;"K159")),INDIRECT(D11&amp;"K159"),0),"")</f>
        <v>#REF!</v>
      </c>
      <c r="K118" s="55" t="e">
        <f ca="1">IF(D125&gt;8,IF(ISNUMBER(INDIRECT(D11&amp;"L159")),INDIRECT(D11&amp;"L159"),0),"")</f>
        <v>#REF!</v>
      </c>
      <c r="L118" s="55" t="e">
        <f ca="1">IF(D125&gt;9,IF(ISNUMBER(INDIRECT(D11&amp;"M159")),INDIRECT(D11&amp;"M159"),0),"")</f>
        <v>#REF!</v>
      </c>
      <c r="M118" s="55" t="e">
        <f ca="1">IF(D125&gt;10,IF(ISNUMBER(INDIRECT(D11&amp;"N159")),INDIRECT(D11&amp;"N159"),0),"")</f>
        <v>#REF!</v>
      </c>
      <c r="N118" s="55" t="e">
        <f ca="1">IF(D125&gt;11,IF(ISNUMBER(INDIRECT(D11&amp;"O159")),INDIRECT(D11&amp;"O159"),0),"")</f>
        <v>#REF!</v>
      </c>
      <c r="O118" s="55" t="e">
        <f ca="1">IF(D125&gt;12,IF(ISNUMBER(INDIRECT(D11&amp;"P159")),INDIRECT(D11&amp;"P159"),0),"")</f>
        <v>#REF!</v>
      </c>
      <c r="P118" s="55" t="e">
        <f ca="1">IF(D125&gt;13,IF(ISNUMBER(INDIRECT(D11&amp;"Q159")),INDIRECT(D11&amp;"Q159"),0),"")</f>
        <v>#REF!</v>
      </c>
      <c r="Q118" s="55" t="e">
        <f ca="1">IF(D125&gt;14,IF(ISNUMBER(INDIRECT(D11&amp;"R159")),INDIRECT(D11&amp;"R159"),0),"")</f>
        <v>#REF!</v>
      </c>
      <c r="R118" s="55" t="e">
        <f ca="1">IF(D125&gt;15,IF(ISNUMBER(INDIRECT(D11&amp;"S159")),INDIRECT(D11&amp;"S159"),0),"")</f>
        <v>#REF!</v>
      </c>
      <c r="S118" s="55" t="e">
        <f ca="1">IF(D125&gt;16,IF(ISNUMBER(INDIRECT(D11&amp;"T159")),INDIRECT(D11&amp;"T159"),0),"")</f>
        <v>#REF!</v>
      </c>
      <c r="T118" s="55" t="e">
        <f ca="1">IF(D125&gt;17,IF(ISNUMBER(INDIRECT(D11&amp;"U159")),INDIRECT(D11&amp;"U159"),0),"")</f>
        <v>#REF!</v>
      </c>
      <c r="U118" s="55" t="e">
        <f ca="1">IF(D125&gt;18,IF(ISNUMBER(INDIRECT(D11&amp;"V159")),INDIRECT(D11&amp;"V159"),0),"")</f>
        <v>#REF!</v>
      </c>
      <c r="V118" s="55" t="e">
        <f ca="1">IF(D125&gt;19,IF(ISNUMBER(INDIRECT(D11&amp;"W159")),INDIRECT(D11&amp;"W159"),0),"")</f>
        <v>#REF!</v>
      </c>
      <c r="W118" s="55" t="e">
        <f ca="1">IF(D125&gt;20,IF(ISNUMBER(INDIRECT(D11&amp;"X159")),INDIRECT(D11&amp;"X159"),0),"")</f>
        <v>#REF!</v>
      </c>
      <c r="X118" s="55" t="e">
        <f ca="1">IF(D125&gt;21,IF(ISNUMBER(INDIRECT(D11&amp;"Y159")),INDIRECT(D11&amp;"Y159"),0),"")</f>
        <v>#REF!</v>
      </c>
      <c r="Y118" s="55" t="e">
        <f ca="1">IF(D125&gt;22,IF(ISNUMBER(INDIRECT(D11&amp;"Z159")),INDIRECT(D11&amp;"Z159"),0),"")</f>
        <v>#REF!</v>
      </c>
      <c r="Z118" s="55" t="e">
        <f ca="1">IF(D125&gt;23,IF(ISNUMBER(INDIRECT(D11&amp;"AA159")),INDIRECT(D11&amp;"AA159"),0),"")</f>
        <v>#REF!</v>
      </c>
      <c r="AA118" s="55" t="e">
        <f ca="1">IF(D125&gt;24,IF(ISNUMBER(INDIRECT(D11&amp;"AB159")),INDIRECT(D11&amp;"AB159"),0),"")</f>
        <v>#REF!</v>
      </c>
      <c r="AB118" s="55" t="e">
        <f ca="1">IF(D125&gt;25,IF(ISNUMBER(INDIRECT(D11&amp;"AC159")),INDIRECT(D11&amp;"AC159"),0),"")</f>
        <v>#REF!</v>
      </c>
      <c r="AC118" s="55" t="e">
        <f ca="1">IF(D125&gt;26,IF(ISNUMBER(INDIRECT(D11&amp;"AD159")),INDIRECT(D11&amp;"AD159"),0),"")</f>
        <v>#REF!</v>
      </c>
      <c r="AD118" s="55" t="e">
        <f ca="1">IF(D125&gt;27,IF(ISNUMBER(INDIRECT(D11&amp;"AE159")),INDIRECT(D11&amp;"AE159"),0),"")</f>
        <v>#REF!</v>
      </c>
      <c r="AE118" s="55" t="e">
        <f ca="1">IF(D125&gt;28,IF(ISNUMBER(INDIRECT(D11&amp;"AF159")),INDIRECT(D11&amp;"AF159"),0),"")</f>
        <v>#REF!</v>
      </c>
      <c r="AF118" s="55" t="e">
        <f ca="1">IF(D125&gt;29,IF(ISNUMBER(INDIRECT(D11&amp;"AG159")),INDIRECT(D11&amp;"AG159"),0),"")</f>
        <v>#REF!</v>
      </c>
      <c r="AG118" s="55" t="e">
        <f ca="1">IF(D125&gt;30,IF(ISNUMBER(INDIRECT(D11&amp;"AH159")),INDIRECT(D11&amp;"AH159"),0),"")</f>
        <v>#REF!</v>
      </c>
      <c r="AH118" s="55" t="e">
        <f ca="1">IF(D125&gt;31,IF(ISNUMBER(INDIRECT(D11&amp;"AI159")),INDIRECT(D11&amp;"AI159"),0),"")</f>
        <v>#REF!</v>
      </c>
      <c r="AI118" s="55" t="e">
        <f ca="1">IF(D125&gt;32,IF(ISNUMBER(INDIRECT(D11&amp;"AJ159")),INDIRECT(D11&amp;"AJ159"),0),"")</f>
        <v>#REF!</v>
      </c>
      <c r="AJ118" s="55" t="e">
        <f ca="1">IF(D125&gt;33,IF(ISNUMBER(INDIRECT(D11&amp;"AK159")),INDIRECT(D11&amp;"AK159"),0),"")</f>
        <v>#REF!</v>
      </c>
      <c r="AK118" s="55" t="e">
        <f ca="1">IF(D125&gt;34,IF(ISNUMBER(INDIRECT(D11&amp;"AL159")),INDIRECT(D11&amp;"AL159"),0),"")</f>
        <v>#REF!</v>
      </c>
      <c r="AL118" s="55" t="e">
        <f ca="1">IF(D125&gt;35,IF(ISNUMBER(INDIRECT(D11&amp;"AM159")),INDIRECT(D11&amp;"AM159"),0),"")</f>
        <v>#REF!</v>
      </c>
      <c r="AM118" s="55" t="e">
        <f ca="1">IF(D125&gt;36,IF(ISNUMBER(INDIRECT(D11&amp;"AN159")),INDIRECT(D11&amp;"AN159"),0),"")</f>
        <v>#REF!</v>
      </c>
      <c r="AN118" s="55" t="e">
        <f ca="1">IF(D125&gt;37,IF(ISNUMBER(INDIRECT(D11&amp;"AO159")),INDIRECT(D11&amp;"AO159"),0),"")</f>
        <v>#REF!</v>
      </c>
      <c r="AO118" s="55" t="e">
        <f ca="1">IF(D125&gt;38,IF(ISNUMBER(INDIRECT(D11&amp;"AP159")),INDIRECT(D11&amp;"AP159"),0),"")</f>
        <v>#REF!</v>
      </c>
      <c r="AP118" s="55" t="e">
        <f ca="1">IF(D125&gt;39,IF(ISNUMBER(INDIRECT(D11&amp;"AQ159")),INDIRECT(D11&amp;"AQ159"),0),"")</f>
        <v>#REF!</v>
      </c>
      <c r="AQ118" s="55" t="e">
        <f ca="1">IF(D125&gt;40,IF(ISNUMBER(INDIRECT(D11&amp;"AR159")),INDIRECT(D11&amp;"AR159"),0),"")</f>
        <v>#REF!</v>
      </c>
      <c r="AR118" s="55" t="e">
        <f ca="1">IF(D125&gt;41,IF(ISNUMBER(INDIRECT(D11&amp;"AS159")),INDIRECT(D11&amp;"AS159"),0),"")</f>
        <v>#REF!</v>
      </c>
      <c r="AS118" s="55" t="e">
        <f ca="1">IF(D125&gt;42,IF(ISNUMBER(INDIRECT(D11&amp;"AT159")),INDIRECT(D11&amp;"AT159"),0),"")</f>
        <v>#REF!</v>
      </c>
      <c r="AT118" s="55" t="e">
        <f ca="1">IF(D125&gt;43,IF(ISNUMBER(INDIRECT(D11&amp;"AU159")),INDIRECT(D11&amp;"AU159"),0),"")</f>
        <v>#REF!</v>
      </c>
      <c r="AU118" s="55" t="e">
        <f ca="1">IF(D125&gt;44,IF(ISNUMBER(INDIRECT(D11&amp;"AV159")),INDIRECT(D11&amp;"AV159"),0),"")</f>
        <v>#REF!</v>
      </c>
    </row>
    <row r="119" spans="2:47" hidden="1" outlineLevel="1">
      <c r="B119" s="51"/>
      <c r="C119" s="50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</row>
    <row r="120" spans="2:47" collapsed="1">
      <c r="B120" s="51" t="s">
        <v>64</v>
      </c>
      <c r="C120" s="50"/>
      <c r="D120" s="56" t="e">
        <f ca="1">IF(INDIRECT(D11&amp;"E160")="","",IF(D125&gt;8,(D115+E115+F115+G115-D116-E116-F116-G116)/(D117+D118),""))</f>
        <v>#REF!</v>
      </c>
      <c r="E120" s="56" t="e">
        <f ca="1">IF(D125&gt;12,IF(H117+H118=0,"",(H115+I115+J115+K115-H116-I116-J116-K116)/(H117+H118)),"")</f>
        <v>#REF!</v>
      </c>
      <c r="F120" s="56" t="e">
        <f ca="1">IF(D125&gt;16,IF(M117+M118=0,"",(M115+N115+O115+P115-M116-N116-O116-P116)/(M117+M118)),"")</f>
        <v>#REF!</v>
      </c>
      <c r="G120" s="56" t="e">
        <f ca="1">IF(D125&gt;20,IF(Q117+Q118=0,"",(Q115+R115+S115+T115-Q116-R116-S116-T116)/(Q117+Q118)),"")</f>
        <v>#REF!</v>
      </c>
      <c r="H120" s="56" t="e">
        <f ca="1">IF(D125&gt;24,IF(U117+U118=0,"",(U115+V115+W115+X115-U116-V116-W116-X116)/(U117+U118)),"")</f>
        <v>#REF!</v>
      </c>
      <c r="I120" s="56" t="e">
        <f ca="1">IF(D125&gt;28,IF(Y117+Y118=0,"",(Y115+Z115+AA115+AB115-Y116-Z116-AA116-AB116)/(Y117+Y118)),"")</f>
        <v>#REF!</v>
      </c>
      <c r="J120" s="56" t="e">
        <f ca="1">IF(D125&gt;32,IF(AC117+AC118=0,"",(AC115+AD115+AE115+AF115-AC116-AD116-AE116-AF116)/(AC117+AC118)),"")</f>
        <v>#REF!</v>
      </c>
      <c r="K120" s="56" t="e">
        <f ca="1">IF(D125&gt;36,IF(AG117+AG118=0,"",(AG115+AH115+AI115+AJ115-AG116-AH116-AI116-AJ116)/(AG117+AG118)),"")</f>
        <v>#REF!</v>
      </c>
      <c r="L120" s="56" t="e">
        <f ca="1">IF(D125&gt;40,IF(AK117+AK118=0,"",(AK115+AL115+AM115+AN115-AK116-AL116-AM116-AN116)/(AK117+AK118)),"")</f>
        <v>#REF!</v>
      </c>
      <c r="M120" s="56" t="e">
        <f ca="1">IF(D125&gt;44,IF(AO117+AO118=0,"",(AO115+AP115+AQ115+AR115-AO116-AP116-AQ116-AR116)/(AO117+AO118)),"")</f>
        <v>#REF!</v>
      </c>
    </row>
    <row r="121" spans="2:47" hidden="1" outlineLevel="1">
      <c r="B121" s="57" t="s">
        <v>66</v>
      </c>
      <c r="C121" s="50"/>
      <c r="D121" s="55" t="e">
        <f ca="1">IF(D125&gt;4,INDIRECT(D11&amp;"E159"),"")</f>
        <v>#REF!</v>
      </c>
      <c r="E121" s="55" t="e">
        <f ca="1">IF(D125&gt;8,INDIRECT(D11&amp;"I159"),"")</f>
        <v>#REF!</v>
      </c>
      <c r="F121" s="55" t="e">
        <f ca="1">IF(D125&gt;12,INDIRECT(D11&amp;"M159"),"")</f>
        <v>#REF!</v>
      </c>
      <c r="G121" s="55" t="e">
        <f ca="1">IF(D125&gt;16,INDIRECT(D11&amp;"Q159"),"")</f>
        <v>#REF!</v>
      </c>
      <c r="H121" s="55" t="e">
        <f ca="1">IF(D125&gt;20,INDIRECT(D11&amp;"U159"),"")</f>
        <v>#REF!</v>
      </c>
      <c r="I121" s="55" t="e">
        <f ca="1">IF(D125&gt;24,INDIRECT(D11&amp;"Y159"),"")</f>
        <v>#REF!</v>
      </c>
      <c r="J121" s="55" t="e">
        <f ca="1">IF(D125&gt;28,INDIRECT(D11&amp;"AC159"),"")</f>
        <v>#REF!</v>
      </c>
      <c r="K121" s="55" t="e">
        <f ca="1">IF(D125&gt;32,INDIRECT(D11&amp;"AG159"),"")</f>
        <v>#REF!</v>
      </c>
      <c r="L121" s="55" t="e">
        <f ca="1">IF(D125&gt;36,INDIRECT(D11&amp;"AK159"),"")</f>
        <v>#REF!</v>
      </c>
      <c r="M121" s="55" t="e">
        <f ca="1">IF(D125&gt;40,INDIRECT(D11&amp;"AO159"),"")</f>
        <v>#REF!</v>
      </c>
      <c r="N121" s="10" t="e">
        <f ca="1">IF(D125&gt;44,INDIRECT(D11&amp;"AS159"),"")</f>
        <v>#REF!</v>
      </c>
    </row>
    <row r="122" spans="2:47" collapsed="1">
      <c r="B122" s="57" t="s">
        <v>79</v>
      </c>
      <c r="C122" s="50"/>
      <c r="D122" s="56" t="e">
        <f ca="1">IF(INDIRECT(D11&amp;"E160")="","",IF(ISNUMBER(E121),IF(D125&gt;8,(D121-E121)/E121,""),""))</f>
        <v>#REF!</v>
      </c>
      <c r="E122" s="56" t="e">
        <f ca="1">IF(D125&gt;12,IF(F121=0,"",IF(ISNUMBER(F121),(E121-F121)/F121,"")),"")</f>
        <v>#REF!</v>
      </c>
      <c r="F122" s="56" t="e">
        <f ca="1">IF(D125&gt;16,IF(G121=0,"",IF(ISNUMBER(G121),(F121-G121)/G121,"")),"")</f>
        <v>#REF!</v>
      </c>
      <c r="G122" s="56" t="e">
        <f ca="1">IF(D125&gt;20,IF(H121=0,"",IF(ISNUMBER(H121),(G121-H121)/H121,"")),"")</f>
        <v>#REF!</v>
      </c>
      <c r="H122" s="56" t="e">
        <f ca="1">IF(D125&gt;24,IF(I121=0,"",IF(ISNUMBER(I121),(H121-I121)/I121,"")),"")</f>
        <v>#REF!</v>
      </c>
      <c r="I122" s="56" t="e">
        <f ca="1">IF(D125&gt;28,IF(J121=0,"",IF(ISNUMBER(J121),(I121-J121)/J121,"")),"")</f>
        <v>#REF!</v>
      </c>
      <c r="J122" s="56" t="e">
        <f ca="1">IF(D125&gt;32,IF(K121=0,"",IF(ISNUMBER(K121),(J121-K121)/K121,"")),"")</f>
        <v>#REF!</v>
      </c>
      <c r="K122" s="56" t="e">
        <f ca="1">IF(D125&gt;36,IF(L121=0,"",IF(ISNUMBER(L121),(K121-L121)/L121,"")),"")</f>
        <v>#REF!</v>
      </c>
      <c r="L122" s="56" t="e">
        <f ca="1">IF(D125&gt;40,IF(M121=0,"",IF(ISNUMBER(M121),(L121-M121)/M121,"")),"")</f>
        <v>#REF!</v>
      </c>
      <c r="M122" s="56" t="e">
        <f ca="1">IF(D125&gt;44,IF(N121=0,"",IF(ISNUMBER(N121),(M121-N121)/N121,"")),"")</f>
        <v>#REF!</v>
      </c>
    </row>
    <row r="123" spans="2:47" hidden="1" outlineLevel="1">
      <c r="B123" s="57" t="s">
        <v>126</v>
      </c>
      <c r="C123" s="50"/>
      <c r="D123" s="58" t="e">
        <f ca="1">IF(D125&gt;4,INDIRECT(D11&amp;"E71")+INDIRECT(D11&amp;"F71")+INDIRECT(D11&amp;"G71")+INDIRECT(D11&amp;"H71"),"")</f>
        <v>#REF!</v>
      </c>
      <c r="E123" s="58" t="e">
        <f ca="1">IF(D125&gt;8,INDIRECT(D11&amp;"I71")+INDIRECT(D11&amp;"J71")+INDIRECT(D11&amp;"K71")+INDIRECT(D11&amp;"L71"),"")</f>
        <v>#REF!</v>
      </c>
      <c r="F123" s="58" t="e">
        <f ca="1">IF(D125&gt;12,INDIRECT(D11&amp;"M71")+INDIRECT(D11&amp;"N71")+INDIRECT(D11&amp;"O71")+INDIRECT(D11&amp;"P71"),"")</f>
        <v>#REF!</v>
      </c>
      <c r="G123" s="58" t="e">
        <f ca="1">IF(D125&gt;16,INDIRECT(D11&amp;"Q71")+INDIRECT(D11&amp;"R71")+INDIRECT(D11&amp;"S71")+INDIRECT(D11&amp;"T71"),"")</f>
        <v>#REF!</v>
      </c>
      <c r="H123" s="58" t="e">
        <f ca="1">IF(D125&gt;20,INDIRECT(D11&amp;"U71")+INDIRECT(D11&amp;"V71")+INDIRECT(D11&amp;"W71")+INDIRECT(D11&amp;"X71"),"")</f>
        <v>#REF!</v>
      </c>
      <c r="I123" s="58" t="e">
        <f ca="1">IF(D125&gt;24,INDIRECT(D11&amp;"Y71")+INDIRECT(D11&amp;"Z71")+INDIRECT(D11&amp;"AA71")+INDIRECT(D11&amp;"AB71"),"")</f>
        <v>#REF!</v>
      </c>
      <c r="J123" s="58" t="e">
        <f ca="1">IF(D125&gt;28,INDIRECT(D11&amp;"AC71")+INDIRECT(D11&amp;"AD71")+INDIRECT(D11&amp;"AE71")+INDIRECT(D11&amp;"AF71"),"")</f>
        <v>#REF!</v>
      </c>
      <c r="K123" s="58" t="e">
        <f ca="1">IF(D125&gt;32,INDIRECT(D11&amp;"AG71")+INDIRECT(D11&amp;"AH71")+INDIRECT(D11&amp;"AI71")+INDIRECT(D11&amp;"AJ71"),"")</f>
        <v>#REF!</v>
      </c>
      <c r="L123" s="58" t="e">
        <f ca="1">IF(D125&gt;36,INDIRECT(D11&amp;"AK71")+INDIRECT(D11&amp;"AL71")+INDIRECT(D11&amp;"AM71")+INDIRECT(D11&amp;"AN71"),"")</f>
        <v>#REF!</v>
      </c>
      <c r="M123" s="58" t="e">
        <f ca="1">IF(D125&gt;40,INDIRECT(D11&amp;"AO71")+INDIRECT(D11&amp;"AP71")+INDIRECT(D11&amp;"AQ71")+INDIRECT(D11&amp;"AR71"),"")</f>
        <v>#REF!</v>
      </c>
      <c r="N123" s="8" t="e">
        <f ca="1">IF(D125&gt;44,INDIRECT(D11&amp;"AS85")+INDIRECT(D11&amp;"AT85")+INDIRECT(D11&amp;"AU85")+INDIRECT(D11&amp;"AV85"),"")</f>
        <v>#REF!</v>
      </c>
    </row>
    <row r="124" spans="2:47" collapsed="1">
      <c r="B124" s="57" t="s">
        <v>31</v>
      </c>
      <c r="C124" s="50"/>
      <c r="D124" s="56" t="e">
        <f ca="1">IF(D125&gt;8,(D123-E123)/E123,"")</f>
        <v>#REF!</v>
      </c>
      <c r="E124" s="56" t="e">
        <f ca="1">IF(D125&gt;12,(E123-F123)/F123,"")</f>
        <v>#REF!</v>
      </c>
      <c r="F124" s="56" t="e">
        <f ca="1">IF(D125&gt;16,(F123-G123)/G123,"")</f>
        <v>#REF!</v>
      </c>
      <c r="G124" s="56" t="e">
        <f ca="1">IF(D125&gt;20,(G123-H123)/H123,"")</f>
        <v>#REF!</v>
      </c>
      <c r="H124" s="56" t="e">
        <f ca="1">IF(D125&gt;24,(H123-I123)/I123,"")</f>
        <v>#REF!</v>
      </c>
      <c r="I124" s="56" t="e">
        <f ca="1">IF(D125&gt;28,(I123-J123)/J123,"")</f>
        <v>#REF!</v>
      </c>
      <c r="J124" s="56" t="e">
        <f ca="1">IF(D125&gt;32,(J123-K123)/K123,"")</f>
        <v>#REF!</v>
      </c>
      <c r="K124" s="56" t="e">
        <f ca="1">IF(D125&gt;36,(K123-L123)/L123,"")</f>
        <v>#REF!</v>
      </c>
      <c r="L124" s="56" t="e">
        <f ca="1">IF(D125&gt;40,(L123-M123)/M123,"")</f>
        <v>#REF!</v>
      </c>
      <c r="M124" s="56" t="e">
        <f ca="1">IF(D125&gt;44,(M123-N123)/N123,"")</f>
        <v>#REF!</v>
      </c>
    </row>
    <row r="125" spans="2:47" hidden="1" outlineLevel="1">
      <c r="B125" s="51" t="s">
        <v>33</v>
      </c>
      <c r="C125" s="50"/>
      <c r="D125" s="55" t="e">
        <f ca="1">IF(ISNUMBER(MATCH("Period Ending",INDIRECT(D11&amp;"E90:AW90"),0)),MATCH("Period Ending",INDIRECT(D11&amp;"E90:AW90"),0),MATCH("PERIOD ENDING",INDIRECT(D11&amp;"E90:AW90"),0))</f>
        <v>#REF!</v>
      </c>
      <c r="E125" s="55"/>
      <c r="F125" s="54"/>
      <c r="G125" s="54"/>
      <c r="H125" s="54"/>
      <c r="I125" s="54"/>
      <c r="J125" s="54"/>
      <c r="K125" s="54"/>
      <c r="L125" s="54"/>
      <c r="M125" s="54"/>
    </row>
    <row r="126" spans="2:47" hidden="1" outlineLevel="1">
      <c r="B126" s="51"/>
      <c r="C126" s="50"/>
      <c r="D126" s="55"/>
      <c r="E126" s="55"/>
      <c r="F126" s="54"/>
      <c r="G126" s="54"/>
      <c r="H126" s="54"/>
      <c r="I126" s="54"/>
      <c r="J126" s="54"/>
      <c r="K126" s="54"/>
      <c r="L126" s="54"/>
      <c r="M126" s="54"/>
    </row>
    <row r="127" spans="2:47" hidden="1" outlineLevel="1">
      <c r="B127" s="51"/>
      <c r="C127" s="50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</row>
    <row r="128" spans="2:47" hidden="1" outlineLevel="1">
      <c r="B128" s="51" t="s">
        <v>65</v>
      </c>
      <c r="C128" s="50"/>
      <c r="D128" s="55" t="e">
        <f ca="1">IF(D125&gt;4,INDIRECT(D11&amp;"E91")+INDIRECT(D11&amp;"F91")+INDIRECT(D11&amp;"G91")+INDIRECT(D11&amp;"H91"),"")</f>
        <v>#REF!</v>
      </c>
      <c r="E128" s="55" t="e">
        <f ca="1">IF(D125&gt;8,INDIRECT(D11&amp;"I91")+INDIRECT(D11&amp;"J91")+INDIRECT(D11&amp;"K91")+INDIRECT(D11&amp;"L91"),"")</f>
        <v>#REF!</v>
      </c>
      <c r="F128" s="55" t="e">
        <f ca="1">IF(D125&gt;12,INDIRECT(D11&amp;"M91")+INDIRECT(D11&amp;"N91")+INDIRECT(D11&amp;"O91")+INDIRECT(D11&amp;"P91"),"")</f>
        <v>#REF!</v>
      </c>
      <c r="G128" s="55" t="e">
        <f ca="1">IF(D125&gt;16,INDIRECT(D11&amp;"Q91")+INDIRECT(D11&amp;"R91")+INDIRECT(D11&amp;"S91")+INDIRECT(D11&amp;"T91"),"")</f>
        <v>#REF!</v>
      </c>
      <c r="H128" s="55" t="e">
        <f ca="1">IF(D125&gt;20,INDIRECT(D11&amp;"U91")+INDIRECT(D11&amp;"V91")+INDIRECT(D11&amp;"W91")+INDIRECT(D11&amp;"X91"),"")</f>
        <v>#REF!</v>
      </c>
      <c r="I128" s="55" t="e">
        <f ca="1">IF(D125&gt;24,INDIRECT(D11&amp;"Y91")+INDIRECT(D11&amp;"Z91")+INDIRECT(D11&amp;"AA91")+INDIRECT(D11&amp;"AB91"),"")</f>
        <v>#REF!</v>
      </c>
      <c r="J128" s="55" t="e">
        <f ca="1">IF(D125&gt;28,INDIRECT(D11&amp;"AC91")+INDIRECT(D11&amp;"AD91")+INDIRECT(D11&amp;"AE91")+INDIRECT(D11&amp;"AF91"),"")</f>
        <v>#REF!</v>
      </c>
      <c r="K128" s="55" t="e">
        <f ca="1">IF(D125&gt;32,INDIRECT(D11&amp;"AG91")+INDIRECT(D11&amp;"AH91")+INDIRECT(D11&amp;"AI91")+INDIRECT(D11&amp;"AJ91"),"")</f>
        <v>#REF!</v>
      </c>
      <c r="L128" s="55" t="e">
        <f ca="1">IF(D125&gt;36,INDIRECT(D11&amp;"AK91")+INDIRECT(D11&amp;"AL91")+INDIRECT(D11&amp;"AM91")+INDIRECT(D11&amp;"AN91"),"")</f>
        <v>#REF!</v>
      </c>
      <c r="M128" s="55" t="e">
        <f ca="1">IF(D125&gt;40,INDIRECT(D11&amp;"AO91")+INDIRECT(D11&amp;"AP91")+INDIRECT(D11&amp;"AQ91")+INDIRECT(D11&amp;"AR91"),"")</f>
        <v>#REF!</v>
      </c>
      <c r="N128" s="55" t="e">
        <f ca="1">IF(D125&gt;44,INDIRECT(D11&amp;"AS91")+INDIRECT(D11&amp;"AT91")+INDIRECT(D11&amp;"AU91")+INDIRECT(D11&amp;"AV91"),"")</f>
        <v>#REF!</v>
      </c>
    </row>
    <row r="129" spans="2:47" hidden="1" outlineLevel="1">
      <c r="B129" s="51" t="s">
        <v>129</v>
      </c>
      <c r="C129" s="50"/>
      <c r="D129" s="55">
        <f ca="1">IF(ISNUMBER(INDIRECT(D11&amp;"E91")),INDIRECT(D11&amp;"E91"),0)</f>
        <v>0</v>
      </c>
      <c r="E129" s="55">
        <f ca="1">IF(ISNUMBER(INDIRECT(D11&amp;"F91")),INDIRECT(D11&amp;"F91"),0)</f>
        <v>0</v>
      </c>
      <c r="F129" s="55">
        <f ca="1">IF(ISNUMBER(INDIRECT(D11&amp;"G91")),INDIRECT(D11&amp;"G91"),0)</f>
        <v>0</v>
      </c>
      <c r="G129" s="55">
        <f ca="1">IF(ISNUMBER(INDIRECT(D11&amp;"H91")),INDIRECT(D11&amp;"H91"),0)</f>
        <v>0</v>
      </c>
      <c r="H129" s="55">
        <f ca="1">IF(ISNUMBER(INDIRECT(D11&amp;"I91")),INDIRECT(D11&amp;"I91"),0)</f>
        <v>0</v>
      </c>
      <c r="I129" s="55" t="e">
        <f ca="1">IF(D125&gt;6,IF(ISNUMBER(INDIRECT(D11&amp;"J91")),INDIRECT(D11&amp;"J91"),""),"")</f>
        <v>#REF!</v>
      </c>
      <c r="J129" s="55" t="e">
        <f ca="1">IF(D125&gt;7,IF(ISNUMBER(INDIRECT(D11&amp;"K91")),INDIRECT(D11&amp;"K91"),""),"")</f>
        <v>#REF!</v>
      </c>
      <c r="K129" s="55" t="e">
        <f ca="1">IF(D125&gt;8,IF(ISNUMBER(INDIRECT(D11&amp;"L91")),INDIRECT(D11&amp;"L91"),""),"")</f>
        <v>#REF!</v>
      </c>
      <c r="L129" s="55" t="e">
        <f ca="1">IF(D125&gt;9,IF(ISNUMBER(INDIRECT(D11&amp;"M91")),INDIRECT(D11&amp;"M91"),""),"")</f>
        <v>#REF!</v>
      </c>
      <c r="M129" s="55" t="e">
        <f ca="1">IF(D125&gt;10,IF(ISNUMBER(INDIRECT(D11&amp;"N91")),INDIRECT(D11&amp;"N91"),""),"")</f>
        <v>#REF!</v>
      </c>
      <c r="N129" s="55" t="e">
        <f ca="1">IF(D125&gt;11,IF(ISNUMBER(INDIRECT(D11&amp;"O91")),INDIRECT(D11&amp;"O91"),""),"")</f>
        <v>#REF!</v>
      </c>
      <c r="O129" s="55" t="e">
        <f ca="1">IF(D125&gt;12,IF(ISNUMBER(INDIRECT(D11&amp;"P91")),INDIRECT(D11&amp;"P91"),""),"")</f>
        <v>#REF!</v>
      </c>
      <c r="P129" s="55" t="e">
        <f ca="1">IF(D125&gt;13,IF(ISNUMBER(INDIRECT(D11&amp;"Q91")),INDIRECT(D11&amp;"Q91"),""),"")</f>
        <v>#REF!</v>
      </c>
      <c r="Q129" s="55" t="e">
        <f ca="1">IF(D125&gt;14,IF(ISNUMBER(INDIRECT(D11&amp;"R91")),INDIRECT(D11&amp;"R91"),""),"")</f>
        <v>#REF!</v>
      </c>
      <c r="R129" s="55" t="e">
        <f ca="1">IF(D125&gt;15,IF(ISNUMBER(INDIRECT(D11&amp;"S91")),INDIRECT(D11&amp;"S91"),""),"")</f>
        <v>#REF!</v>
      </c>
      <c r="S129" s="55" t="e">
        <f ca="1">IF(D125&gt;16,IF(ISNUMBER(INDIRECT(D11&amp;"T91")),INDIRECT(D11&amp;"T91"),""),"")</f>
        <v>#REF!</v>
      </c>
      <c r="T129" s="55" t="e">
        <f ca="1">IF(D125&gt;17,IF(ISNUMBER(INDIRECT(D11&amp;"U91")),INDIRECT(D11&amp;"U91"),""),"")</f>
        <v>#REF!</v>
      </c>
      <c r="U129" s="55" t="e">
        <f ca="1">IF(D125&gt;18,IF(ISNUMBER(INDIRECT(D11&amp;"V91")),INDIRECT(D11&amp;"V91"),""),"")</f>
        <v>#REF!</v>
      </c>
      <c r="V129" s="55" t="e">
        <f ca="1">IF(D125&gt;19,IF(ISNUMBER(INDIRECT(D11&amp;"W91")),INDIRECT(D11&amp;"W91"),""),"")</f>
        <v>#REF!</v>
      </c>
      <c r="W129" s="55" t="e">
        <f ca="1">IF(D125&gt;20,IF(ISNUMBER(INDIRECT(D11&amp;"X91")),INDIRECT(D11&amp;"X91"),""),"")</f>
        <v>#REF!</v>
      </c>
      <c r="X129" s="55" t="e">
        <f ca="1">IF(D125&gt;21,IF(ISNUMBER(INDIRECT(D11&amp;"Y91")),INDIRECT(D11&amp;"Y91"),""),"")</f>
        <v>#REF!</v>
      </c>
      <c r="Y129" s="55" t="e">
        <f ca="1">IF(D125&gt;22,IF(ISNUMBER(INDIRECT(D11&amp;"Z91")),INDIRECT(D11&amp;"Z91"),""),"")</f>
        <v>#REF!</v>
      </c>
      <c r="Z129" s="55" t="e">
        <f ca="1">IF(D125&gt;23,IF(ISNUMBER(INDIRECT(D11&amp;"AA91")),INDIRECT(D11&amp;"AA91"),""),"")</f>
        <v>#REF!</v>
      </c>
      <c r="AA129" s="55" t="e">
        <f ca="1">IF(D125&gt;24,IF(ISNUMBER(INDIRECT(D11&amp;"AB91")),INDIRECT(D11&amp;"AB91"),""),"")</f>
        <v>#REF!</v>
      </c>
      <c r="AB129" s="55" t="e">
        <f ca="1">IF(D125&gt;25,IF(ISNUMBER(INDIRECT(D11&amp;"AC91")),INDIRECT(D11&amp;"AC91"),""),"")</f>
        <v>#REF!</v>
      </c>
      <c r="AC129" s="55" t="e">
        <f ca="1">IF(D125&gt;26,IF(ISNUMBER(INDIRECT(D11&amp;"AD91")),INDIRECT(D11&amp;"AD91"),""),"")</f>
        <v>#REF!</v>
      </c>
      <c r="AD129" s="55" t="e">
        <f ca="1">IF(D125&gt;27,IF(ISNUMBER(INDIRECT(D11&amp;"AE91")),INDIRECT(D11&amp;"AE91"),""),"")</f>
        <v>#REF!</v>
      </c>
      <c r="AE129" s="55" t="e">
        <f ca="1">IF(D125&gt;28,IF(ISNUMBER(INDIRECT(D11&amp;"AF91")),INDIRECT(D11&amp;"AF91"),""),"")</f>
        <v>#REF!</v>
      </c>
      <c r="AF129" s="55" t="e">
        <f ca="1">IF(D125&gt;29,IF(ISNUMBER(INDIRECT(D11&amp;"AG91")),INDIRECT(D11&amp;"AG91"),""),"")</f>
        <v>#REF!</v>
      </c>
      <c r="AG129" s="55" t="e">
        <f ca="1">IF(D125&gt;30,IF(ISNUMBER(INDIRECT(D11&amp;"AH91")),INDIRECT(D11&amp;"AH91"),""),"")</f>
        <v>#REF!</v>
      </c>
      <c r="AH129" s="55" t="e">
        <f ca="1">IF(D125&gt;31,IF(ISNUMBER(INDIRECT(D11&amp;"AI91")),INDIRECT(D11&amp;"AI91"),""),"")</f>
        <v>#REF!</v>
      </c>
      <c r="AI129" s="55" t="e">
        <f ca="1">IF(D125&gt;32,IF(ISNUMBER(INDIRECT(D11&amp;"AJ91")),INDIRECT(D11&amp;"AJ91"),""),"")</f>
        <v>#REF!</v>
      </c>
      <c r="AJ129" s="55" t="e">
        <f ca="1">IF(D125&gt;33,IF(ISNUMBER(INDIRECT(D11&amp;"AK91")),INDIRECT(D11&amp;"AK91"),""),"")</f>
        <v>#REF!</v>
      </c>
      <c r="AK129" s="55" t="e">
        <f ca="1">IF(D125&gt;34,IF(ISNUMBER(INDIRECT(D11&amp;"AL91")),INDIRECT(D11&amp;"AL91"),""),"")</f>
        <v>#REF!</v>
      </c>
      <c r="AL129" s="55" t="e">
        <f ca="1">IF(D125&gt;35,IF(ISNUMBER(INDIRECT(D11&amp;"AM91")),INDIRECT(D11&amp;"AM91"),""),"")</f>
        <v>#REF!</v>
      </c>
      <c r="AM129" s="55" t="e">
        <f ca="1">IF(D125&gt;36,IF(ISNUMBER(INDIRECT(D11&amp;"AN91")),INDIRECT(D11&amp;"AN91"),""),"")</f>
        <v>#REF!</v>
      </c>
      <c r="AN129" s="55" t="e">
        <f ca="1">IF(D125&gt;37,IF(ISNUMBER(INDIRECT(D11&amp;"AO91")),INDIRECT(D11&amp;"AO91"),""),"")</f>
        <v>#REF!</v>
      </c>
      <c r="AO129" s="55" t="e">
        <f ca="1">IF(D125&gt;38,IF(ISNUMBER(INDIRECT(D11&amp;"AP91")),INDIRECT(D11&amp;"AP91"),""),"")</f>
        <v>#REF!</v>
      </c>
      <c r="AP129" s="55" t="e">
        <f ca="1">IF(D125&gt;39,IF(ISNUMBER(INDIRECT(D11&amp;"AQ91")),INDIRECT(D11&amp;"AQ91"),""),"")</f>
        <v>#REF!</v>
      </c>
      <c r="AQ129" s="55" t="e">
        <f ca="1">IF(D125&gt;40,IF(ISNUMBER(INDIRECT(D11&amp;"AR91")),INDIRECT(D11&amp;"AR91"),""),"")</f>
        <v>#REF!</v>
      </c>
      <c r="AR129" s="55" t="e">
        <f ca="1">IF(D125&gt;41,IF(ISNUMBER(INDIRECT(D11&amp;"AS91")),INDIRECT(D11&amp;"AS91"),""),"")</f>
        <v>#REF!</v>
      </c>
      <c r="AS129" s="55" t="e">
        <f ca="1">IF(D125&gt;42,IF(ISNUMBER(INDIRECT(D11&amp;"AT91")),INDIRECT(D11&amp;"AT91"),""),"")</f>
        <v>#REF!</v>
      </c>
      <c r="AT129" s="55" t="e">
        <f ca="1">IF(D125&gt;43,IF(ISNUMBER(INDIRECT(D11&amp;"AU91")),INDIRECT(D11&amp;"AU91"),""),"")</f>
        <v>#REF!</v>
      </c>
      <c r="AU129" s="55" t="e">
        <f ca="1">IF(D125&gt;44,IF(ISNUMBER(INDIRECT(D11&amp;"AV91")),INDIRECT(D11&amp;"AV91"),""),"")</f>
        <v>#REF!</v>
      </c>
    </row>
    <row r="130" spans="2:47" hidden="1" outlineLevel="1">
      <c r="B130" s="51" t="s">
        <v>130</v>
      </c>
      <c r="C130" s="50"/>
      <c r="D130" s="55" t="e">
        <f ca="1">IF(INDIRECT(D11&amp;"E160")="","",D129+E129+F129+G129)</f>
        <v>#REF!</v>
      </c>
      <c r="E130" s="55" t="e">
        <f ca="1">IF(D125&gt;8,IF(INDIRECT(D11&amp;"E160")="",E129+F129+G129+H129,H129+I129+J129+K129),"")</f>
        <v>#REF!</v>
      </c>
      <c r="F130" s="55" t="e">
        <f ca="1">IF(D125&gt;12,IF(INDIRECT(D11&amp;"E160")="",I129+J129+K129+L129,L129+M129+N129+O129),"")</f>
        <v>#REF!</v>
      </c>
      <c r="G130" s="55" t="e">
        <f ca="1">IF(D125&gt;16,IF(INDIRECT(D11&amp;"E160")="",M129+N129+O129+P129,P129+Q129+R129+S129),"")</f>
        <v>#REF!</v>
      </c>
      <c r="H130" s="55" t="e">
        <f ca="1">IF(D125&gt;20,IF(INDIRECT(D11&amp;"E160")="",Q129+R129+S129+T129,T129+U129+V129+W129),"")</f>
        <v>#REF!</v>
      </c>
      <c r="I130" s="55" t="e">
        <f ca="1">IF(D125&gt;24,IF(INDIRECT(D11&amp;"E160")="",U129+V129+W129+X129,X129+Y129+Z129+AA129),"")</f>
        <v>#REF!</v>
      </c>
      <c r="J130" s="55" t="e">
        <f ca="1">IF(D125&gt;28,IF(INDIRECT(D11&amp;"E160")="",Y129+Z129+AA129+AB129,AB129+AC129+AD129+AE129),"")</f>
        <v>#REF!</v>
      </c>
      <c r="K130" s="55" t="e">
        <f ca="1">IF(D125&gt;32,IF(INDIRECT(D11&amp;"E160")="",AC129+AD129+AE129+AF129,AF129+AG129+AH129+AI129),"")</f>
        <v>#REF!</v>
      </c>
      <c r="L130" s="55" t="e">
        <f ca="1">IF(D125&gt;36,IF(INDIRECT(D11&amp;"E160")="",AG129+AH129+AI129+AJ129,AJ129+AK129+AL129+AM129),"")</f>
        <v>#REF!</v>
      </c>
      <c r="M130" s="55" t="e">
        <f ca="1">IF(D125&gt;40,IF(INDIRECT(D11&amp;"E160")="",AK129+AL129+AM129+AN129,AN129+AO129+AP129+AQ129),"")</f>
        <v>#REF!</v>
      </c>
      <c r="N130" s="80" t="e">
        <f ca="1">IF(D125&gt;44,IF(INDIRECT(D11&amp;"E160")="",AO129+AP129+AQ129+AR129,AR129+AS129+AT129+AU129),"")</f>
        <v>#REF!</v>
      </c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</row>
    <row r="131" spans="2:47" hidden="1" outlineLevel="1">
      <c r="B131" s="51"/>
      <c r="C131" s="50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80"/>
    </row>
    <row r="132" spans="2:47" collapsed="1">
      <c r="B132" s="57" t="s">
        <v>30</v>
      </c>
      <c r="C132" s="50"/>
      <c r="D132" s="56" t="e">
        <f ca="1">IF(INDIRECT(D11&amp;"E160")="","",IF(D125&gt;8,(D130-E130)/E130,""))</f>
        <v>#REF!</v>
      </c>
      <c r="E132" s="56" t="e">
        <f ca="1">IF(D125&gt;12,IF(ISNUMBER((E130-F130)/F130),(E130-F130)/F130,""),"")</f>
        <v>#REF!</v>
      </c>
      <c r="F132" s="56" t="e">
        <f ca="1">IF(D125&gt;16,IF(ISNUMBER((F130-G130)/G130),(F130-G130)/G130,""),"")</f>
        <v>#REF!</v>
      </c>
      <c r="G132" s="56" t="e">
        <f ca="1">IF(D125&gt;20,IF(ISNUMBER((G130-H130)/H130),(G130-H130)/H130,""),"")</f>
        <v>#REF!</v>
      </c>
      <c r="H132" s="56" t="e">
        <f ca="1">IF(D125&gt;24,IF(ISNUMBER((H130-I130)/I130),(H130-I130)/I130,""),"")</f>
        <v>#REF!</v>
      </c>
      <c r="I132" s="56" t="e">
        <f ca="1">IF(D125&gt;28,IF(ISNUMBER((I130-J130)/J130),(I130-J130)/J130,""),"")</f>
        <v>#REF!</v>
      </c>
      <c r="J132" s="56" t="e">
        <f ca="1">IF(D125&gt;32,IF(ISNUMBER((J130-K130)/K130),(J130-K130)/K130,""),"")</f>
        <v>#REF!</v>
      </c>
      <c r="K132" s="56" t="e">
        <f ca="1">IF(D125&gt;36,IF(ISNUMBER((K130-L130)/L130),(K130-L130)/L130,""),"")</f>
        <v>#REF!</v>
      </c>
      <c r="L132" s="56" t="e">
        <f ca="1">IF(D125&gt;40,IF(ISNUMBER((L130-M130)/M130),(L130-M130)/M130,""),"")</f>
        <v>#REF!</v>
      </c>
      <c r="M132" s="56" t="e">
        <f ca="1">IF(D125&gt;44,IF(ISNUMBER((M130-N130)/N130),(M130-N130)/N130,""),"")</f>
        <v>#REF!</v>
      </c>
    </row>
    <row r="133" spans="2:47" hidden="1" outlineLevel="1">
      <c r="B133" s="57"/>
      <c r="C133" s="50"/>
      <c r="D133" s="56"/>
      <c r="E133" s="56"/>
      <c r="F133" s="56"/>
      <c r="G133" s="56"/>
      <c r="H133" s="56"/>
      <c r="I133" s="56"/>
      <c r="J133" s="56"/>
      <c r="K133" s="56"/>
      <c r="L133" s="56"/>
      <c r="M133" s="56"/>
    </row>
    <row r="134" spans="2:47" hidden="1" outlineLevel="1">
      <c r="B134" s="59"/>
      <c r="C134" s="50"/>
      <c r="D134" s="55" t="e">
        <f ca="1">IF(D125&gt;4,INDIRECT(D11&amp;"E185")+INDIRECT(D11&amp;"F185")+INDIRECT(D11&amp;"G185")+INDIRECT(D11&amp;"H185"),"")</f>
        <v>#REF!</v>
      </c>
      <c r="E134" s="55" t="e">
        <f ca="1">IF(D125&gt;8,INDIRECT(D11&amp;"I185")+INDIRECT(D11&amp;"J185")+INDIRECT(D11&amp;"K185")+INDIRECT(D11&amp;"L185"),"")</f>
        <v>#REF!</v>
      </c>
      <c r="F134" s="55" t="e">
        <f ca="1">IF(D125&gt;12,INDIRECT(D11&amp;"M185")+INDIRECT(D11&amp;"N185")+INDIRECT(D11&amp;"O185")+INDIRECT(D11&amp;"P185"),"")</f>
        <v>#REF!</v>
      </c>
      <c r="G134" s="55" t="e">
        <f ca="1">IF(D125&gt;16,INDIRECT(D11&amp;"Q185")+INDIRECT(D11&amp;"R185")+INDIRECT(D11&amp;"S185")+INDIRECT(D11&amp;"T185"),"")</f>
        <v>#REF!</v>
      </c>
      <c r="H134" s="55" t="e">
        <f ca="1">IF(D125&gt;20,INDIRECT(D11&amp;"U185")+INDIRECT(D11&amp;"V185")+INDIRECT(D11&amp;"W185")+INDIRECT(D11&amp;"X185"),"")</f>
        <v>#REF!</v>
      </c>
      <c r="I134" s="55" t="e">
        <f ca="1">IF(D125&gt;24,INDIRECT(D11&amp;"Y185")+INDIRECT(D11&amp;"Z185")+INDIRECT(D11&amp;"AA185")+INDIRECT(D11&amp;"AB185"),"")</f>
        <v>#REF!</v>
      </c>
      <c r="J134" s="55" t="e">
        <f ca="1">IF(D125&gt;28,INDIRECT(D11&amp;"AC185")+INDIRECT(D11&amp;"AD185")+INDIRECT(D11&amp;"AE185")+INDIRECT(D11&amp;"AF185"),"")</f>
        <v>#REF!</v>
      </c>
      <c r="K134" s="55" t="e">
        <f ca="1">IF(D125&gt;32,INDIRECT(D11&amp;"AG185")+INDIRECT(D11&amp;"AH185")+INDIRECT(D11&amp;"AI185")+INDIRECT(D11&amp;"AJ185"),"")</f>
        <v>#REF!</v>
      </c>
      <c r="L134" s="55" t="e">
        <f ca="1">IF(D125&gt;36,INDIRECT(D11&amp;"AK185")+INDIRECT(D11&amp;"AL185")+INDIRECT(D11&amp;"AM185")+INDIRECT(D11&amp;"AN185"),"")</f>
        <v>#REF!</v>
      </c>
      <c r="M134" s="55" t="e">
        <f ca="1">IF(D125&gt;40,INDIRECT(D11&amp;"AO185")+INDIRECT(D11&amp;"AP185")+INDIRECT(D11&amp;"AQ185")+INDIRECT(D11&amp;"AR185"),"")</f>
        <v>#REF!</v>
      </c>
      <c r="N134" s="10" t="e">
        <f ca="1">IF(D125&gt;44,INDIRECT(D11&amp;"AS185")+INDIRECT(D11&amp;"AT185")+INDIRECT(D11&amp;"AU185")+INDIRECT(D11&amp;"AV185"),"")</f>
        <v>#REF!</v>
      </c>
    </row>
    <row r="135" spans="2:47" hidden="1" outlineLevel="1">
      <c r="B135" s="57" t="s">
        <v>82</v>
      </c>
      <c r="C135" s="50"/>
      <c r="D135" s="56" t="e">
        <f ca="1">IF(INDIRECT(D11&amp;"E159")="","",IF(D125&gt;8,(D134-E134)/E134,""))</f>
        <v>#REF!</v>
      </c>
      <c r="E135" s="56" t="e">
        <f ca="1">IF(D125&gt;12,(E134-F134)/F134,"")</f>
        <v>#REF!</v>
      </c>
      <c r="F135" s="56" t="e">
        <f ca="1">IF(D125&gt;16,(F134-G134)/G134,"")</f>
        <v>#REF!</v>
      </c>
      <c r="G135" s="56" t="e">
        <f ca="1">IF(D125&gt;20,(G134-H134)/H134,"")</f>
        <v>#REF!</v>
      </c>
      <c r="H135" s="56" t="e">
        <f ca="1">IF(D125&gt;24,(H134-I134)/I134,"")</f>
        <v>#REF!</v>
      </c>
      <c r="I135" s="56" t="e">
        <f ca="1">IF(D125&gt;28,(I134-J134)/J134,"")</f>
        <v>#REF!</v>
      </c>
      <c r="J135" s="56" t="e">
        <f ca="1">IF(D125&gt;32,(J134-K134)/K134,"")</f>
        <v>#REF!</v>
      </c>
      <c r="K135" s="56" t="e">
        <f ca="1">IF(D125&gt;36,(K134-L134)/L134,"")</f>
        <v>#REF!</v>
      </c>
      <c r="L135" s="56" t="e">
        <f ca="1">IF(D125&gt;40,(L134-M134)/M134,"")</f>
        <v>#REF!</v>
      </c>
      <c r="M135" s="56" t="e">
        <f ca="1">IF(D125&gt;44,(M134-N134)/N134,"")</f>
        <v>#REF!</v>
      </c>
    </row>
    <row r="136" spans="2:47" hidden="1" outlineLevel="1">
      <c r="B136" s="57"/>
      <c r="C136" s="50"/>
      <c r="D136" s="56"/>
      <c r="E136" s="56"/>
      <c r="F136" s="56"/>
      <c r="G136" s="56"/>
      <c r="H136" s="56"/>
      <c r="I136" s="56"/>
      <c r="J136" s="56"/>
      <c r="K136" s="56"/>
      <c r="L136" s="56"/>
      <c r="M136" s="56"/>
    </row>
    <row r="137" spans="2:47" hidden="1" outlineLevel="1">
      <c r="B137" s="57" t="s">
        <v>114</v>
      </c>
      <c r="C137" s="50"/>
      <c r="D137" s="76">
        <f ca="1">IF(ISNUMBER(INDIRECT(D11&amp;"E172")),INDIRECT(D11&amp;"E172"),0)</f>
        <v>0</v>
      </c>
      <c r="E137" s="76">
        <f ca="1">IF(ISNUMBER(INDIRECT(D11&amp;"F172")),INDIRECT(D11&amp;"F172"),0)</f>
        <v>0</v>
      </c>
      <c r="F137" s="76">
        <f ca="1">IF(ISNUMBER(INDIRECT(D11&amp;"G172")),INDIRECT(D11&amp;"G172"),0)</f>
        <v>0</v>
      </c>
      <c r="G137" s="76">
        <f ca="1">IF(ISNUMBER(INDIRECT(D11&amp;"H172")),INDIRECT(D11&amp;"H172"),0)</f>
        <v>0</v>
      </c>
      <c r="H137" s="76">
        <f ca="1">IF(ISNUMBER(INDIRECT(D11&amp;"I172")),INDIRECT(D11&amp;"I172"),0)</f>
        <v>0</v>
      </c>
      <c r="I137" s="76" t="e">
        <f ca="1">IF(D125&gt;6,IF(ISNUMBER(INDIRECT(D11&amp;"J172")),INDIRECT(D11&amp;"J172"),0),"")</f>
        <v>#REF!</v>
      </c>
      <c r="J137" s="76" t="e">
        <f ca="1">IF(D125&gt;7,IF(ISNUMBER(INDIRECT(D11&amp;"K172")),INDIRECT(D11&amp;"K172"),0),"")</f>
        <v>#REF!</v>
      </c>
      <c r="K137" s="76" t="e">
        <f ca="1">IF(D125&gt;8,IF(ISNUMBER(INDIRECT(D11&amp;"L172")),INDIRECT(D11&amp;"L172"),0),"")</f>
        <v>#REF!</v>
      </c>
      <c r="L137" s="76" t="e">
        <f ca="1">IF(D125&gt;9,IF(ISNUMBER(INDIRECT(D11&amp;"M172")),INDIRECT(D11&amp;"M172"),0),"")</f>
        <v>#REF!</v>
      </c>
      <c r="M137" s="76" t="e">
        <f ca="1">IF(D125&gt;10,IF(ISNUMBER(INDIRECT(D11&amp;"N172")),INDIRECT(D11&amp;"N172"),0),"")</f>
        <v>#REF!</v>
      </c>
      <c r="N137" s="76" t="e">
        <f ca="1">IF(D125&gt;11,IF(ISNUMBER(INDIRECT(D11&amp;"O172")),INDIRECT(D11&amp;"O172"),0),"")</f>
        <v>#REF!</v>
      </c>
      <c r="O137" s="76" t="e">
        <f ca="1">IF(D125&gt;12,IF(ISNUMBER(INDIRECT(D11&amp;"P172")),INDIRECT(D11&amp;"P172"),0),"")</f>
        <v>#REF!</v>
      </c>
      <c r="P137" s="76" t="e">
        <f ca="1">IF(D125&gt;13,IF(ISNUMBER(INDIRECT(D11&amp;"Q172")),INDIRECT(D11&amp;"Q172"),0),"")</f>
        <v>#REF!</v>
      </c>
      <c r="Q137" s="76" t="e">
        <f ca="1">IF(D125&gt;14,IF(ISNUMBER(INDIRECT(D11&amp;"R172")),INDIRECT(D11&amp;"R172"),0),"")</f>
        <v>#REF!</v>
      </c>
      <c r="R137" s="76" t="e">
        <f ca="1">IF(D125&gt;15,IF(ISNUMBER(INDIRECT(D11&amp;"S172")),INDIRECT(D11&amp;"S172"),0),"")</f>
        <v>#REF!</v>
      </c>
      <c r="S137" s="76" t="e">
        <f ca="1">IF(D125&gt;16,IF(ISNUMBER(INDIRECT(D11&amp;"T172")),INDIRECT(D11&amp;"T172"),0),"")</f>
        <v>#REF!</v>
      </c>
      <c r="T137" s="76" t="e">
        <f ca="1">IF(D125&gt;17,IF(ISNUMBER(INDIRECT(D11&amp;"U172")),INDIRECT(D11&amp;"U172"),0),"")</f>
        <v>#REF!</v>
      </c>
      <c r="U137" s="76" t="e">
        <f ca="1">IF(D125&gt;18,IF(ISNUMBER(INDIRECT(D11&amp;"V172")),INDIRECT(D11&amp;"V172"),0),"")</f>
        <v>#REF!</v>
      </c>
      <c r="V137" s="76" t="e">
        <f ca="1">IF(D125&gt;19,IF(ISNUMBER(INDIRECT(D11&amp;"W172")),INDIRECT(D11&amp;"W172"),0),"")</f>
        <v>#REF!</v>
      </c>
      <c r="W137" s="76" t="e">
        <f ca="1">IF(D125&gt;20,IF(ISNUMBER(INDIRECT(D11&amp;"X172")),INDIRECT(D11&amp;"X172"),0),"")</f>
        <v>#REF!</v>
      </c>
      <c r="X137" s="76" t="e">
        <f ca="1">IF(D125&gt;21,IF(ISNUMBER(INDIRECT(D11&amp;"Y172")),INDIRECT(D11&amp;"Y172"),0),"")</f>
        <v>#REF!</v>
      </c>
      <c r="Y137" s="76" t="e">
        <f ca="1">IF(D125&gt;22,IF(ISNUMBER(INDIRECT(D11&amp;"Z172")),INDIRECT(D11&amp;"Z172"),0),"")</f>
        <v>#REF!</v>
      </c>
      <c r="Z137" s="76" t="e">
        <f ca="1">IF(D125&gt;23,IF(ISNUMBER(INDIRECT(D11&amp;"AA172")),INDIRECT(D11&amp;"AA172"),0),"")</f>
        <v>#REF!</v>
      </c>
      <c r="AA137" s="76" t="e">
        <f ca="1">IF(D125&gt;24,IF(ISNUMBER(INDIRECT(D11&amp;"AB172")),INDIRECT(D11&amp;"AB172"),0),"")</f>
        <v>#REF!</v>
      </c>
      <c r="AB137" s="76" t="e">
        <f ca="1">IF(D125&gt;25,IF(ISNUMBER(INDIRECT(D11&amp;"AC172")),INDIRECT(D11&amp;"AC172"),0),"")</f>
        <v>#REF!</v>
      </c>
      <c r="AC137" s="76" t="e">
        <f ca="1">IF(D125&gt;26,IF(ISNUMBER(INDIRECT(D11&amp;"AD172")),INDIRECT(D11&amp;"AD172"),0),"")</f>
        <v>#REF!</v>
      </c>
      <c r="AD137" s="76" t="e">
        <f ca="1">IF(D125&gt;27,IF(ISNUMBER(INDIRECT(D11&amp;"AE172")),INDIRECT(D11&amp;"AE172"),0),"")</f>
        <v>#REF!</v>
      </c>
      <c r="AE137" s="76" t="e">
        <f ca="1">IF(D125&gt;28,IF(ISNUMBER(INDIRECT(D11&amp;"AF172")),INDIRECT(D11&amp;"AF172"),0),"")</f>
        <v>#REF!</v>
      </c>
      <c r="AF137" s="76" t="e">
        <f ca="1">IF(D125&gt;29,IF(ISNUMBER(INDIRECT(D11&amp;"AG172")),INDIRECT(D11&amp;"AG172"),0),"")</f>
        <v>#REF!</v>
      </c>
      <c r="AG137" s="76" t="e">
        <f ca="1">IF(D125&gt;30,IF(ISNUMBER(INDIRECT(D11&amp;"AH172")),INDIRECT(D11&amp;"AH172"),0),"")</f>
        <v>#REF!</v>
      </c>
      <c r="AH137" s="76" t="e">
        <f ca="1">IF(D125&gt;31,IF(ISNUMBER(INDIRECT(D11&amp;"AI172")),INDIRECT(D11&amp;"AI172"),0),"")</f>
        <v>#REF!</v>
      </c>
      <c r="AI137" s="76" t="e">
        <f ca="1">IF(D125&gt;32,IF(ISNUMBER(INDIRECT(D11&amp;"AJ172")),INDIRECT(D11&amp;"AJ172"),0),"")</f>
        <v>#REF!</v>
      </c>
      <c r="AJ137" s="76" t="e">
        <f ca="1">IF(D125&gt;33,IF(ISNUMBER(INDIRECT(D11&amp;"AK172")),INDIRECT(D11&amp;"AK172"),0),"")</f>
        <v>#REF!</v>
      </c>
      <c r="AK137" s="76" t="e">
        <f ca="1">IF(D125&gt;34,IF(ISNUMBER(INDIRECT(D11&amp;"AL172")),INDIRECT(D11&amp;"AL172"),0),"")</f>
        <v>#REF!</v>
      </c>
      <c r="AL137" s="76" t="e">
        <f ca="1">IF(D125&gt;35,IF(ISNUMBER(INDIRECT(D11&amp;"AM172")),INDIRECT(D11&amp;"AM172"),0),"")</f>
        <v>#REF!</v>
      </c>
      <c r="AM137" s="76" t="e">
        <f ca="1">IF(D125&gt;36,IF(ISNUMBER(INDIRECT(D11&amp;"AN172")),INDIRECT(D11&amp;"AN172"),0),"")</f>
        <v>#REF!</v>
      </c>
      <c r="AN137" s="76" t="e">
        <f ca="1">IF(D125&gt;37,IF(ISNUMBER(INDIRECT(D11&amp;"AO172")),INDIRECT(D11&amp;"AO172"),0),"")</f>
        <v>#REF!</v>
      </c>
      <c r="AO137" s="76" t="e">
        <f ca="1">IF(D125&gt;38,IF(ISNUMBER(INDIRECT(D11&amp;"AP172")),INDIRECT(D11&amp;"AP172"),0),"")</f>
        <v>#REF!</v>
      </c>
      <c r="AP137" s="76" t="e">
        <f ca="1">IF(D125&gt;39,IF(ISNUMBER(INDIRECT(D11&amp;"AQ172")),INDIRECT(D11&amp;"AQ172"),0),"")</f>
        <v>#REF!</v>
      </c>
      <c r="AQ137" s="76" t="e">
        <f ca="1">IF(D125&gt;40,IF(ISNUMBER(INDIRECT(D11&amp;"AR172")),INDIRECT(D11&amp;"AR172"),0),"")</f>
        <v>#REF!</v>
      </c>
      <c r="AR137" s="76" t="e">
        <f ca="1">IF(D125&gt;41,IF(ISNUMBER(INDIRECT(D11&amp;"AS172")),INDIRECT(D11&amp;"AS172"),0),"")</f>
        <v>#REF!</v>
      </c>
      <c r="AS137" s="76" t="e">
        <f ca="1">IF(D125&gt;42,IF(ISNUMBER(INDIRECT(D11&amp;"AT172")),INDIRECT(D11&amp;"AT172"),0),"")</f>
        <v>#REF!</v>
      </c>
      <c r="AT137" s="76" t="e">
        <f ca="1">IF(D125&gt;43,IF(ISNUMBER(INDIRECT(D11&amp;"AU172")),INDIRECT(D11&amp;"AU172"),0),"")</f>
        <v>#REF!</v>
      </c>
      <c r="AU137" s="76" t="e">
        <f ca="1">IF(D125&gt;44,IF(ISNUMBER(INDIRECT(D11&amp;"AV172")),INDIRECT(D11&amp;"AV172"),0),"")</f>
        <v>#REF!</v>
      </c>
    </row>
    <row r="138" spans="2:47" hidden="1" outlineLevel="1">
      <c r="B138" s="57" t="s">
        <v>116</v>
      </c>
      <c r="C138" s="50"/>
      <c r="D138" s="76">
        <f ca="1">IF(ISNUMBER(INDIRECT(D11&amp;"E174")),INDIRECT(D11&amp;"E174"),0)</f>
        <v>0</v>
      </c>
      <c r="E138" s="76">
        <f ca="1">IF(ISNUMBER(INDIRECT(D11&amp;"F174")),INDIRECT(D11&amp;"F174"),0)</f>
        <v>0</v>
      </c>
      <c r="F138" s="76">
        <f ca="1">IF(ISNUMBER(INDIRECT(D11&amp;"G174")),INDIRECT(D11&amp;"G174"),0)</f>
        <v>0</v>
      </c>
      <c r="G138" s="76">
        <f ca="1">IF(ISNUMBER(INDIRECT(D11&amp;"H174")),INDIRECT(D11&amp;"H174"),0)</f>
        <v>0</v>
      </c>
      <c r="H138" s="76">
        <f ca="1">IF(ISNUMBER(INDIRECT(D11&amp;"I174")),INDIRECT(D11&amp;"I174"),0)</f>
        <v>0</v>
      </c>
      <c r="I138" s="76" t="e">
        <f ca="1">IF(D125&gt;6,IF(ISNUMBER(INDIRECT(D11&amp;"J174")),INDIRECT(D11&amp;"J174"),0),"")</f>
        <v>#REF!</v>
      </c>
      <c r="J138" s="76" t="e">
        <f ca="1">IF(D125&gt;7,IF(ISNUMBER(INDIRECT(D11&amp;"K174")),INDIRECT(D11&amp;"K174"),0),"")</f>
        <v>#REF!</v>
      </c>
      <c r="K138" s="76" t="e">
        <f ca="1">IF(D125&gt;8,IF(ISNUMBER(INDIRECT(D11&amp;"L174")),INDIRECT(D11&amp;"L174"),0),"")</f>
        <v>#REF!</v>
      </c>
      <c r="L138" s="76" t="e">
        <f ca="1">IF(D125&gt;9,IF(ISNUMBER(INDIRECT(D11&amp;"M174")),INDIRECT(D11&amp;"M174"),0),"")</f>
        <v>#REF!</v>
      </c>
      <c r="M138" s="76" t="e">
        <f ca="1">IF(D125&gt;10,IF(ISNUMBER(INDIRECT(D11&amp;"N174")),INDIRECT(D11&amp;"N174"),0),"")</f>
        <v>#REF!</v>
      </c>
      <c r="N138" s="76" t="e">
        <f ca="1">IF(D125&gt;11,IF(ISNUMBER(INDIRECT(D11&amp;"O174")),INDIRECT(D11&amp;"O174"),0),"")</f>
        <v>#REF!</v>
      </c>
      <c r="O138" s="76" t="e">
        <f ca="1">IF(D125&gt;12,IF(ISNUMBER(INDIRECT(D11&amp;"P174")),INDIRECT(D11&amp;"P174"),0),"")</f>
        <v>#REF!</v>
      </c>
      <c r="P138" s="76" t="e">
        <f ca="1">IF(D125&gt;13,IF(ISNUMBER(INDIRECT(D11&amp;"Q174")),INDIRECT(D11&amp;"Q174"),0),"")</f>
        <v>#REF!</v>
      </c>
      <c r="Q138" s="76" t="e">
        <f ca="1">IF(D125&gt;14,IF(ISNUMBER(INDIRECT(D11&amp;"R174")),INDIRECT(D11&amp;"R174"),0),"")</f>
        <v>#REF!</v>
      </c>
      <c r="R138" s="76" t="e">
        <f ca="1">IF(D125&gt;15,IF(ISNUMBER(INDIRECT(D11&amp;"S174")),INDIRECT(D11&amp;"S174"),0),"")</f>
        <v>#REF!</v>
      </c>
      <c r="S138" s="76" t="e">
        <f ca="1">IF(D125&gt;16,IF(ISNUMBER(INDIRECT(D11&amp;"T174")),INDIRECT(D11&amp;"T174"),0),"")</f>
        <v>#REF!</v>
      </c>
      <c r="T138" s="76" t="e">
        <f ca="1">IF(D125&gt;17,IF(ISNUMBER(INDIRECT(D11&amp;"U174")),INDIRECT(D11&amp;"U174"),0),"")</f>
        <v>#REF!</v>
      </c>
      <c r="U138" s="76" t="e">
        <f ca="1">IF(D125&gt;18,IF(ISNUMBER(INDIRECT(D11&amp;"V174")),INDIRECT(D11&amp;"V174"),0),"")</f>
        <v>#REF!</v>
      </c>
      <c r="V138" s="76" t="e">
        <f ca="1">IF(D125&gt;19,IF(ISNUMBER(INDIRECT(D11&amp;"W174")),INDIRECT(D11&amp;"W174"),0),"")</f>
        <v>#REF!</v>
      </c>
      <c r="W138" s="76" t="e">
        <f ca="1">IF(D125&gt;20,IF(ISNUMBER(INDIRECT(D11&amp;"X174")),INDIRECT(D11&amp;"X174"),0),"")</f>
        <v>#REF!</v>
      </c>
      <c r="X138" s="76" t="e">
        <f ca="1">IF(D125&gt;21,IF(ISNUMBER(INDIRECT(D11&amp;"Y174")),INDIRECT(D11&amp;"Y174"),0),"")</f>
        <v>#REF!</v>
      </c>
      <c r="Y138" s="76" t="e">
        <f ca="1">IF(D125&gt;22,IF(ISNUMBER(INDIRECT(D11&amp;"Z174")),INDIRECT(D11&amp;"Z174"),0),"")</f>
        <v>#REF!</v>
      </c>
      <c r="Z138" s="76" t="e">
        <f ca="1">IF(D125&gt;23,IF(ISNUMBER(INDIRECT(D11&amp;"AA174")),INDIRECT(D14&amp;"AA174"),0),"")</f>
        <v>#REF!</v>
      </c>
      <c r="AA138" s="76" t="e">
        <f ca="1">IF(D125&gt;24,IF(ISNUMBER(INDIRECT(D11&amp;"AB174")),INDIRECT(D11&amp;"AB174"),0),"")</f>
        <v>#REF!</v>
      </c>
      <c r="AB138" s="76" t="e">
        <f ca="1">IF(D125&gt;25,IF(ISNUMBER(INDIRECT(D11&amp;"AC174")),INDIRECT(D11&amp;"AC174"),0),"")</f>
        <v>#REF!</v>
      </c>
      <c r="AC138" s="76" t="e">
        <f ca="1">IF(D125&gt;26,IF(ISNUMBER(INDIRECT(D11&amp;"AD174")),INDIRECT(D11&amp;"AD174"),0),"")</f>
        <v>#REF!</v>
      </c>
      <c r="AD138" s="76" t="e">
        <f ca="1">IF(D125&gt;27,IF(ISNUMBER(INDIRECT(D11&amp;"AE174")),INDIRECT(D11&amp;"AE174"),0),"")</f>
        <v>#REF!</v>
      </c>
      <c r="AE138" s="76" t="e">
        <f ca="1">IF(D125&gt;28,IF(ISNUMBER(INDIRECT(D11&amp;"AF174")),INDIRECT(D11&amp;"AF174"),0),"")</f>
        <v>#REF!</v>
      </c>
      <c r="AF138" s="76" t="e">
        <f ca="1">IF(D125&gt;29,IF(ISNUMBER(INDIRECT(D11&amp;"AG174")),INDIRECT(D11&amp;"AG174"),0),"")</f>
        <v>#REF!</v>
      </c>
      <c r="AG138" s="76" t="e">
        <f ca="1">IF(D125&gt;30,IF(ISNUMBER(INDIRECT(D11&amp;"AH174")),INDIRECT(D11&amp;"AH174"),0),"")</f>
        <v>#REF!</v>
      </c>
      <c r="AH138" s="76" t="e">
        <f ca="1">IF(D125&gt;31,IF(ISNUMBER(INDIRECT(D11&amp;"AI174")),INDIRECT(D11&amp;"AI174"),0),"")</f>
        <v>#REF!</v>
      </c>
      <c r="AI138" s="76" t="e">
        <f ca="1">IF(D125&gt;32,IF(ISNUMBER(INDIRECT(D11&amp;"AJ174")),INDIRECT(D11&amp;"AJ174"),0),"")</f>
        <v>#REF!</v>
      </c>
      <c r="AJ138" s="76" t="e">
        <f ca="1">IF(D125&gt;33,IF(ISNUMBER(INDIRECT(D11&amp;"AK174")),INDIRECT(D11&amp;"AK174"),0),"")</f>
        <v>#REF!</v>
      </c>
      <c r="AK138" s="76" t="e">
        <f ca="1">IF(D125&gt;34,IF(ISNUMBER(INDIRECT(D11&amp;"AL174")),INDIRECT(D11&amp;"AL174"),0),"")</f>
        <v>#REF!</v>
      </c>
      <c r="AL138" s="76" t="e">
        <f ca="1">IF(D125&gt;35,IF(ISNUMBER(INDIRECT(D11&amp;"AM174")),INDIRECT(D11&amp;"AM174"),0),"")</f>
        <v>#REF!</v>
      </c>
      <c r="AM138" s="76" t="e">
        <f ca="1">IF(D125&gt;36,IF(ISNUMBER(INDIRECT(D11&amp;"AN174")),INDIRECT(D11&amp;"AN174"),0),"")</f>
        <v>#REF!</v>
      </c>
      <c r="AN138" s="76" t="e">
        <f ca="1">IF(D125&gt;37,IF(ISNUMBER(INDIRECT(D11&amp;"AO174")),INDIRECT(D11&amp;"AO174"),0),"")</f>
        <v>#REF!</v>
      </c>
      <c r="AO138" s="76" t="e">
        <f ca="1">IF(D125&gt;38,IF(ISNUMBER(INDIRECT(D11&amp;"AP174")),INDIRECT(D11&amp;"AP174"),0),"")</f>
        <v>#REF!</v>
      </c>
      <c r="AP138" s="76" t="e">
        <f ca="1">IF(D125&gt;39,IF(ISNUMBER(INDIRECT(D11&amp;"AQ174")),INDIRECT(D11&amp;"AQ174"),0),"")</f>
        <v>#REF!</v>
      </c>
      <c r="AQ138" s="76" t="e">
        <f ca="1">IF(D125&gt;40,IF(ISNUMBER(INDIRECT(D11&amp;"AR174")),INDIRECT(D11&amp;"AR174"),0),"")</f>
        <v>#REF!</v>
      </c>
      <c r="AR138" s="76" t="e">
        <f ca="1">IF(D125&gt;41,IF(ISNUMBER(INDIRECT(D11&amp;"AS174")),INDIRECT(D11&amp;"AS174"),0),"")</f>
        <v>#REF!</v>
      </c>
      <c r="AS138" s="76" t="e">
        <f ca="1">IF(D125&gt;42,IF(ISNUMBER(INDIRECT(D11&amp;"AT174")),INDIRECT(D11&amp;"AT174"),0),"")</f>
        <v>#REF!</v>
      </c>
      <c r="AT138" s="76" t="e">
        <f ca="1">IF(D125&gt;43,IF(ISNUMBER(INDIRECT(D11&amp;"AU174")),INDIRECT(D11&amp;"AU174"),0),"")</f>
        <v>#REF!</v>
      </c>
      <c r="AU138" s="76" t="e">
        <f ca="1">IF(D125&gt;44,IF(ISNUMBER(INDIRECT(D11&amp;"AV174")),INDIRECT(D11&amp;"AV174"),0),"")</f>
        <v>#REF!</v>
      </c>
    </row>
    <row r="139" spans="2:47" hidden="1" outlineLevel="1">
      <c r="B139" s="57" t="s">
        <v>118</v>
      </c>
      <c r="C139" s="50"/>
      <c r="D139" s="76">
        <f t="shared" ref="D139:AU139" ca="1" si="4">D92+D93</f>
        <v>0</v>
      </c>
      <c r="E139" s="76">
        <f t="shared" si="4"/>
        <v>0</v>
      </c>
      <c r="F139" s="76">
        <f t="shared" si="4"/>
        <v>0</v>
      </c>
      <c r="G139" s="76">
        <f t="shared" si="4"/>
        <v>0</v>
      </c>
      <c r="H139" s="76">
        <f t="shared" si="4"/>
        <v>0</v>
      </c>
      <c r="I139" s="76">
        <f t="shared" si="4"/>
        <v>0</v>
      </c>
      <c r="J139" s="76">
        <f t="shared" si="4"/>
        <v>0</v>
      </c>
      <c r="K139" s="76">
        <f t="shared" si="4"/>
        <v>0</v>
      </c>
      <c r="L139" s="76">
        <f t="shared" si="4"/>
        <v>0</v>
      </c>
      <c r="M139" s="76">
        <f t="shared" si="4"/>
        <v>0</v>
      </c>
      <c r="N139" s="76">
        <f t="shared" si="4"/>
        <v>0</v>
      </c>
      <c r="O139" s="76">
        <f t="shared" si="4"/>
        <v>0</v>
      </c>
      <c r="P139" s="76">
        <f t="shared" si="4"/>
        <v>0</v>
      </c>
      <c r="Q139" s="76">
        <f t="shared" si="4"/>
        <v>0</v>
      </c>
      <c r="R139" s="76">
        <f t="shared" si="4"/>
        <v>0</v>
      </c>
      <c r="S139" s="76">
        <f t="shared" si="4"/>
        <v>0</v>
      </c>
      <c r="T139" s="76">
        <f t="shared" si="4"/>
        <v>0</v>
      </c>
      <c r="U139" s="76">
        <f t="shared" si="4"/>
        <v>0</v>
      </c>
      <c r="V139" s="76">
        <f t="shared" si="4"/>
        <v>0</v>
      </c>
      <c r="W139" s="76">
        <f t="shared" si="4"/>
        <v>0</v>
      </c>
      <c r="X139" s="76">
        <f t="shared" si="4"/>
        <v>0</v>
      </c>
      <c r="Y139" s="76">
        <f t="shared" si="4"/>
        <v>0</v>
      </c>
      <c r="Z139" s="76">
        <f t="shared" si="4"/>
        <v>0</v>
      </c>
      <c r="AA139" s="76">
        <f t="shared" si="4"/>
        <v>0</v>
      </c>
      <c r="AB139" s="76">
        <f t="shared" si="4"/>
        <v>0</v>
      </c>
      <c r="AC139" s="76">
        <f t="shared" si="4"/>
        <v>0</v>
      </c>
      <c r="AD139" s="76">
        <f t="shared" si="4"/>
        <v>0</v>
      </c>
      <c r="AE139" s="76">
        <f t="shared" si="4"/>
        <v>0</v>
      </c>
      <c r="AF139" s="76">
        <f t="shared" si="4"/>
        <v>0</v>
      </c>
      <c r="AG139" s="76">
        <f t="shared" si="4"/>
        <v>0</v>
      </c>
      <c r="AH139" s="76">
        <f t="shared" si="4"/>
        <v>0</v>
      </c>
      <c r="AI139" s="76">
        <f t="shared" si="4"/>
        <v>0</v>
      </c>
      <c r="AJ139" s="76">
        <f t="shared" si="4"/>
        <v>0</v>
      </c>
      <c r="AK139" s="76">
        <f t="shared" si="4"/>
        <v>0</v>
      </c>
      <c r="AL139" s="76">
        <f t="shared" si="4"/>
        <v>0</v>
      </c>
      <c r="AM139" s="76">
        <f t="shared" si="4"/>
        <v>0</v>
      </c>
      <c r="AN139" s="76">
        <f t="shared" si="4"/>
        <v>0</v>
      </c>
      <c r="AO139" s="76">
        <f t="shared" si="4"/>
        <v>0</v>
      </c>
      <c r="AP139" s="76">
        <f t="shared" si="4"/>
        <v>0</v>
      </c>
      <c r="AQ139" s="76">
        <f t="shared" si="4"/>
        <v>0</v>
      </c>
      <c r="AR139" s="76">
        <f t="shared" si="4"/>
        <v>0</v>
      </c>
      <c r="AS139" s="76">
        <f t="shared" si="4"/>
        <v>0</v>
      </c>
      <c r="AT139" s="76">
        <f t="shared" si="4"/>
        <v>0</v>
      </c>
      <c r="AU139" s="76">
        <f t="shared" si="4"/>
        <v>0</v>
      </c>
    </row>
    <row r="140" spans="2:47" hidden="1" outlineLevel="1">
      <c r="B140" s="57"/>
      <c r="C140" s="50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4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</row>
    <row r="141" spans="2:47" hidden="1" outlineLevel="1">
      <c r="B141" s="57" t="s">
        <v>115</v>
      </c>
      <c r="C141" s="50"/>
      <c r="D141" s="76">
        <f ca="1">IF(ISNUMBER(D137+E137+F137+G137),D137+E137+F137+G137,"")</f>
        <v>0</v>
      </c>
      <c r="E141" s="76" t="str">
        <f ca="1">IF(ISNUMBER(H137+I137+J137+K137),H137+I137+J137+K137,"")</f>
        <v/>
      </c>
      <c r="F141" s="76" t="str">
        <f ca="1">IF(ISNUMBER(L137+M137+N137+O137),L137+M137+N137+O137,"")</f>
        <v/>
      </c>
      <c r="G141" s="76" t="str">
        <f ca="1">IF(ISNUMBER(P137+Q137+R137+S137),P137+Q137+R137+S137,"")</f>
        <v/>
      </c>
      <c r="H141" s="76" t="str">
        <f ca="1">IF(ISNUMBER(T137+U137+V137+W137),T137+U137+V137+W137,"")</f>
        <v/>
      </c>
      <c r="I141" s="76" t="str">
        <f ca="1">IF(ISNUMBER(X137+Y137+Z137+AA137),X137+Y137+Z137+AA137,"")</f>
        <v/>
      </c>
      <c r="J141" s="76" t="str">
        <f ca="1">IF(ISNUMBER(AB137+AC137+AD137+AE137),AB137+AC137+AD137+AE137,"")</f>
        <v/>
      </c>
      <c r="K141" s="76" t="str">
        <f ca="1">IF(ISNUMBER(AF137+AG137+AH137+AI137),AF137+AG137+AH137+AI137,"")</f>
        <v/>
      </c>
      <c r="L141" s="76" t="str">
        <f ca="1">IF(ISNUMBER(AJ137+AK137+AL137+AM137),AJ137+AK137+AL137+AM137,"")</f>
        <v/>
      </c>
      <c r="M141" s="76" t="str">
        <f ca="1">IF(ISNUMBER(AN137+AO137+AP137+AQ137),AN137+AO137+AP137+AQ137,"")</f>
        <v/>
      </c>
      <c r="N141" s="76" t="str">
        <f ca="1">IF(ISNUMBER(AR137+AS137+AT137+AU137),AR137+AS137+AT137+AU137,"")</f>
        <v/>
      </c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</row>
    <row r="142" spans="2:47" hidden="1" outlineLevel="1">
      <c r="B142" s="57" t="s">
        <v>117</v>
      </c>
      <c r="C142" s="50"/>
      <c r="D142" s="76">
        <f ca="1">IF(ISNUMBER(D138+E138+F138+G138),D138+E138+F138+G138,"")</f>
        <v>0</v>
      </c>
      <c r="E142" s="76" t="str">
        <f ca="1">IF(ISNUMBER(H138+I138+J138+K138),H138+I138+J138+K138,"")</f>
        <v/>
      </c>
      <c r="F142" s="76" t="str">
        <f ca="1">IF(ISNUMBER(L138+M138+N138+O138),L138+M138+N138+O138,"")</f>
        <v/>
      </c>
      <c r="G142" s="76" t="str">
        <f ca="1">IF(ISNUMBER(P138+Q138+R138+S138),P138+Q138+R138+S138,"")</f>
        <v/>
      </c>
      <c r="H142" s="76" t="str">
        <f ca="1">IF(ISNUMBER(T138+U138+V138+W138),T138+U138+V138+W138,"")</f>
        <v/>
      </c>
      <c r="I142" s="76" t="str">
        <f ca="1">IF(ISNUMBER(X138+Y138+Z138+AA138),X138+Y138+Z138+AA138,"")</f>
        <v/>
      </c>
      <c r="J142" s="76" t="str">
        <f ca="1">IF(ISNUMBER(AB138+AC138+AD138+AE138),AB138+AC138+AD138+AE138,"")</f>
        <v/>
      </c>
      <c r="K142" s="76" t="str">
        <f ca="1">IF(ISNUMBER(AF138+AG138+AH138+AI138),AF138+AG138+AH138+AI138,"")</f>
        <v/>
      </c>
      <c r="L142" s="76" t="str">
        <f ca="1">IF(ISNUMBER(AJ138+AK138+AL138+AM138),AJ138+AK138+AL138+AM138,"")</f>
        <v/>
      </c>
      <c r="M142" s="76" t="str">
        <f ca="1">IF(ISNUMBER(AN138+AO138+AP138+AQ138),AN138+AO138+AP138+AQ138,"")</f>
        <v/>
      </c>
      <c r="N142" s="76" t="str">
        <f ca="1">IF(ISNUMBER(AR138+AS138+AT138+AU138),AR138+AS138+AT138+AU138,"")</f>
        <v/>
      </c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</row>
    <row r="143" spans="2:47" hidden="1" outlineLevel="1">
      <c r="B143" s="57" t="s">
        <v>119</v>
      </c>
      <c r="C143" s="50"/>
      <c r="D143" s="76">
        <f t="shared" ref="D143:N143" ca="1" si="5">IF(ISNUMBER(D141+D142),D141+D142,"")</f>
        <v>0</v>
      </c>
      <c r="E143" s="76" t="str">
        <f t="shared" ca="1" si="5"/>
        <v/>
      </c>
      <c r="F143" s="76" t="str">
        <f t="shared" ca="1" si="5"/>
        <v/>
      </c>
      <c r="G143" s="76" t="str">
        <f t="shared" ca="1" si="5"/>
        <v/>
      </c>
      <c r="H143" s="76" t="str">
        <f t="shared" ca="1" si="5"/>
        <v/>
      </c>
      <c r="I143" s="76" t="str">
        <f t="shared" ca="1" si="5"/>
        <v/>
      </c>
      <c r="J143" s="76" t="str">
        <f t="shared" ca="1" si="5"/>
        <v/>
      </c>
      <c r="K143" s="76" t="str">
        <f t="shared" ca="1" si="5"/>
        <v/>
      </c>
      <c r="L143" s="76" t="str">
        <f t="shared" ca="1" si="5"/>
        <v/>
      </c>
      <c r="M143" s="76" t="str">
        <f t="shared" ca="1" si="5"/>
        <v/>
      </c>
      <c r="N143" s="76" t="str">
        <f t="shared" ca="1" si="5"/>
        <v/>
      </c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</row>
    <row r="144" spans="2:47" hidden="1" outlineLevel="1">
      <c r="B144" s="57"/>
      <c r="C144" s="50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18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</row>
    <row r="145" spans="2:14" collapsed="1">
      <c r="B145" s="57" t="s">
        <v>120</v>
      </c>
      <c r="C145" s="50"/>
      <c r="D145" s="56" t="str">
        <f t="shared" ref="D145:M145" ca="1" si="6">IF(ISNUMBER((D143-E143)/E143),(D143-E143)/E143,"")</f>
        <v/>
      </c>
      <c r="E145" s="56" t="str">
        <f t="shared" ca="1" si="6"/>
        <v/>
      </c>
      <c r="F145" s="56" t="str">
        <f t="shared" ca="1" si="6"/>
        <v/>
      </c>
      <c r="G145" s="56" t="str">
        <f t="shared" ca="1" si="6"/>
        <v/>
      </c>
      <c r="H145" s="56" t="str">
        <f t="shared" ca="1" si="6"/>
        <v/>
      </c>
      <c r="I145" s="56" t="str">
        <f t="shared" ca="1" si="6"/>
        <v/>
      </c>
      <c r="J145" s="56" t="str">
        <f t="shared" ca="1" si="6"/>
        <v/>
      </c>
      <c r="K145" s="56" t="str">
        <f t="shared" ca="1" si="6"/>
        <v/>
      </c>
      <c r="L145" s="56" t="str">
        <f t="shared" ca="1" si="6"/>
        <v/>
      </c>
      <c r="M145" s="56" t="str">
        <f t="shared" ca="1" si="6"/>
        <v/>
      </c>
      <c r="N145" s="18"/>
    </row>
    <row r="146" spans="2:14" hidden="1" outlineLevel="1">
      <c r="B146" s="59"/>
      <c r="C146" s="5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18"/>
    </row>
    <row r="147" spans="2:14" hidden="1" outlineLevel="1">
      <c r="B147" s="59"/>
      <c r="C147" s="50"/>
      <c r="D147" s="79" t="e">
        <f ca="1">INDIRECT(D7&amp;"C44")</f>
        <v>#REF!</v>
      </c>
      <c r="E147" s="79" t="e">
        <f ca="1">INDIRECT(D7&amp;"J44")</f>
        <v>#REF!</v>
      </c>
      <c r="F147" s="79" t="e">
        <f ca="1">INDIRECT(D7&amp;"N44")</f>
        <v>#REF!</v>
      </c>
      <c r="G147" s="79" t="e">
        <f ca="1">INDIRECT(D7&amp;"R44")</f>
        <v>#REF!</v>
      </c>
      <c r="H147" s="79" t="e">
        <f ca="1">INDIRECT(D7&amp;"V44")</f>
        <v>#REF!</v>
      </c>
      <c r="I147" s="79" t="e">
        <f ca="1">INDIRECT(D7&amp;"Z44")</f>
        <v>#REF!</v>
      </c>
      <c r="J147" s="79" t="e">
        <f ca="1">INDIRECT(D7&amp;"AD44")</f>
        <v>#REF!</v>
      </c>
      <c r="K147" s="79" t="e">
        <f ca="1">INDIRECT(D7&amp;"AH44")</f>
        <v>#REF!</v>
      </c>
      <c r="L147" s="79" t="e">
        <f ca="1">INDIRECT(D7&amp;"AL44")</f>
        <v>#REF!</v>
      </c>
      <c r="M147" s="79" t="e">
        <f ca="1">INDIRECT(D7&amp;"AP44")</f>
        <v>#REF!</v>
      </c>
      <c r="N147" s="56" t="e">
        <f ca="1">INDIRECT(D7&amp;"AT44")</f>
        <v>#REF!</v>
      </c>
    </row>
    <row r="148" spans="2:14" hidden="1" outlineLevel="1">
      <c r="B148" s="59"/>
      <c r="C148" s="50"/>
      <c r="D148" s="79" t="e">
        <f t="shared" ref="D148:N148" ca="1" si="7">LEFT(D147,LEN(D147)-1)</f>
        <v>#REF!</v>
      </c>
      <c r="E148" s="79" t="e">
        <f t="shared" ca="1" si="7"/>
        <v>#REF!</v>
      </c>
      <c r="F148" s="79" t="e">
        <f t="shared" ca="1" si="7"/>
        <v>#REF!</v>
      </c>
      <c r="G148" s="79" t="e">
        <f t="shared" ca="1" si="7"/>
        <v>#REF!</v>
      </c>
      <c r="H148" s="79" t="e">
        <f t="shared" ca="1" si="7"/>
        <v>#REF!</v>
      </c>
      <c r="I148" s="79" t="e">
        <f t="shared" ca="1" si="7"/>
        <v>#REF!</v>
      </c>
      <c r="J148" s="79" t="e">
        <f t="shared" ca="1" si="7"/>
        <v>#REF!</v>
      </c>
      <c r="K148" s="79" t="e">
        <f t="shared" ca="1" si="7"/>
        <v>#REF!</v>
      </c>
      <c r="L148" s="79" t="e">
        <f t="shared" ca="1" si="7"/>
        <v>#REF!</v>
      </c>
      <c r="M148" s="79" t="e">
        <f t="shared" ca="1" si="7"/>
        <v>#REF!</v>
      </c>
      <c r="N148" s="56" t="e">
        <f t="shared" ca="1" si="7"/>
        <v>#REF!</v>
      </c>
    </row>
    <row r="149" spans="2:14" hidden="1" outlineLevel="1">
      <c r="B149" s="59"/>
      <c r="C149" s="50"/>
      <c r="D149" s="79" t="e">
        <f t="shared" ref="D149:N149" ca="1" si="8">RIGHT(D147,1)</f>
        <v>#REF!</v>
      </c>
      <c r="E149" s="79" t="e">
        <f t="shared" ca="1" si="8"/>
        <v>#REF!</v>
      </c>
      <c r="F149" s="79" t="e">
        <f t="shared" ca="1" si="8"/>
        <v>#REF!</v>
      </c>
      <c r="G149" s="79" t="e">
        <f t="shared" ca="1" si="8"/>
        <v>#REF!</v>
      </c>
      <c r="H149" s="79" t="e">
        <f t="shared" ca="1" si="8"/>
        <v>#REF!</v>
      </c>
      <c r="I149" s="79" t="e">
        <f t="shared" ca="1" si="8"/>
        <v>#REF!</v>
      </c>
      <c r="J149" s="79" t="e">
        <f t="shared" ca="1" si="8"/>
        <v>#REF!</v>
      </c>
      <c r="K149" s="79" t="e">
        <f t="shared" ca="1" si="8"/>
        <v>#REF!</v>
      </c>
      <c r="L149" s="79" t="e">
        <f t="shared" ca="1" si="8"/>
        <v>#REF!</v>
      </c>
      <c r="M149" s="79" t="e">
        <f t="shared" ca="1" si="8"/>
        <v>#REF!</v>
      </c>
      <c r="N149" s="56" t="e">
        <f t="shared" ca="1" si="8"/>
        <v>#REF!</v>
      </c>
    </row>
    <row r="150" spans="2:14" hidden="1" outlineLevel="1">
      <c r="B150" s="59"/>
      <c r="C150" s="50"/>
      <c r="D150" s="60" t="e">
        <f t="shared" ref="D150:N150" ca="1" si="9">IF(D149="B",D148*1000000,IF(D149="M",D148*1000,D148))</f>
        <v>#REF!</v>
      </c>
      <c r="E150" s="60" t="e">
        <f t="shared" ca="1" si="9"/>
        <v>#REF!</v>
      </c>
      <c r="F150" s="60" t="e">
        <f t="shared" ca="1" si="9"/>
        <v>#REF!</v>
      </c>
      <c r="G150" s="60" t="e">
        <f t="shared" ca="1" si="9"/>
        <v>#REF!</v>
      </c>
      <c r="H150" s="60" t="e">
        <f t="shared" ca="1" si="9"/>
        <v>#REF!</v>
      </c>
      <c r="I150" s="60" t="e">
        <f t="shared" ca="1" si="9"/>
        <v>#REF!</v>
      </c>
      <c r="J150" s="60" t="e">
        <f t="shared" ca="1" si="9"/>
        <v>#REF!</v>
      </c>
      <c r="K150" s="60" t="e">
        <f t="shared" ca="1" si="9"/>
        <v>#REF!</v>
      </c>
      <c r="L150" s="60" t="e">
        <f t="shared" ca="1" si="9"/>
        <v>#REF!</v>
      </c>
      <c r="M150" s="60" t="e">
        <f t="shared" ca="1" si="9"/>
        <v>#REF!</v>
      </c>
      <c r="N150" s="60" t="e">
        <f t="shared" ca="1" si="9"/>
        <v>#REF!</v>
      </c>
    </row>
    <row r="151" spans="2:14" collapsed="1">
      <c r="B151" s="57" t="s">
        <v>83</v>
      </c>
      <c r="C151" s="50"/>
      <c r="D151" s="56" t="str">
        <f t="shared" ref="D151:M151" ca="1" si="10">IF(ISERROR((D150-E150)/E150),"",(D150-E150)/E150)</f>
        <v/>
      </c>
      <c r="E151" s="56" t="str">
        <f t="shared" ca="1" si="10"/>
        <v/>
      </c>
      <c r="F151" s="56" t="str">
        <f t="shared" ca="1" si="10"/>
        <v/>
      </c>
      <c r="G151" s="56" t="str">
        <f t="shared" ca="1" si="10"/>
        <v/>
      </c>
      <c r="H151" s="56" t="str">
        <f t="shared" ca="1" si="10"/>
        <v/>
      </c>
      <c r="I151" s="56" t="str">
        <f t="shared" ca="1" si="10"/>
        <v/>
      </c>
      <c r="J151" s="56" t="str">
        <f t="shared" ca="1" si="10"/>
        <v/>
      </c>
      <c r="K151" s="56" t="str">
        <f t="shared" ca="1" si="10"/>
        <v/>
      </c>
      <c r="L151" s="56" t="str">
        <f t="shared" ca="1" si="10"/>
        <v/>
      </c>
      <c r="M151" s="56" t="str">
        <f t="shared" ca="1" si="10"/>
        <v/>
      </c>
    </row>
    <row r="152" spans="2:14" hidden="1" outlineLevel="1">
      <c r="B152" s="57"/>
      <c r="C152" s="50"/>
      <c r="D152" s="56"/>
      <c r="E152" s="56"/>
      <c r="F152" s="56"/>
      <c r="G152" s="56"/>
      <c r="H152" s="56"/>
      <c r="I152" s="56"/>
      <c r="J152" s="56"/>
      <c r="K152" s="56"/>
      <c r="L152" s="56"/>
      <c r="M152" s="56"/>
    </row>
    <row r="153" spans="2:14" hidden="1" outlineLevel="1">
      <c r="B153" s="59"/>
      <c r="C153" s="50"/>
      <c r="D153" s="79" t="e">
        <f ca="1">INDIRECT(D7&amp;"C45")</f>
        <v>#REF!</v>
      </c>
      <c r="E153" s="79" t="e">
        <f ca="1">INDIRECT(D7&amp;"J45")</f>
        <v>#REF!</v>
      </c>
      <c r="F153" s="79" t="e">
        <f ca="1">INDIRECT(D7&amp;"N45")</f>
        <v>#REF!</v>
      </c>
      <c r="G153" s="79" t="e">
        <f ca="1">INDIRECT(D7&amp;"R45")</f>
        <v>#REF!</v>
      </c>
      <c r="H153" s="79" t="e">
        <f ca="1">INDIRECT(D7&amp;"V45")</f>
        <v>#REF!</v>
      </c>
      <c r="I153" s="79" t="e">
        <f ca="1">INDIRECT(D7&amp;"Z45")</f>
        <v>#REF!</v>
      </c>
      <c r="J153" s="79" t="e">
        <f ca="1">INDIRECT(D7&amp;"AD45")</f>
        <v>#REF!</v>
      </c>
      <c r="K153" s="79" t="e">
        <f ca="1">INDIRECT(D7&amp;"AH45")</f>
        <v>#REF!</v>
      </c>
      <c r="L153" s="79" t="e">
        <f ca="1">INDIRECT(D7&amp;"AL45")</f>
        <v>#REF!</v>
      </c>
      <c r="M153" s="79" t="e">
        <f ca="1">INDIRECT(D7&amp;"AP45")</f>
        <v>#REF!</v>
      </c>
      <c r="N153" s="56" t="e">
        <f ca="1">INDIRECT(D7&amp;"AT45")</f>
        <v>#REF!</v>
      </c>
    </row>
    <row r="154" spans="2:14" hidden="1" outlineLevel="1">
      <c r="B154" s="59"/>
      <c r="C154" s="50"/>
      <c r="D154" s="79" t="e">
        <f t="shared" ref="D154:N154" ca="1" si="11">LEFT(D153,LEN(D153)-1)</f>
        <v>#REF!</v>
      </c>
      <c r="E154" s="79" t="e">
        <f t="shared" ca="1" si="11"/>
        <v>#REF!</v>
      </c>
      <c r="F154" s="79" t="e">
        <f t="shared" ca="1" si="11"/>
        <v>#REF!</v>
      </c>
      <c r="G154" s="79" t="e">
        <f t="shared" ca="1" si="11"/>
        <v>#REF!</v>
      </c>
      <c r="H154" s="79" t="e">
        <f t="shared" ca="1" si="11"/>
        <v>#REF!</v>
      </c>
      <c r="I154" s="79" t="e">
        <f t="shared" ca="1" si="11"/>
        <v>#REF!</v>
      </c>
      <c r="J154" s="79" t="e">
        <f t="shared" ca="1" si="11"/>
        <v>#REF!</v>
      </c>
      <c r="K154" s="79" t="e">
        <f t="shared" ca="1" si="11"/>
        <v>#REF!</v>
      </c>
      <c r="L154" s="79" t="e">
        <f t="shared" ca="1" si="11"/>
        <v>#REF!</v>
      </c>
      <c r="M154" s="79" t="e">
        <f t="shared" ca="1" si="11"/>
        <v>#REF!</v>
      </c>
      <c r="N154" s="56" t="e">
        <f t="shared" ca="1" si="11"/>
        <v>#REF!</v>
      </c>
    </row>
    <row r="155" spans="2:14" hidden="1" outlineLevel="1">
      <c r="B155" s="59"/>
      <c r="C155" s="50"/>
      <c r="D155" s="79" t="e">
        <f ca="1">RIGHT(D153,1)</f>
        <v>#REF!</v>
      </c>
      <c r="E155" s="79" t="e">
        <f t="shared" ref="E155:N155" ca="1" si="12">RIGHT(E153,1)</f>
        <v>#REF!</v>
      </c>
      <c r="F155" s="79" t="e">
        <f t="shared" ca="1" si="12"/>
        <v>#REF!</v>
      </c>
      <c r="G155" s="79" t="e">
        <f t="shared" ca="1" si="12"/>
        <v>#REF!</v>
      </c>
      <c r="H155" s="79" t="e">
        <f t="shared" ca="1" si="12"/>
        <v>#REF!</v>
      </c>
      <c r="I155" s="79" t="e">
        <f t="shared" ca="1" si="12"/>
        <v>#REF!</v>
      </c>
      <c r="J155" s="79" t="e">
        <f t="shared" ca="1" si="12"/>
        <v>#REF!</v>
      </c>
      <c r="K155" s="79" t="e">
        <f t="shared" ca="1" si="12"/>
        <v>#REF!</v>
      </c>
      <c r="L155" s="79" t="e">
        <f t="shared" ca="1" si="12"/>
        <v>#REF!</v>
      </c>
      <c r="M155" s="79" t="e">
        <f t="shared" ca="1" si="12"/>
        <v>#REF!</v>
      </c>
      <c r="N155" s="56" t="e">
        <f t="shared" ca="1" si="12"/>
        <v>#REF!</v>
      </c>
    </row>
    <row r="156" spans="2:14" hidden="1" outlineLevel="1">
      <c r="B156" s="59"/>
      <c r="C156" s="50"/>
      <c r="D156" s="60" t="e">
        <f t="shared" ref="D156:N156" ca="1" si="13">IF(D155="B",D154*1000000,IF(D155="M",D154*1000,D154))</f>
        <v>#REF!</v>
      </c>
      <c r="E156" s="60" t="e">
        <f t="shared" ca="1" si="13"/>
        <v>#REF!</v>
      </c>
      <c r="F156" s="60" t="e">
        <f t="shared" ca="1" si="13"/>
        <v>#REF!</v>
      </c>
      <c r="G156" s="60" t="e">
        <f t="shared" ca="1" si="13"/>
        <v>#REF!</v>
      </c>
      <c r="H156" s="60" t="e">
        <f t="shared" ca="1" si="13"/>
        <v>#REF!</v>
      </c>
      <c r="I156" s="60" t="e">
        <f t="shared" ca="1" si="13"/>
        <v>#REF!</v>
      </c>
      <c r="J156" s="60" t="e">
        <f t="shared" ca="1" si="13"/>
        <v>#REF!</v>
      </c>
      <c r="K156" s="60" t="e">
        <f t="shared" ca="1" si="13"/>
        <v>#REF!</v>
      </c>
      <c r="L156" s="60" t="e">
        <f t="shared" ca="1" si="13"/>
        <v>#REF!</v>
      </c>
      <c r="M156" s="60" t="e">
        <f t="shared" ca="1" si="13"/>
        <v>#REF!</v>
      </c>
      <c r="N156" s="60" t="e">
        <f t="shared" ca="1" si="13"/>
        <v>#REF!</v>
      </c>
    </row>
    <row r="157" spans="2:14" collapsed="1">
      <c r="B157" s="57" t="s">
        <v>84</v>
      </c>
      <c r="C157" s="50"/>
      <c r="D157" s="56" t="str">
        <f t="shared" ref="D157" ca="1" si="14">IF(ISERROR((D156-E156)/E156),"",(D156-E156)/E156)</f>
        <v/>
      </c>
      <c r="E157" s="56" t="str">
        <f t="shared" ref="E157" ca="1" si="15">IF(ISERROR((E156-F156)/F156),"",(E156-F156)/F156)</f>
        <v/>
      </c>
      <c r="F157" s="56" t="str">
        <f t="shared" ref="F157" ca="1" si="16">IF(ISERROR((F156-G156)/G156),"",(F156-G156)/G156)</f>
        <v/>
      </c>
      <c r="G157" s="56" t="str">
        <f ca="1">IF(ISERROR((G156-H156)/H156),"",(G156-H156)/H156)</f>
        <v/>
      </c>
      <c r="H157" s="56" t="str">
        <f t="shared" ref="H157" ca="1" si="17">IF(ISERROR((H156-I156)/I156),"",(H156-I156)/I156)</f>
        <v/>
      </c>
      <c r="I157" s="56" t="str">
        <f t="shared" ref="I157" ca="1" si="18">IF(ISERROR((I156-J156)/J156),"",(I156-J156)/J156)</f>
        <v/>
      </c>
      <c r="J157" s="56" t="str">
        <f t="shared" ref="J157" ca="1" si="19">IF(ISERROR((J156-K156)/K156),"",(J156-K156)/K156)</f>
        <v/>
      </c>
      <c r="K157" s="56" t="str">
        <f t="shared" ref="K157" ca="1" si="20">IF(ISERROR((K156-L156)/L156),"",(K156-L156)/L156)</f>
        <v/>
      </c>
      <c r="L157" s="56" t="str">
        <f t="shared" ref="L157" ca="1" si="21">IF(ISERROR((L156-M156)/M156),"",(L156-M156)/M156)</f>
        <v/>
      </c>
      <c r="M157" s="56" t="str">
        <f t="shared" ref="M157" ca="1" si="22">IF(ISERROR((M156-N156)/N156),"",(M156-N156)/N156)</f>
        <v/>
      </c>
    </row>
    <row r="158" spans="2:14">
      <c r="B158" s="14"/>
      <c r="D158" s="17"/>
      <c r="E158" s="17"/>
      <c r="F158" s="17"/>
      <c r="G158" s="17"/>
      <c r="H158" s="17"/>
      <c r="I158" s="17"/>
      <c r="J158" s="17"/>
      <c r="K158" s="17"/>
      <c r="L158" s="17"/>
      <c r="M158" s="17"/>
    </row>
    <row r="159" spans="2:14">
      <c r="B159" s="20" t="s">
        <v>73</v>
      </c>
      <c r="C159" s="21"/>
      <c r="D159" s="48" t="str">
        <f ca="1">IF(ISNUMBER(INDIRECT(D7&amp;"C20")),INDIRECT(D7&amp;"C20"),"")</f>
        <v/>
      </c>
      <c r="E159" s="48" t="str">
        <f ca="1">IF(ISNUMBER(INDIRECT(D7&amp;"G20")),INDIRECT(D7&amp;"G20"),"")</f>
        <v/>
      </c>
      <c r="F159" s="48" t="str">
        <f ca="1">IF(ISNUMBER(INDIRECT(D7&amp;"H20")),INDIRECT(D7&amp;"H20"),"")</f>
        <v/>
      </c>
      <c r="G159" s="48" t="str">
        <f ca="1">IF(ISNUMBER(INDIRECT(D7&amp;"I20")),INDIRECT(D7&amp;"I20"),"")</f>
        <v/>
      </c>
      <c r="H159" s="48" t="str">
        <f ca="1">IF(ISNUMBER(INDIRECT(D7&amp;"J20")),INDIRECT(D7&amp;"J20"),"")</f>
        <v/>
      </c>
      <c r="I159" s="48" t="str">
        <f ca="1">IF(ISNUMBER(INDIRECT(D7&amp;"K20")),INDIRECT(D7&amp;"K20"),"")</f>
        <v/>
      </c>
      <c r="J159" s="48" t="str">
        <f ca="1">IF(ISNUMBER(INDIRECT(D7&amp;"L20")),INDIRECT(D7&amp;"L20"),"")</f>
        <v/>
      </c>
      <c r="K159" s="48" t="str">
        <f ca="1">IF(ISNUMBER(INDIRECT(D7&amp;"M20")),INDIRECT(D7&amp;"M20"),"")</f>
        <v/>
      </c>
      <c r="L159" s="48" t="str">
        <f ca="1">IF(ISNUMBER(INDIRECT(D7&amp;"N20")),INDIRECT(D7&amp;"N20"),"")</f>
        <v/>
      </c>
      <c r="M159" s="48" t="str">
        <f ca="1">IF(ISNUMBER(INDIRECT(D7&amp;"O20")),INDIRECT(D7&amp;"O20"),"")</f>
        <v/>
      </c>
    </row>
    <row r="160" spans="2:14">
      <c r="B160" s="22" t="s">
        <v>35</v>
      </c>
      <c r="C160" s="21"/>
      <c r="D160" s="24" t="str">
        <f ca="1">IF(ISNUMBER(INDIRECT(D7&amp;"C42")),INDIRECT(D7&amp;"C42"),"")</f>
        <v/>
      </c>
      <c r="E160" s="24" t="str">
        <f ca="1">IF(ISNUMBER(INDIRECT(D7&amp;"G42")),INDIRECT(D7&amp;"G42"),"")</f>
        <v/>
      </c>
      <c r="F160" s="24" t="str">
        <f ca="1">IF(ISNUMBER(INDIRECT(D7&amp;"H42")),INDIRECT(D7&amp;"H42"),"")</f>
        <v/>
      </c>
      <c r="G160" s="24" t="str">
        <f ca="1">IF(ISNUMBER(INDIRECT(D7&amp;"I42")),INDIRECT(D7&amp;"I42"),"")</f>
        <v/>
      </c>
      <c r="H160" s="24" t="str">
        <f ca="1">IF(ISNUMBER(INDIRECT(D7&amp;"J42")),INDIRECT(D7&amp;"J42"),"")</f>
        <v/>
      </c>
      <c r="I160" s="24" t="str">
        <f ca="1">IF(ISNUMBER(INDIRECT(D7&amp;"K42")),INDIRECT(D7&amp;"K42"),"")</f>
        <v/>
      </c>
      <c r="J160" s="24" t="str">
        <f ca="1">IF(ISNUMBER(INDIRECT(D7&amp;"L42")),INDIRECT(D7&amp;"L42"),"")</f>
        <v/>
      </c>
      <c r="K160" s="24" t="str">
        <f ca="1">IF(ISNUMBER(INDIRECT(D7&amp;"M42")),INDIRECT(D7&amp;"M42"),"")</f>
        <v/>
      </c>
      <c r="L160" s="24" t="str">
        <f ca="1">IF(ISNUMBER(INDIRECT(D7&amp;"N42")),INDIRECT(D7&amp;"N42"),"")</f>
        <v/>
      </c>
      <c r="M160" s="24" t="str">
        <f ca="1">IF(ISNUMBER(INDIRECT(D7&amp;"O42")),INDIRECT(D7&amp;"O42"),"")</f>
        <v/>
      </c>
    </row>
    <row r="161" spans="2:13">
      <c r="B161" s="22" t="s">
        <v>40</v>
      </c>
      <c r="C161" s="21"/>
      <c r="D161" s="23" t="str">
        <f ca="1">IF(ISNUMBER(INDIRECT(D7&amp;"C22")),INDIRECT(D7&amp;"C22"),"")</f>
        <v/>
      </c>
      <c r="E161" s="23" t="str">
        <f ca="1">IF(ISNUMBER(INDIRECT(D7&amp;"G22")),INDIRECT(D7&amp;"G22"),"")</f>
        <v/>
      </c>
      <c r="F161" s="23" t="str">
        <f ca="1">IF(ISNUMBER(INDIRECT(D7&amp;"H22")),INDIRECT(D7&amp;"H22"),"")</f>
        <v/>
      </c>
      <c r="G161" s="23" t="str">
        <f ca="1">IF(ISNUMBER(INDIRECT(D7&amp;"I22")),INDIRECT(D7&amp;"I22"),"")</f>
        <v/>
      </c>
      <c r="H161" s="23" t="str">
        <f ca="1">IF(ISNUMBER(INDIRECT(D7&amp;"J22")),INDIRECT(D7&amp;"J22"),"")</f>
        <v/>
      </c>
      <c r="I161" s="23" t="str">
        <f ca="1">IF(ISNUMBER(INDIRECT(D7&amp;"K22")),INDIRECT(D7&amp;"K22"),"")</f>
        <v/>
      </c>
      <c r="J161" s="23" t="str">
        <f ca="1">IF(ISNUMBER(INDIRECT(D7&amp;"L22")),INDIRECT(D7&amp;"L22"),"")</f>
        <v/>
      </c>
      <c r="K161" s="23" t="str">
        <f ca="1">IF(ISNUMBER(INDIRECT(D7&amp;"M22")),INDIRECT(D7&amp;"M22"),"")</f>
        <v/>
      </c>
      <c r="L161" s="23" t="str">
        <f ca="1">IF(ISNUMBER(INDIRECT(D7&amp;"N22")),INDIRECT(D7&amp;"N22"),"")</f>
        <v/>
      </c>
      <c r="M161" s="23" t="str">
        <f ca="1">IF(ISNUMBER(INDIRECT(D7&amp;"O22")),INDIRECT(D7&amp;"O22"),"")</f>
        <v/>
      </c>
    </row>
    <row r="162" spans="2:13">
      <c r="B162" s="22" t="s">
        <v>45</v>
      </c>
      <c r="C162" s="21"/>
      <c r="D162" s="23" t="str">
        <f ca="1">IF(ISNUMBER(INDIRECT(D7&amp;"C23")),INDIRECT(D7&amp;"C23"),"")</f>
        <v/>
      </c>
      <c r="E162" s="23" t="str">
        <f ca="1">IF(ISNUMBER(INDIRECT(D7&amp;"G23")),INDIRECT(D7&amp;"G23"),"")</f>
        <v/>
      </c>
      <c r="F162" s="23" t="str">
        <f ca="1">IF(ISNUMBER(INDIRECT(D7&amp;"H23")),INDIRECT(D7&amp;"H23"),"")</f>
        <v/>
      </c>
      <c r="G162" s="23" t="str">
        <f ca="1">IF(ISNUMBER(INDIRECT(D7&amp;"I23")),INDIRECT(D7&amp;"I23"),"")</f>
        <v/>
      </c>
      <c r="H162" s="23" t="str">
        <f ca="1">IF(ISNUMBER(INDIRECT(D7&amp;"J23")),INDIRECT(D7&amp;"J23"),"")</f>
        <v/>
      </c>
      <c r="I162" s="23" t="str">
        <f ca="1">IF(ISNUMBER(INDIRECT(D7&amp;"K23")),INDIRECT(D7&amp;"K23"),"")</f>
        <v/>
      </c>
      <c r="J162" s="23" t="str">
        <f ca="1">IF(ISNUMBER(INDIRECT(D7&amp;"L23")),INDIRECT(D7&amp;"L23"),"")</f>
        <v/>
      </c>
      <c r="K162" s="23" t="str">
        <f ca="1">IF(ISNUMBER(INDIRECT(D7&amp;"M23")),INDIRECT(D7&amp;"M23"),"")</f>
        <v/>
      </c>
      <c r="L162" s="23" t="str">
        <f ca="1">IF(ISNUMBER(INDIRECT(D7&amp;"N23")),INDIRECT(D7&amp;"N23"),"")</f>
        <v/>
      </c>
      <c r="M162" s="23" t="str">
        <f ca="1">IF(ISNUMBER(INDIRECT(D7&amp;"O23")),INDIRECT(D7&amp;"O23"),"")</f>
        <v/>
      </c>
    </row>
    <row r="163" spans="2:13">
      <c r="B163" s="22" t="s">
        <v>34</v>
      </c>
      <c r="C163" s="21"/>
      <c r="D163" s="25" t="e">
        <f ca="1">INDIRECT(D7&amp;"C61")</f>
        <v>#REF!</v>
      </c>
      <c r="E163" s="21"/>
      <c r="F163" s="21"/>
      <c r="G163" s="21"/>
      <c r="H163" s="21"/>
      <c r="I163" s="21"/>
      <c r="J163" s="21"/>
      <c r="K163" s="21"/>
      <c r="L163" s="21"/>
      <c r="M163" s="21"/>
    </row>
    <row r="164" spans="2:13">
      <c r="B164" s="22" t="s">
        <v>111</v>
      </c>
      <c r="C164" s="21"/>
      <c r="D164" s="26" t="e">
        <f ca="1">IF(F5&gt;200000000,"mega-cap",IF(F5&gt;10000000,"large-cap",IF(F5&gt;2000000,"mid-cap",IF(F5&gt;300000,"small-cap",IF(F5&gt;50000,"micro-cap","nano-cap")))))</f>
        <v>#REF!</v>
      </c>
      <c r="E164" s="21"/>
      <c r="F164" s="21"/>
      <c r="G164" s="21"/>
      <c r="H164" s="21"/>
      <c r="I164" s="21"/>
      <c r="J164" s="21"/>
      <c r="K164" s="21"/>
      <c r="L164" s="21"/>
      <c r="M164" s="21"/>
    </row>
    <row r="165" spans="2:13">
      <c r="D165" s="9"/>
    </row>
    <row r="166" spans="2:13">
      <c r="B166" s="65" t="s">
        <v>36</v>
      </c>
      <c r="C166" s="66"/>
      <c r="D166" s="67"/>
      <c r="E166" s="66"/>
      <c r="F166" s="66"/>
      <c r="G166" s="66"/>
      <c r="H166" s="66"/>
      <c r="I166" s="66"/>
      <c r="J166" s="66"/>
      <c r="K166" s="66"/>
      <c r="L166" s="66"/>
      <c r="M166" s="66"/>
    </row>
    <row r="167" spans="2:13" hidden="1" outlineLevel="1">
      <c r="B167" s="68" t="s">
        <v>37</v>
      </c>
      <c r="C167" s="66"/>
      <c r="D167" s="69" t="e">
        <f ca="1">IF(INDIRECT(D11&amp;"$E$104")="",INDIRECT(D11&amp;"$F$104")+INDIRECT(D11&amp;"$G$104")+INDIRECT(D11&amp;"$H$104")+INDIRECT(D11&amp;"$I$104"),INDIRECT(D11&amp;"$E$104")+INDIRECT(D11&amp;"$F$104")+INDIRECT(D11&amp;"$G$104")+INDIRECT(D11&amp;"$H$104"))</f>
        <v>#REF!</v>
      </c>
      <c r="E167" s="66"/>
      <c r="F167" s="66"/>
      <c r="G167" s="66"/>
      <c r="H167" s="66"/>
      <c r="I167" s="66"/>
      <c r="J167" s="66"/>
      <c r="K167" s="66"/>
      <c r="L167" s="66"/>
      <c r="M167" s="66"/>
    </row>
    <row r="168" spans="2:13" hidden="1" outlineLevel="1">
      <c r="B168" s="68" t="s">
        <v>42</v>
      </c>
      <c r="C168" s="66"/>
      <c r="D168" s="69" t="e">
        <f ca="1">IF(INDIRECT(D11&amp;"E129")="",INDIRECT(D11&amp;"F129")-INDIRECT(D11&amp;"F143"),INDIRECT(D11&amp;"E129")-INDIRECT(D11&amp;"E143"))</f>
        <v>#REF!</v>
      </c>
      <c r="E168" s="66"/>
      <c r="F168" s="66"/>
      <c r="G168" s="66"/>
      <c r="H168" s="66"/>
      <c r="I168" s="66"/>
      <c r="J168" s="66"/>
      <c r="K168" s="66"/>
      <c r="L168" s="66"/>
      <c r="M168" s="66"/>
    </row>
    <row r="169" spans="2:13" hidden="1" outlineLevel="1">
      <c r="B169" s="68" t="s">
        <v>104</v>
      </c>
      <c r="C169" s="66"/>
      <c r="D169" s="69" t="e">
        <f ca="1">IF(INDIRECT(D11&amp;"E137")="",INDIRECT(D11&amp;"F137"),INDIRECT(D11&amp;"E137"))</f>
        <v>#REF!</v>
      </c>
      <c r="E169" s="66"/>
      <c r="F169" s="66"/>
      <c r="G169" s="66"/>
      <c r="H169" s="66"/>
      <c r="I169" s="66"/>
      <c r="J169" s="66"/>
      <c r="K169" s="66"/>
      <c r="L169" s="66"/>
      <c r="M169" s="66"/>
    </row>
    <row r="170" spans="2:13" hidden="1" outlineLevel="1">
      <c r="B170" s="68" t="s">
        <v>105</v>
      </c>
      <c r="C170" s="66"/>
      <c r="D170" s="69" t="e">
        <f ca="1">IF(INDIRECT(D11&amp;"E129")="",INDIRECT(D11&amp;"F129"),INDIRECT(D11&amp;"E129"))</f>
        <v>#REF!</v>
      </c>
      <c r="E170" s="66"/>
      <c r="F170" s="66"/>
      <c r="G170" s="66"/>
      <c r="H170" s="66"/>
      <c r="I170" s="66"/>
      <c r="J170" s="66"/>
      <c r="K170" s="66"/>
      <c r="L170" s="66"/>
      <c r="M170" s="66"/>
    </row>
    <row r="171" spans="2:13" hidden="1" outlineLevel="1">
      <c r="B171" s="68" t="s">
        <v>106</v>
      </c>
      <c r="C171" s="66"/>
      <c r="D171" s="69" t="e">
        <f ca="1">IF(INDIRECT(D11&amp;"E132")="",IF(ISNUMBER(INDIRECT(D11&amp;"F132")),INDIRECT(D11&amp;"F132"),0),IF(ISNUMBER(INDIRECT(D11&amp;"E132")),INDIRECT(D11&amp;"E132"),0))</f>
        <v>#REF!</v>
      </c>
      <c r="E171" s="66"/>
      <c r="F171" s="66"/>
      <c r="G171" s="66"/>
      <c r="H171" s="66"/>
      <c r="I171" s="66"/>
      <c r="J171" s="66"/>
      <c r="K171" s="66"/>
      <c r="L171" s="66"/>
      <c r="M171" s="66"/>
    </row>
    <row r="172" spans="2:13" hidden="1" outlineLevel="1">
      <c r="B172" s="68" t="s">
        <v>107</v>
      </c>
      <c r="C172" s="66"/>
      <c r="D172" s="69" t="e">
        <f ca="1">IF(INDIRECT(D11&amp;"E133")="",IF(ISNUMBER(INDIRECT(D11&amp;"F133")),INDIRECT(D11&amp;"F133"),0),IF(ISNUMBER(INDIRECT(D11&amp;"E133")),INDIRECT(D11&amp;"E133"),0))</f>
        <v>#REF!</v>
      </c>
      <c r="E172" s="66"/>
      <c r="F172" s="66"/>
      <c r="G172" s="66"/>
      <c r="H172" s="66"/>
      <c r="I172" s="66"/>
      <c r="J172" s="66"/>
      <c r="K172" s="66"/>
      <c r="L172" s="66"/>
      <c r="M172" s="66"/>
    </row>
    <row r="173" spans="2:13" hidden="1" outlineLevel="1">
      <c r="B173" s="68" t="s">
        <v>41</v>
      </c>
      <c r="C173" s="66"/>
      <c r="D173" s="69" t="e">
        <f ca="1">D169-D170-D171-D172</f>
        <v>#REF!</v>
      </c>
      <c r="E173" s="66"/>
      <c r="F173" s="66"/>
      <c r="G173" s="66"/>
      <c r="H173" s="66"/>
      <c r="I173" s="66"/>
      <c r="J173" s="66"/>
      <c r="K173" s="66"/>
      <c r="L173" s="66"/>
      <c r="M173" s="66"/>
    </row>
    <row r="174" spans="2:13" hidden="1" outlineLevel="1">
      <c r="B174" s="68"/>
      <c r="C174" s="66"/>
      <c r="D174" s="67"/>
      <c r="E174" s="66"/>
      <c r="F174" s="66"/>
      <c r="G174" s="66"/>
      <c r="H174" s="66"/>
      <c r="I174" s="66"/>
      <c r="J174" s="66"/>
      <c r="K174" s="66"/>
      <c r="L174" s="66"/>
      <c r="M174" s="66"/>
    </row>
    <row r="175" spans="2:13" hidden="1" outlineLevel="1">
      <c r="B175" s="68" t="s">
        <v>38</v>
      </c>
      <c r="C175" s="66"/>
      <c r="D175" s="70" t="e">
        <f ca="1">INDIRECT(D7&amp;"C9")</f>
        <v>#REF!</v>
      </c>
      <c r="E175" s="66"/>
      <c r="F175" s="66"/>
      <c r="G175" s="66"/>
      <c r="H175" s="66"/>
      <c r="I175" s="66"/>
      <c r="J175" s="66"/>
      <c r="K175" s="66"/>
      <c r="L175" s="66"/>
      <c r="M175" s="66"/>
    </row>
    <row r="176" spans="2:13" hidden="1" outlineLevel="1">
      <c r="B176" s="68"/>
      <c r="C176" s="66"/>
      <c r="D176" s="67" t="e">
        <f ca="1">LEFT(D175,LEN(D175)-1)</f>
        <v>#REF!</v>
      </c>
      <c r="E176" s="66"/>
      <c r="F176" s="66"/>
      <c r="G176" s="66"/>
      <c r="H176" s="66"/>
      <c r="I176" s="66"/>
      <c r="J176" s="66"/>
      <c r="K176" s="66"/>
      <c r="L176" s="66"/>
      <c r="M176" s="66"/>
    </row>
    <row r="177" spans="2:13" hidden="1" outlineLevel="1">
      <c r="B177" s="68"/>
      <c r="C177" s="66"/>
      <c r="D177" s="67" t="e">
        <f ca="1">RIGHT(D175,1)</f>
        <v>#REF!</v>
      </c>
      <c r="E177" s="66"/>
      <c r="F177" s="66"/>
      <c r="G177" s="66"/>
      <c r="H177" s="66"/>
      <c r="I177" s="66"/>
      <c r="J177" s="66"/>
      <c r="K177" s="66"/>
      <c r="L177" s="66"/>
      <c r="M177" s="66"/>
    </row>
    <row r="178" spans="2:13" hidden="1" outlineLevel="1">
      <c r="B178" s="68"/>
      <c r="C178" s="66"/>
      <c r="D178" s="69" t="e">
        <f ca="1">IF(D177="M",D176*1000000,IF(D177="B",D176*1000000000,D176))</f>
        <v>#REF!</v>
      </c>
      <c r="E178" s="66"/>
      <c r="F178" s="66"/>
      <c r="G178" s="66"/>
      <c r="H178" s="66"/>
      <c r="I178" s="66"/>
      <c r="J178" s="66"/>
      <c r="K178" s="66"/>
      <c r="L178" s="66"/>
      <c r="M178" s="66"/>
    </row>
    <row r="179" spans="2:13" hidden="1" outlineLevel="1">
      <c r="B179" s="68" t="s">
        <v>103</v>
      </c>
      <c r="C179" s="66"/>
      <c r="D179" s="69" t="e">
        <f ca="1">D178*D25/D19</f>
        <v>#REF!</v>
      </c>
      <c r="E179" s="66"/>
      <c r="F179" s="66"/>
      <c r="G179" s="66"/>
      <c r="H179" s="66"/>
      <c r="I179" s="66"/>
      <c r="J179" s="66"/>
      <c r="K179" s="66"/>
      <c r="L179" s="66"/>
      <c r="M179" s="66"/>
    </row>
    <row r="180" spans="2:13" collapsed="1">
      <c r="B180" s="68" t="s">
        <v>43</v>
      </c>
      <c r="C180" s="66"/>
      <c r="D180" s="67" t="e">
        <f ca="1">D167/(D168+D173)</f>
        <v>#REF!</v>
      </c>
      <c r="E180" s="66"/>
      <c r="F180" s="66"/>
      <c r="G180" s="66"/>
      <c r="H180" s="66"/>
      <c r="I180" s="66"/>
      <c r="J180" s="66"/>
      <c r="K180" s="66"/>
      <c r="L180" s="66"/>
      <c r="M180" s="66"/>
    </row>
    <row r="181" spans="2:13">
      <c r="B181" s="68" t="s">
        <v>39</v>
      </c>
      <c r="C181" s="66"/>
      <c r="D181" s="67" t="e">
        <f ca="1">D167*1000/D179</f>
        <v>#REF!</v>
      </c>
      <c r="E181" s="66"/>
      <c r="F181" s="66"/>
      <c r="G181" s="66"/>
      <c r="H181" s="66"/>
      <c r="I181" s="66"/>
      <c r="J181" s="66"/>
      <c r="K181" s="66"/>
      <c r="L181" s="66"/>
      <c r="M181" s="66"/>
    </row>
    <row r="182" spans="2:13">
      <c r="B182" s="68" t="s">
        <v>108</v>
      </c>
      <c r="C182" s="66"/>
      <c r="D182" s="67" t="e">
        <f ca="1">D180+D181</f>
        <v>#REF!</v>
      </c>
      <c r="E182" s="66"/>
      <c r="F182" s="66" t="e">
        <f ca="1">IF(D182&gt;0.656,"top decile",IF(D182&gt;0.371,"2nd best decile","ordinary"))</f>
        <v>#REF!</v>
      </c>
      <c r="G182" s="66"/>
      <c r="H182" s="66"/>
      <c r="I182" s="66"/>
      <c r="J182" s="66"/>
      <c r="K182" s="66"/>
      <c r="L182" s="66"/>
      <c r="M182" s="66"/>
    </row>
    <row r="184" spans="2:13">
      <c r="B184" s="61" t="s">
        <v>78</v>
      </c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</row>
    <row r="185" spans="2:13" hidden="1" outlineLevel="1">
      <c r="B185" s="62" t="s">
        <v>9</v>
      </c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</row>
    <row r="186" spans="2:13" hidden="1" outlineLevel="1">
      <c r="B186" s="63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</row>
    <row r="187" spans="2:13" hidden="1" outlineLevel="1">
      <c r="B187" s="63" t="s">
        <v>74</v>
      </c>
      <c r="C187" s="62"/>
      <c r="D187" s="62" t="s">
        <v>77</v>
      </c>
      <c r="E187" s="62"/>
      <c r="F187" s="62"/>
      <c r="G187" s="62"/>
      <c r="H187" s="62"/>
      <c r="I187" s="62"/>
      <c r="J187" s="62"/>
      <c r="K187" s="62"/>
      <c r="L187" s="62"/>
      <c r="M187" s="62"/>
    </row>
    <row r="188" spans="2:13" hidden="1" outlineLevel="1">
      <c r="B188" s="63" t="s">
        <v>75</v>
      </c>
      <c r="C188" s="62"/>
      <c r="D188" s="62" t="s">
        <v>77</v>
      </c>
      <c r="E188" s="62"/>
      <c r="F188" s="62"/>
      <c r="G188" s="62"/>
      <c r="H188" s="62"/>
      <c r="I188" s="62"/>
      <c r="J188" s="62"/>
      <c r="K188" s="62"/>
      <c r="L188" s="62"/>
      <c r="M188" s="62"/>
    </row>
    <row r="189" spans="2:13" hidden="1" outlineLevel="1">
      <c r="B189" s="63" t="s">
        <v>102</v>
      </c>
      <c r="C189" s="62"/>
      <c r="D189" s="64">
        <f ca="1">D94</f>
        <v>0</v>
      </c>
      <c r="E189" s="62"/>
      <c r="F189" s="62"/>
      <c r="G189" s="62"/>
      <c r="H189" s="62"/>
      <c r="I189" s="62"/>
      <c r="J189" s="62"/>
      <c r="K189" s="62"/>
      <c r="L189" s="62"/>
      <c r="M189" s="62"/>
    </row>
    <row r="190" spans="2:13" hidden="1" outlineLevel="1">
      <c r="B190" s="63" t="s">
        <v>38</v>
      </c>
      <c r="C190" s="62"/>
      <c r="D190" s="77" t="e">
        <f ca="1">D179</f>
        <v>#REF!</v>
      </c>
      <c r="E190" s="62"/>
      <c r="F190" s="62"/>
      <c r="G190" s="62"/>
      <c r="H190" s="62"/>
      <c r="I190" s="62"/>
      <c r="J190" s="62"/>
      <c r="K190" s="62"/>
      <c r="L190" s="62"/>
      <c r="M190" s="62"/>
    </row>
    <row r="191" spans="2:13" collapsed="1">
      <c r="B191" s="63" t="s">
        <v>121</v>
      </c>
      <c r="C191" s="62"/>
      <c r="D191" s="78" t="str">
        <f ca="1">IF(ISNUMBER(INDIRECT(D7&amp;"C16")),1/INDIRECT(D7&amp;"C16"),"")</f>
        <v/>
      </c>
      <c r="E191" s="62"/>
      <c r="F191" s="62" t="str">
        <f ca="1">IF(ISNUMBER(D191),IF(D191&gt;0.119,"3rd best decile", IF(D191&gt;0.153, "2nd best decile", IF(D191&gt;0.222, "best decile","mediocre"))),"")</f>
        <v/>
      </c>
      <c r="G191" s="62"/>
      <c r="H191" s="62"/>
      <c r="I191" s="62"/>
      <c r="J191" s="62"/>
      <c r="K191" s="62"/>
      <c r="L191" s="62"/>
      <c r="M191" s="62"/>
    </row>
    <row r="192" spans="2:13" hidden="1" outlineLevel="1">
      <c r="B192" s="63" t="s">
        <v>124</v>
      </c>
      <c r="C192" s="62"/>
      <c r="D192" s="62"/>
      <c r="E192" s="62"/>
      <c r="F192" s="62"/>
      <c r="G192" s="62"/>
      <c r="H192" s="62"/>
      <c r="I192" s="62" t="s">
        <v>125</v>
      </c>
      <c r="J192" s="62"/>
      <c r="K192" s="62"/>
      <c r="L192" s="62"/>
      <c r="M192" s="62"/>
    </row>
    <row r="193" spans="2:13" hidden="1" outlineLevel="1">
      <c r="B193" s="63" t="s">
        <v>122</v>
      </c>
      <c r="C193" s="62"/>
      <c r="D193" s="62" t="s">
        <v>123</v>
      </c>
      <c r="E193" s="62"/>
      <c r="F193" s="62"/>
      <c r="G193" s="62"/>
      <c r="H193" s="62"/>
      <c r="I193" s="62"/>
      <c r="J193" s="62"/>
      <c r="K193" s="62"/>
      <c r="L193" s="62"/>
      <c r="M193" s="62"/>
    </row>
    <row r="194" spans="2:13" hidden="1" outlineLevel="1">
      <c r="B194" s="63" t="s">
        <v>76</v>
      </c>
      <c r="C194" s="62"/>
      <c r="D194" s="62" t="s">
        <v>77</v>
      </c>
      <c r="E194" s="62"/>
      <c r="F194" s="62"/>
      <c r="G194" s="62"/>
      <c r="H194" s="62"/>
      <c r="I194" s="62"/>
      <c r="J194" s="62"/>
      <c r="K194" s="62"/>
      <c r="L194" s="62"/>
      <c r="M194" s="62"/>
    </row>
    <row r="195" spans="2:13" collapsed="1">
      <c r="B195" s="63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</row>
    <row r="196" spans="2:13">
      <c r="B196" s="61" t="s">
        <v>99</v>
      </c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</row>
    <row r="197" spans="2:13">
      <c r="B197" s="63" t="s">
        <v>100</v>
      </c>
      <c r="C197" s="62"/>
      <c r="D197" s="62" t="e">
        <f ca="1">INDIRECT(D7&amp;"C57")</f>
        <v>#REF!</v>
      </c>
      <c r="E197" s="62"/>
      <c r="F197" s="62" t="e">
        <f ca="1">IF(D197&lt;100000,"not enough volume",IF(D197&lt;1000000,"thinly traded","strong volume"))</f>
        <v>#REF!</v>
      </c>
      <c r="G197" s="62"/>
      <c r="H197" s="62"/>
      <c r="I197" s="62"/>
      <c r="J197" s="62"/>
      <c r="K197" s="62"/>
      <c r="L197" s="62"/>
      <c r="M197" s="62"/>
    </row>
    <row r="200" spans="2:13">
      <c r="B200" s="1" t="s">
        <v>48</v>
      </c>
    </row>
    <row r="201" spans="2:13">
      <c r="B201" s="1" t="s">
        <v>56</v>
      </c>
    </row>
    <row r="202" spans="2:13" ht="15.75">
      <c r="B202" s="13" t="s">
        <v>58</v>
      </c>
      <c r="D202" t="s">
        <v>72</v>
      </c>
    </row>
    <row r="203" spans="2:13" ht="15.75">
      <c r="B203" s="13" t="s">
        <v>109</v>
      </c>
      <c r="D203" t="s">
        <v>72</v>
      </c>
    </row>
    <row r="204" spans="2:13" ht="15.75">
      <c r="B204" s="13" t="s">
        <v>110</v>
      </c>
    </row>
    <row r="205" spans="2:13" ht="15.75">
      <c r="B205" s="13" t="s">
        <v>59</v>
      </c>
      <c r="D205" t="s">
        <v>72</v>
      </c>
    </row>
    <row r="206" spans="2:13" ht="15.75">
      <c r="B206" s="13" t="s">
        <v>60</v>
      </c>
    </row>
    <row r="207" spans="2:13" ht="15.75">
      <c r="B207" s="13" t="s">
        <v>61</v>
      </c>
      <c r="D207" t="s">
        <v>72</v>
      </c>
    </row>
    <row r="208" spans="2:13" ht="15.75">
      <c r="B208" s="13" t="s">
        <v>62</v>
      </c>
      <c r="D208" t="s">
        <v>72</v>
      </c>
    </row>
    <row r="209" spans="2:4" ht="15.75">
      <c r="B209" s="13" t="s">
        <v>63</v>
      </c>
    </row>
    <row r="210" spans="2:4">
      <c r="B210" s="1" t="s">
        <v>57</v>
      </c>
    </row>
    <row r="211" spans="2:4">
      <c r="B211" s="3" t="s">
        <v>47</v>
      </c>
      <c r="D211" t="s">
        <v>72</v>
      </c>
    </row>
    <row r="212" spans="2:4" ht="15.75">
      <c r="B212" s="12" t="s">
        <v>49</v>
      </c>
      <c r="D212" t="s">
        <v>71</v>
      </c>
    </row>
    <row r="213" spans="2:4" ht="15.75">
      <c r="B213" s="12" t="s">
        <v>50</v>
      </c>
      <c r="D213" t="s">
        <v>71</v>
      </c>
    </row>
    <row r="214" spans="2:4" ht="15.75">
      <c r="B214" s="12" t="s">
        <v>51</v>
      </c>
      <c r="D214" t="s">
        <v>72</v>
      </c>
    </row>
    <row r="215" spans="2:4" ht="15.75">
      <c r="B215" s="12" t="s">
        <v>52</v>
      </c>
    </row>
    <row r="216" spans="2:4" ht="15.75">
      <c r="B216" s="12" t="s">
        <v>53</v>
      </c>
    </row>
    <row r="217" spans="2:4" ht="15.75">
      <c r="B217" s="12" t="s">
        <v>54</v>
      </c>
      <c r="D217" t="s">
        <v>72</v>
      </c>
    </row>
    <row r="218" spans="2:4" ht="15.75">
      <c r="B218" s="12" t="s">
        <v>55</v>
      </c>
      <c r="D218" t="s">
        <v>72</v>
      </c>
    </row>
  </sheetData>
  <conditionalFormatting sqref="D42">
    <cfRule type="cellIs" dxfId="1" priority="4" stopIfTrue="1" operator="lessThan">
      <formula>0</formula>
    </cfRule>
  </conditionalFormatting>
  <conditionalFormatting sqref="E42:M42">
    <cfRule type="cellIs" dxfId="0" priority="1" stopIfTrue="1" operator="lessThan">
      <formula>0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</dc:creator>
  <cp:lastModifiedBy>Sundeep Chadha</cp:lastModifiedBy>
  <dcterms:created xsi:type="dcterms:W3CDTF">2015-10-13T02:37:06Z</dcterms:created>
  <dcterms:modified xsi:type="dcterms:W3CDTF">2016-05-21T22:42:53Z</dcterms:modified>
</cp:coreProperties>
</file>