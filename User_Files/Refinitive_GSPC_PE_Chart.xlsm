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User_Files\"/>
    </mc:Choice>
  </mc:AlternateContent>
  <xr:revisionPtr revIDLastSave="0" documentId="13_ncr:1_{35626398-39B1-4DDF-9CA6-457A7E9788FE}" xr6:coauthVersionLast="47" xr6:coauthVersionMax="47" xr10:uidLastSave="{00000000-0000-0000-0000-000000000000}"/>
  <bookViews>
    <workbookView xWindow="-120" yWindow="-120" windowWidth="29040" windowHeight="17640" activeTab="1" xr2:uid="{00000000-000D-0000-FFFF-FFFF00000000}"/>
  </bookViews>
  <sheets>
    <sheet name="Chart-Quarterly" sheetId="42" r:id="rId1"/>
    <sheet name="Earnings-Yearly" sheetId="46" r:id="rId2"/>
    <sheet name="Earnings-Quarterly" sheetId="44" r:id="rId3"/>
    <sheet name="Notes" sheetId="4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46" l="1"/>
  <c r="L4" i="46"/>
  <c r="L5" i="46"/>
  <c r="L6" i="46"/>
  <c r="L7" i="46"/>
  <c r="L8" i="46"/>
  <c r="L9" i="46"/>
  <c r="L10" i="46"/>
  <c r="L11" i="46"/>
  <c r="L12" i="46"/>
  <c r="L13" i="46"/>
  <c r="L14" i="46"/>
  <c r="L15" i="46"/>
  <c r="L16" i="46"/>
  <c r="L17" i="46"/>
  <c r="L18" i="46"/>
  <c r="L2" i="46"/>
  <c r="K3" i="46"/>
  <c r="K4" i="46"/>
  <c r="K5" i="46"/>
  <c r="K6" i="46"/>
  <c r="K7" i="46"/>
  <c r="K8" i="46"/>
  <c r="K9" i="46"/>
  <c r="K10" i="46"/>
  <c r="K11" i="46"/>
  <c r="K12" i="46"/>
  <c r="K13" i="46"/>
  <c r="K14" i="46"/>
  <c r="K15" i="46"/>
  <c r="K16" i="46"/>
  <c r="K17" i="46"/>
  <c r="K18" i="46"/>
  <c r="K2" i="46"/>
  <c r="J3" i="46"/>
  <c r="J4" i="46"/>
  <c r="J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2" i="46"/>
  <c r="I3" i="46"/>
  <c r="I4" i="46"/>
  <c r="I5" i="46"/>
  <c r="I6" i="46"/>
  <c r="I7" i="46"/>
  <c r="I8" i="46"/>
  <c r="I9" i="46"/>
  <c r="I10" i="46"/>
  <c r="I11" i="46"/>
  <c r="I12" i="46"/>
  <c r="I13" i="46"/>
  <c r="I14" i="46"/>
  <c r="I15" i="46"/>
  <c r="I16" i="46"/>
  <c r="I17" i="46"/>
  <c r="I18" i="46"/>
  <c r="I2" i="46"/>
  <c r="H3" i="46"/>
  <c r="H4" i="46"/>
  <c r="H5" i="46"/>
  <c r="H6" i="46"/>
  <c r="H7" i="46"/>
  <c r="H8" i="46"/>
  <c r="H9" i="46"/>
  <c r="H10" i="46"/>
  <c r="H11" i="46"/>
  <c r="H12" i="46"/>
  <c r="H13" i="46"/>
  <c r="H14" i="46"/>
  <c r="H15" i="46"/>
  <c r="H16" i="46"/>
  <c r="H17" i="46"/>
  <c r="H18" i="46"/>
  <c r="H2" i="46"/>
  <c r="G3" i="46"/>
  <c r="G4" i="46"/>
  <c r="G5" i="46"/>
  <c r="G6" i="46"/>
  <c r="G7" i="46"/>
  <c r="G8" i="46"/>
  <c r="G9" i="46"/>
  <c r="G10" i="46"/>
  <c r="G11" i="46"/>
  <c r="G12" i="46"/>
  <c r="G13" i="46"/>
  <c r="G14" i="46"/>
  <c r="G15" i="46"/>
  <c r="G16" i="46"/>
  <c r="G17" i="46"/>
  <c r="G18" i="46"/>
  <c r="G2" i="46"/>
  <c r="F3" i="46"/>
  <c r="F4" i="46"/>
  <c r="F5" i="46"/>
  <c r="F6" i="46"/>
  <c r="F7" i="46"/>
  <c r="F8" i="46"/>
  <c r="F9" i="46"/>
  <c r="F10" i="46"/>
  <c r="F11" i="46"/>
  <c r="F12" i="46"/>
  <c r="F13" i="46"/>
  <c r="F14" i="46"/>
  <c r="F15" i="46"/>
  <c r="F16" i="46"/>
  <c r="F17" i="46"/>
  <c r="F18" i="46"/>
  <c r="F2" i="46"/>
  <c r="E3" i="46"/>
  <c r="E4" i="46"/>
  <c r="E5" i="46"/>
  <c r="E6" i="46"/>
  <c r="E7" i="46"/>
  <c r="E8" i="46"/>
  <c r="E9" i="46"/>
  <c r="E10" i="46"/>
  <c r="E11" i="46"/>
  <c r="E12" i="46"/>
  <c r="E13" i="46"/>
  <c r="E14" i="46"/>
  <c r="E15" i="46"/>
  <c r="E16" i="46"/>
  <c r="E17" i="46"/>
  <c r="E18" i="46"/>
  <c r="E2" i="46"/>
  <c r="E5" i="44" l="1"/>
  <c r="N5" i="44" s="1"/>
  <c r="E4" i="44"/>
  <c r="N4" i="44" s="1"/>
  <c r="E3" i="44"/>
  <c r="H3" i="44" s="1"/>
  <c r="E2" i="44"/>
  <c r="N2" i="44" s="1"/>
  <c r="E6" i="44"/>
  <c r="L5" i="44" l="1"/>
  <c r="H4" i="44"/>
  <c r="I4" i="44"/>
  <c r="G4" i="44"/>
  <c r="K4" i="44"/>
  <c r="M4" i="44"/>
  <c r="K2" i="44"/>
  <c r="G2" i="44"/>
  <c r="H2" i="44"/>
  <c r="I2" i="44"/>
  <c r="M2" i="44"/>
  <c r="J2" i="44"/>
  <c r="I3" i="44"/>
  <c r="G5" i="44"/>
  <c r="J3" i="44"/>
  <c r="H5" i="44"/>
  <c r="L2" i="44"/>
  <c r="K3" i="44"/>
  <c r="J4" i="44"/>
  <c r="I5" i="44"/>
  <c r="L3" i="44"/>
  <c r="J5" i="44"/>
  <c r="M3" i="44"/>
  <c r="L4" i="44"/>
  <c r="K5" i="44"/>
  <c r="G3" i="44"/>
  <c r="M5" i="44"/>
  <c r="N3" i="44"/>
  <c r="E10" i="44" l="1"/>
  <c r="E9" i="44"/>
  <c r="K9" i="44" s="1"/>
  <c r="E8" i="44"/>
  <c r="E7" i="44"/>
  <c r="E12" i="44"/>
  <c r="M12" i="44" s="1"/>
  <c r="E13" i="44"/>
  <c r="E14" i="44"/>
  <c r="E15" i="44"/>
  <c r="E16" i="44"/>
  <c r="E17" i="44"/>
  <c r="E18" i="44"/>
  <c r="E19" i="44"/>
  <c r="E20" i="44"/>
  <c r="M20" i="44" s="1"/>
  <c r="E21" i="44"/>
  <c r="E22" i="44"/>
  <c r="M22" i="44" s="1"/>
  <c r="E23" i="44"/>
  <c r="E24" i="44"/>
  <c r="E25" i="44"/>
  <c r="N25" i="44" s="1"/>
  <c r="E26" i="44"/>
  <c r="E27" i="44"/>
  <c r="E28" i="44"/>
  <c r="K28" i="44" s="1"/>
  <c r="E29" i="44"/>
  <c r="E30" i="44"/>
  <c r="M30" i="44" s="1"/>
  <c r="E31" i="44"/>
  <c r="E32" i="44"/>
  <c r="E33" i="44"/>
  <c r="N33" i="44" s="1"/>
  <c r="E34" i="44"/>
  <c r="E35" i="44"/>
  <c r="E36" i="44"/>
  <c r="K36" i="44" s="1"/>
  <c r="E37" i="44"/>
  <c r="N37" i="44" s="1"/>
  <c r="E38" i="44"/>
  <c r="K38" i="44" s="1"/>
  <c r="E39" i="44"/>
  <c r="I39" i="44" s="1"/>
  <c r="E40" i="44"/>
  <c r="E41" i="44"/>
  <c r="N41" i="44" s="1"/>
  <c r="E42" i="44"/>
  <c r="E43" i="44"/>
  <c r="E44" i="44"/>
  <c r="M44" i="44" s="1"/>
  <c r="E45" i="44"/>
  <c r="E46" i="44"/>
  <c r="K46" i="44" s="1"/>
  <c r="E47" i="44"/>
  <c r="E48" i="44"/>
  <c r="E49" i="44"/>
  <c r="E50" i="44"/>
  <c r="E51" i="44"/>
  <c r="E52" i="44"/>
  <c r="M52" i="44" s="1"/>
  <c r="E53" i="44"/>
  <c r="E54" i="44"/>
  <c r="M54" i="44" s="1"/>
  <c r="E55" i="44"/>
  <c r="E56" i="44"/>
  <c r="E57" i="44"/>
  <c r="N57" i="44" s="1"/>
  <c r="E58" i="44"/>
  <c r="E59" i="44"/>
  <c r="E60" i="44"/>
  <c r="M60" i="44" s="1"/>
  <c r="E61" i="44"/>
  <c r="E62" i="44"/>
  <c r="J62" i="44" s="1"/>
  <c r="E63" i="44"/>
  <c r="I63" i="44" s="1"/>
  <c r="E64" i="44"/>
  <c r="E65" i="44"/>
  <c r="N65" i="44" s="1"/>
  <c r="E66" i="44"/>
  <c r="E67" i="44"/>
  <c r="E68" i="44"/>
  <c r="K68" i="44" s="1"/>
  <c r="E69" i="44"/>
  <c r="N69" i="44" s="1"/>
  <c r="E11" i="44"/>
  <c r="K11" i="44" s="1"/>
  <c r="N60" i="44" l="1"/>
  <c r="N40" i="44"/>
  <c r="N24" i="44"/>
  <c r="N39" i="44"/>
  <c r="N23" i="44"/>
  <c r="N56" i="44"/>
  <c r="N20" i="44"/>
  <c r="N55" i="44"/>
  <c r="N36" i="44"/>
  <c r="N16" i="44"/>
  <c r="N52" i="44"/>
  <c r="N32" i="44"/>
  <c r="N15" i="44"/>
  <c r="N68" i="44"/>
  <c r="N48" i="44"/>
  <c r="N31" i="44"/>
  <c r="N12" i="44"/>
  <c r="N64" i="44"/>
  <c r="N47" i="44"/>
  <c r="N28" i="44"/>
  <c r="N9" i="44"/>
  <c r="N63" i="44"/>
  <c r="N44" i="44"/>
  <c r="K14" i="44"/>
  <c r="M14" i="44"/>
  <c r="K8" i="44"/>
  <c r="M8" i="44"/>
  <c r="N8" i="44"/>
  <c r="K69" i="44"/>
  <c r="M69" i="44"/>
  <c r="K61" i="44"/>
  <c r="M61" i="44"/>
  <c r="K53" i="44"/>
  <c r="M53" i="44"/>
  <c r="K45" i="44"/>
  <c r="M45" i="44"/>
  <c r="K37" i="44"/>
  <c r="M37" i="44"/>
  <c r="K29" i="44"/>
  <c r="M29" i="44"/>
  <c r="K21" i="44"/>
  <c r="M21" i="44"/>
  <c r="K13" i="44"/>
  <c r="M13" i="44"/>
  <c r="N46" i="44"/>
  <c r="N14" i="44"/>
  <c r="N45" i="44"/>
  <c r="N13" i="44"/>
  <c r="M62" i="44"/>
  <c r="N35" i="44"/>
  <c r="M35" i="44"/>
  <c r="N27" i="44"/>
  <c r="M27" i="44"/>
  <c r="N19" i="44"/>
  <c r="M19" i="44"/>
  <c r="N54" i="44"/>
  <c r="N22" i="44"/>
  <c r="N43" i="44"/>
  <c r="M43" i="44"/>
  <c r="N66" i="44"/>
  <c r="M66" i="44"/>
  <c r="N58" i="44"/>
  <c r="M58" i="44"/>
  <c r="N50" i="44"/>
  <c r="M50" i="44"/>
  <c r="N42" i="44"/>
  <c r="M42" i="44"/>
  <c r="N34" i="44"/>
  <c r="M34" i="44"/>
  <c r="N26" i="44"/>
  <c r="M26" i="44"/>
  <c r="N18" i="44"/>
  <c r="M18" i="44"/>
  <c r="N6" i="44"/>
  <c r="N10" i="44"/>
  <c r="M10" i="44"/>
  <c r="N53" i="44"/>
  <c r="N21" i="44"/>
  <c r="M46" i="44"/>
  <c r="N59" i="44"/>
  <c r="M59" i="44"/>
  <c r="H65" i="44"/>
  <c r="M65" i="44"/>
  <c r="M57" i="44"/>
  <c r="M49" i="44"/>
  <c r="M41" i="44"/>
  <c r="H33" i="44"/>
  <c r="M33" i="44"/>
  <c r="M25" i="44"/>
  <c r="M17" i="44"/>
  <c r="N62" i="44"/>
  <c r="N30" i="44"/>
  <c r="M6" i="44"/>
  <c r="M38" i="44"/>
  <c r="N51" i="44"/>
  <c r="M51" i="44"/>
  <c r="N61" i="44"/>
  <c r="N49" i="44"/>
  <c r="N29" i="44"/>
  <c r="N17" i="44"/>
  <c r="N67" i="44"/>
  <c r="M67" i="44"/>
  <c r="N38" i="44"/>
  <c r="N7" i="44"/>
  <c r="M68" i="44"/>
  <c r="M36" i="44"/>
  <c r="M28" i="44"/>
  <c r="M11" i="44"/>
  <c r="M9" i="44"/>
  <c r="N11" i="44"/>
  <c r="M64" i="44"/>
  <c r="M56" i="44"/>
  <c r="M48" i="44"/>
  <c r="M40" i="44"/>
  <c r="M32" i="44"/>
  <c r="M24" i="44"/>
  <c r="M16" i="44"/>
  <c r="M63" i="44"/>
  <c r="M55" i="44"/>
  <c r="M47" i="44"/>
  <c r="M39" i="44"/>
  <c r="M31" i="44"/>
  <c r="M23" i="44"/>
  <c r="M15" i="44"/>
  <c r="M7" i="44"/>
  <c r="L22" i="44"/>
  <c r="L14" i="44"/>
  <c r="J32" i="44"/>
  <c r="K62" i="44"/>
  <c r="L62" i="44"/>
  <c r="K30" i="44"/>
  <c r="L54" i="44"/>
  <c r="G66" i="44"/>
  <c r="L46" i="44"/>
  <c r="G34" i="44"/>
  <c r="L38" i="44"/>
  <c r="J57" i="44"/>
  <c r="L30" i="44"/>
  <c r="L13" i="44"/>
  <c r="H17" i="44"/>
  <c r="J16" i="44"/>
  <c r="K54" i="44"/>
  <c r="K22" i="44"/>
  <c r="L68" i="44"/>
  <c r="L60" i="44"/>
  <c r="L52" i="44"/>
  <c r="L44" i="44"/>
  <c r="L36" i="44"/>
  <c r="L28" i="44"/>
  <c r="L20" i="44"/>
  <c r="L12" i="44"/>
  <c r="L61" i="44"/>
  <c r="L21" i="44"/>
  <c r="J7" i="44"/>
  <c r="K52" i="44"/>
  <c r="K20" i="44"/>
  <c r="L6" i="44"/>
  <c r="L67" i="44"/>
  <c r="L59" i="44"/>
  <c r="L51" i="44"/>
  <c r="L43" i="44"/>
  <c r="L35" i="44"/>
  <c r="L27" i="44"/>
  <c r="L19" i="44"/>
  <c r="L11" i="44"/>
  <c r="K60" i="44"/>
  <c r="L69" i="44"/>
  <c r="L29" i="44"/>
  <c r="L66" i="44"/>
  <c r="L58" i="44"/>
  <c r="L50" i="44"/>
  <c r="L42" i="44"/>
  <c r="L34" i="44"/>
  <c r="L26" i="44"/>
  <c r="L18" i="44"/>
  <c r="L10" i="44"/>
  <c r="L37" i="44"/>
  <c r="K44" i="44"/>
  <c r="K12" i="44"/>
  <c r="L65" i="44"/>
  <c r="L57" i="44"/>
  <c r="L49" i="44"/>
  <c r="L41" i="44"/>
  <c r="L33" i="44"/>
  <c r="L25" i="44"/>
  <c r="L17" i="44"/>
  <c r="L9" i="44"/>
  <c r="L53" i="44"/>
  <c r="L64" i="44"/>
  <c r="L56" i="44"/>
  <c r="L48" i="44"/>
  <c r="L40" i="44"/>
  <c r="L32" i="44"/>
  <c r="L24" i="44"/>
  <c r="L16" i="44"/>
  <c r="L8" i="44"/>
  <c r="L45" i="44"/>
  <c r="L63" i="44"/>
  <c r="L55" i="44"/>
  <c r="L47" i="44"/>
  <c r="L39" i="44"/>
  <c r="L31" i="44"/>
  <c r="L23" i="44"/>
  <c r="L15" i="44"/>
  <c r="L7" i="44"/>
  <c r="J55" i="44"/>
  <c r="G26" i="44"/>
  <c r="H15" i="44"/>
  <c r="J49" i="44"/>
  <c r="J31" i="44"/>
  <c r="K6" i="44"/>
  <c r="K67" i="44"/>
  <c r="K59" i="44"/>
  <c r="K51" i="44"/>
  <c r="K43" i="44"/>
  <c r="K35" i="44"/>
  <c r="K27" i="44"/>
  <c r="K19" i="44"/>
  <c r="H7" i="44"/>
  <c r="J65" i="44"/>
  <c r="J48" i="44"/>
  <c r="J25" i="44"/>
  <c r="K66" i="44"/>
  <c r="K58" i="44"/>
  <c r="K50" i="44"/>
  <c r="K42" i="44"/>
  <c r="K34" i="44"/>
  <c r="K26" i="44"/>
  <c r="K18" i="44"/>
  <c r="K10" i="44"/>
  <c r="J6" i="44"/>
  <c r="J64" i="44"/>
  <c r="J47" i="44"/>
  <c r="J24" i="44"/>
  <c r="K65" i="44"/>
  <c r="K57" i="44"/>
  <c r="K49" i="44"/>
  <c r="K41" i="44"/>
  <c r="K33" i="44"/>
  <c r="K25" i="44"/>
  <c r="K17" i="44"/>
  <c r="J63" i="44"/>
  <c r="J41" i="44"/>
  <c r="J23" i="44"/>
  <c r="K64" i="44"/>
  <c r="K56" i="44"/>
  <c r="K48" i="44"/>
  <c r="K40" i="44"/>
  <c r="K32" i="44"/>
  <c r="K24" i="44"/>
  <c r="K16" i="44"/>
  <c r="J40" i="44"/>
  <c r="J17" i="44"/>
  <c r="K63" i="44"/>
  <c r="K55" i="44"/>
  <c r="K47" i="44"/>
  <c r="K39" i="44"/>
  <c r="K31" i="44"/>
  <c r="K23" i="44"/>
  <c r="K15" i="44"/>
  <c r="K7" i="44"/>
  <c r="H63" i="44"/>
  <c r="J39" i="44"/>
  <c r="G58" i="44"/>
  <c r="H55" i="44"/>
  <c r="J56" i="44"/>
  <c r="J33" i="44"/>
  <c r="J15" i="44"/>
  <c r="J54" i="44"/>
  <c r="J46" i="44"/>
  <c r="J38" i="44"/>
  <c r="J30" i="44"/>
  <c r="J22" i="44"/>
  <c r="J14" i="44"/>
  <c r="J69" i="44"/>
  <c r="J61" i="44"/>
  <c r="J53" i="44"/>
  <c r="J45" i="44"/>
  <c r="J37" i="44"/>
  <c r="J29" i="44"/>
  <c r="J21" i="44"/>
  <c r="J13" i="44"/>
  <c r="J8" i="44"/>
  <c r="J11" i="44"/>
  <c r="G68" i="44"/>
  <c r="I68" i="44"/>
  <c r="J68" i="44"/>
  <c r="I60" i="44"/>
  <c r="J60" i="44"/>
  <c r="I52" i="44"/>
  <c r="G52" i="44"/>
  <c r="J52" i="44"/>
  <c r="G44" i="44"/>
  <c r="J44" i="44"/>
  <c r="G36" i="44"/>
  <c r="J36" i="44"/>
  <c r="J28" i="44"/>
  <c r="I28" i="44"/>
  <c r="I20" i="44"/>
  <c r="J20" i="44"/>
  <c r="G20" i="44"/>
  <c r="J9" i="44"/>
  <c r="H9" i="44"/>
  <c r="G60" i="44"/>
  <c r="I44" i="44"/>
  <c r="I36" i="44"/>
  <c r="G12" i="44"/>
  <c r="J12" i="44"/>
  <c r="I12" i="44"/>
  <c r="G28" i="44"/>
  <c r="H47" i="44"/>
  <c r="G50" i="44"/>
  <c r="G18" i="44"/>
  <c r="H39" i="44"/>
  <c r="H31" i="44"/>
  <c r="J67" i="44"/>
  <c r="J59" i="44"/>
  <c r="J51" i="44"/>
  <c r="J43" i="44"/>
  <c r="J35" i="44"/>
  <c r="J27" i="44"/>
  <c r="J19" i="44"/>
  <c r="G42" i="44"/>
  <c r="G10" i="44"/>
  <c r="H25" i="44"/>
  <c r="J66" i="44"/>
  <c r="J58" i="44"/>
  <c r="J50" i="44"/>
  <c r="J42" i="44"/>
  <c r="J34" i="44"/>
  <c r="J26" i="44"/>
  <c r="J18" i="44"/>
  <c r="J10" i="44"/>
  <c r="H23" i="44"/>
  <c r="G65" i="44"/>
  <c r="G57" i="44"/>
  <c r="G49" i="44"/>
  <c r="G41" i="44"/>
  <c r="G33" i="44"/>
  <c r="G25" i="44"/>
  <c r="G17" i="44"/>
  <c r="G9" i="44"/>
  <c r="H62" i="44"/>
  <c r="H54" i="44"/>
  <c r="H46" i="44"/>
  <c r="H38" i="44"/>
  <c r="H30" i="44"/>
  <c r="H22" i="44"/>
  <c r="H14" i="44"/>
  <c r="I6" i="44"/>
  <c r="I67" i="44"/>
  <c r="I59" i="44"/>
  <c r="I51" i="44"/>
  <c r="I43" i="44"/>
  <c r="I35" i="44"/>
  <c r="I27" i="44"/>
  <c r="I19" i="44"/>
  <c r="I11" i="44"/>
  <c r="G64" i="44"/>
  <c r="G56" i="44"/>
  <c r="G48" i="44"/>
  <c r="G40" i="44"/>
  <c r="G32" i="44"/>
  <c r="G24" i="44"/>
  <c r="G16" i="44"/>
  <c r="G8" i="44"/>
  <c r="H69" i="44"/>
  <c r="H61" i="44"/>
  <c r="H53" i="44"/>
  <c r="H45" i="44"/>
  <c r="H37" i="44"/>
  <c r="H29" i="44"/>
  <c r="H21" i="44"/>
  <c r="H13" i="44"/>
  <c r="I66" i="44"/>
  <c r="I58" i="44"/>
  <c r="I50" i="44"/>
  <c r="I42" i="44"/>
  <c r="I34" i="44"/>
  <c r="I26" i="44"/>
  <c r="I18" i="44"/>
  <c r="I10" i="44"/>
  <c r="G63" i="44"/>
  <c r="G55" i="44"/>
  <c r="G47" i="44"/>
  <c r="G39" i="44"/>
  <c r="G31" i="44"/>
  <c r="G23" i="44"/>
  <c r="G15" i="44"/>
  <c r="G7" i="44"/>
  <c r="H68" i="44"/>
  <c r="H60" i="44"/>
  <c r="H52" i="44"/>
  <c r="H44" i="44"/>
  <c r="H36" i="44"/>
  <c r="H28" i="44"/>
  <c r="H20" i="44"/>
  <c r="H12" i="44"/>
  <c r="I65" i="44"/>
  <c r="I57" i="44"/>
  <c r="I49" i="44"/>
  <c r="I41" i="44"/>
  <c r="I33" i="44"/>
  <c r="I25" i="44"/>
  <c r="I17" i="44"/>
  <c r="I9" i="44"/>
  <c r="G62" i="44"/>
  <c r="G54" i="44"/>
  <c r="G46" i="44"/>
  <c r="G38" i="44"/>
  <c r="G30" i="44"/>
  <c r="G22" i="44"/>
  <c r="G14" i="44"/>
  <c r="H6" i="44"/>
  <c r="H67" i="44"/>
  <c r="H59" i="44"/>
  <c r="H51" i="44"/>
  <c r="H43" i="44"/>
  <c r="H35" i="44"/>
  <c r="H27" i="44"/>
  <c r="H19" i="44"/>
  <c r="H11" i="44"/>
  <c r="I64" i="44"/>
  <c r="I56" i="44"/>
  <c r="I48" i="44"/>
  <c r="I40" i="44"/>
  <c r="I32" i="44"/>
  <c r="I24" i="44"/>
  <c r="I16" i="44"/>
  <c r="I8" i="44"/>
  <c r="G69" i="44"/>
  <c r="G61" i="44"/>
  <c r="G53" i="44"/>
  <c r="G45" i="44"/>
  <c r="G37" i="44"/>
  <c r="G29" i="44"/>
  <c r="G21" i="44"/>
  <c r="G13" i="44"/>
  <c r="H66" i="44"/>
  <c r="H58" i="44"/>
  <c r="H50" i="44"/>
  <c r="H42" i="44"/>
  <c r="H34" i="44"/>
  <c r="H26" i="44"/>
  <c r="H18" i="44"/>
  <c r="H10" i="44"/>
  <c r="I55" i="44"/>
  <c r="I47" i="44"/>
  <c r="I31" i="44"/>
  <c r="I23" i="44"/>
  <c r="I15" i="44"/>
  <c r="I7" i="44"/>
  <c r="H57" i="44"/>
  <c r="H49" i="44"/>
  <c r="H41" i="44"/>
  <c r="I62" i="44"/>
  <c r="I54" i="44"/>
  <c r="I46" i="44"/>
  <c r="I38" i="44"/>
  <c r="I30" i="44"/>
  <c r="I22" i="44"/>
  <c r="I14" i="44"/>
  <c r="G6" i="44"/>
  <c r="G67" i="44"/>
  <c r="G59" i="44"/>
  <c r="G51" i="44"/>
  <c r="G43" i="44"/>
  <c r="G35" i="44"/>
  <c r="G27" i="44"/>
  <c r="G19" i="44"/>
  <c r="G11" i="44"/>
  <c r="H64" i="44"/>
  <c r="H56" i="44"/>
  <c r="H48" i="44"/>
  <c r="H40" i="44"/>
  <c r="H32" i="44"/>
  <c r="H24" i="44"/>
  <c r="H16" i="44"/>
  <c r="H8" i="44"/>
  <c r="I69" i="44"/>
  <c r="I61" i="44"/>
  <c r="I53" i="44"/>
  <c r="I45" i="44"/>
  <c r="I37" i="44"/>
  <c r="I29" i="44"/>
  <c r="I21" i="44"/>
  <c r="I13" i="44"/>
</calcChain>
</file>

<file path=xl/sharedStrings.xml><?xml version="1.0" encoding="utf-8"?>
<sst xmlns="http://schemas.openxmlformats.org/spreadsheetml/2006/main" count="24" uniqueCount="14">
  <si>
    <t>QUARTER END</t>
  </si>
  <si>
    <t>AS REPORTED EARNINGS PER SHR</t>
  </si>
  <si>
    <t>PRICE</t>
  </si>
  <si>
    <t>12 PE Ex Div</t>
  </si>
  <si>
    <t>14 PE Ex Div</t>
  </si>
  <si>
    <t>15 PE Ex Div</t>
  </si>
  <si>
    <t>16 PE Ex Div</t>
  </si>
  <si>
    <t>18 PE Ex Div</t>
  </si>
  <si>
    <t>21 PE Ex Div</t>
  </si>
  <si>
    <t>24 PE Ex Div</t>
  </si>
  <si>
    <t>27 PE Ex Div</t>
  </si>
  <si>
    <t>1. Search google - "sp-500-eps-est". This automatically downloads the xlsx (NEED TO FIND OUT WHAT IS THE ACTUAL LINK)
(https://www.spglobal.com/spdji/en/documents/additional-material/sp-500-eps-est.xlsx)
If you want to get it from their website, then go to 
https://www.spglobal.com/spdji/en/indices/equity/sp-500/#overview
From there click on "Additional Info" (it is a dropdown). From the drop down select "Index Earnings"
2. Go to "QUARTERLY DATA" tab</t>
  </si>
  <si>
    <t>Sum of Qtrs</t>
  </si>
  <si>
    <t>Year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</si>
</sst>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5" formatCode="[$-409]mmm\-yy;@"/>
    <numFmt numFmtId="166" formatCode="&quot;$&quot;#,##0.00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Verdana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0" fontId="2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2" fillId="0" borderId="0" applyNumberFormat="0" applyFill="0" applyBorder="0" applyAlignment="0" applyProtection="0"/>
    <xf numFmtId="165" fontId="2" fillId="0" borderId="0"/>
    <xf numFmtId="165" fontId="2" fillId="0" borderId="0"/>
  </cellStyleXfs>
  <cellXfs count="44">
    <xf numFmtId="0" fontId="0" fillId="0" borderId="0" xfId="0"/>
    <xf numFmtId="1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14" fontId="2" fillId="0" borderId="0" xfId="5" applyNumberFormat="1" applyAlignment="1">
      <alignment horizontal="left"/>
    </xf>
    <xf numFmtId="4" fontId="2" fillId="0" borderId="0" xfId="5" applyNumberFormat="1" applyAlignment="1">
      <alignment horizontal="right"/>
    </xf>
    <xf numFmtId="165" fontId="2" fillId="0" borderId="0" xfId="5" applyAlignment="1">
      <alignment horizontal="right"/>
    </xf>
    <xf numFmtId="165" fontId="5" fillId="0" borderId="0" xfId="5" applyFont="1" applyAlignment="1">
      <alignment horizontal="right"/>
    </xf>
    <xf numFmtId="165" fontId="0" fillId="0" borderId="0" xfId="5" applyFont="1" applyAlignment="1">
      <alignment horizontal="right"/>
    </xf>
    <xf numFmtId="0" fontId="3" fillId="2" borderId="2" xfId="0" applyFont="1" applyFill="1" applyBorder="1" applyAlignment="1">
      <alignment wrapText="1"/>
    </xf>
    <xf numFmtId="10" fontId="2" fillId="2" borderId="3" xfId="5" applyNumberFormat="1" applyFill="1" applyBorder="1" applyAlignment="1">
      <alignment horizontal="right"/>
    </xf>
    <xf numFmtId="10" fontId="5" fillId="2" borderId="3" xfId="5" applyNumberFormat="1" applyFont="1" applyFill="1" applyBorder="1" applyAlignment="1">
      <alignment horizontal="right"/>
    </xf>
    <xf numFmtId="2" fontId="2" fillId="2" borderId="3" xfId="5" applyNumberFormat="1" applyFill="1" applyBorder="1" applyAlignment="1">
      <alignment horizontal="right"/>
    </xf>
    <xf numFmtId="166" fontId="2" fillId="2" borderId="3" xfId="5" applyNumberFormat="1" applyFill="1" applyBorder="1" applyAlignment="1">
      <alignment horizontal="right"/>
    </xf>
    <xf numFmtId="2" fontId="5" fillId="2" borderId="3" xfId="5" applyNumberFormat="1" applyFont="1" applyFill="1" applyBorder="1" applyAlignment="1">
      <alignment horizontal="right"/>
    </xf>
    <xf numFmtId="0" fontId="0" fillId="2" borderId="3" xfId="0" applyFill="1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left" wrapText="1"/>
    </xf>
    <xf numFmtId="166" fontId="2" fillId="0" borderId="0" xfId="5" applyNumberFormat="1" applyAlignment="1">
      <alignment horizontal="left"/>
    </xf>
    <xf numFmtId="4" fontId="2" fillId="0" borderId="0" xfId="5" applyNumberFormat="1" applyAlignment="1">
      <alignment horizontal="left"/>
    </xf>
    <xf numFmtId="166" fontId="0" fillId="0" borderId="0" xfId="0" applyNumberFormat="1" applyAlignment="1">
      <alignment horizontal="left"/>
    </xf>
    <xf numFmtId="166" fontId="2" fillId="0" borderId="0" xfId="5" applyNumberFormat="1" applyBorder="1" applyAlignment="1">
      <alignment horizontal="left"/>
    </xf>
    <xf numFmtId="4" fontId="0" fillId="0" borderId="0" xfId="5" applyNumberFormat="1" applyFont="1" applyAlignment="1">
      <alignment horizontal="left"/>
    </xf>
    <xf numFmtId="166" fontId="0" fillId="0" borderId="0" xfId="4" applyNumberFormat="1" applyFont="1" applyBorder="1" applyAlignment="1">
      <alignment horizontal="left"/>
    </xf>
    <xf numFmtId="4" fontId="2" fillId="0" borderId="0" xfId="6" applyNumberFormat="1" applyAlignment="1">
      <alignment horizontal="left"/>
    </xf>
    <xf numFmtId="166" fontId="2" fillId="0" borderId="0" xfId="7" applyNumberFormat="1" applyAlignment="1">
      <alignment horizontal="left"/>
    </xf>
    <xf numFmtId="166" fontId="2" fillId="0" borderId="0" xfId="4" applyNumberFormat="1" applyFont="1" applyBorder="1" applyAlignment="1">
      <alignment horizontal="left"/>
    </xf>
    <xf numFmtId="166" fontId="4" fillId="0" borderId="0" xfId="4" applyNumberFormat="1" applyBorder="1" applyAlignment="1">
      <alignment horizontal="left"/>
    </xf>
    <xf numFmtId="0" fontId="0" fillId="0" borderId="0" xfId="0" applyAlignment="1">
      <alignment horizontal="left"/>
    </xf>
    <xf numFmtId="0" fontId="3" fillId="0" borderId="5" xfId="0" applyFont="1" applyBorder="1" applyAlignment="1">
      <alignment horizontal="left" wrapText="1"/>
    </xf>
    <xf numFmtId="44" fontId="2" fillId="0" borderId="0" xfId="3" applyFont="1" applyAlignment="1">
      <alignment horizontal="left"/>
    </xf>
    <xf numFmtId="14" fontId="2" fillId="4" borderId="0" xfId="5" applyNumberFormat="1" applyFill="1" applyAlignment="1">
      <alignment horizontal="left"/>
    </xf>
    <xf numFmtId="166" fontId="2" fillId="4" borderId="0" xfId="5" applyNumberFormat="1" applyFill="1" applyAlignment="1">
      <alignment horizontal="left"/>
    </xf>
    <xf numFmtId="4" fontId="2" fillId="4" borderId="0" xfId="5" applyNumberFormat="1" applyFill="1" applyAlignment="1">
      <alignment horizontal="left"/>
    </xf>
    <xf numFmtId="10" fontId="5" fillId="4" borderId="3" xfId="5" applyNumberFormat="1" applyFont="1" applyFill="1" applyBorder="1" applyAlignment="1">
      <alignment horizontal="right"/>
    </xf>
    <xf numFmtId="44" fontId="2" fillId="4" borderId="0" xfId="3" applyFont="1" applyFill="1" applyAlignment="1">
      <alignment horizontal="left"/>
    </xf>
    <xf numFmtId="165" fontId="5" fillId="4" borderId="0" xfId="5" applyFont="1" applyFill="1" applyAlignment="1">
      <alignment horizontal="right"/>
    </xf>
    <xf numFmtId="4" fontId="2" fillId="5" borderId="0" xfId="5" applyNumberFormat="1" applyFill="1" applyAlignment="1">
      <alignment horizontal="left"/>
    </xf>
    <xf numFmtId="44" fontId="3" fillId="0" borderId="1" xfId="3" applyFont="1" applyBorder="1" applyAlignment="1">
      <alignment horizontal="left" wrapText="1"/>
    </xf>
    <xf numFmtId="44" fontId="0" fillId="0" borderId="0" xfId="3" applyFont="1"/>
    <xf numFmtId="2" fontId="3" fillId="0" borderId="4" xfId="0" applyNumberFormat="1" applyFont="1" applyBorder="1" applyAlignment="1">
      <alignment horizontal="left" wrapText="1"/>
    </xf>
    <xf numFmtId="2" fontId="0" fillId="0" borderId="0" xfId="0" applyNumberFormat="1" applyAlignment="1">
      <alignment horizontal="left"/>
    </xf>
    <xf numFmtId="2" fontId="3" fillId="0" borderId="0" xfId="0" applyNumberFormat="1" applyFont="1" applyAlignment="1">
      <alignment horizontal="left" wrapText="1"/>
    </xf>
    <xf numFmtId="2" fontId="0" fillId="3" borderId="0" xfId="0" applyNumberFormat="1" applyFill="1" applyAlignment="1">
      <alignment horizontal="left"/>
    </xf>
  </cellXfs>
  <cellStyles count="8">
    <cellStyle name="_x000a_bidires=100_x000d_" xfId="5" xr:uid="{ED9CF37E-8591-4B4C-8926-C2D865DB5038}"/>
    <cellStyle name="Comma" xfId="4" builtinId="3"/>
    <cellStyle name="Currency" xfId="3" builtinId="4"/>
    <cellStyle name="Normal" xfId="0" builtinId="0"/>
    <cellStyle name="Normal 2" xfId="1" xr:uid="{00000000-0005-0000-0000-000002000000}"/>
    <cellStyle name="Normal 3" xfId="2" xr:uid="{00000000-0005-0000-0000-000003000000}"/>
    <cellStyle name="Normal_ESTIMATES&amp;PEs" xfId="7" xr:uid="{7947C7E3-8BC4-4E25-BAE2-387CC860C696}"/>
    <cellStyle name="Normal_SP500" xfId="6" xr:uid="{96350247-1B6B-46F0-B476-E26BE8D5EA00}"/>
  </cellStyles>
  <dxfs count="0"/>
  <tableStyles count="0" defaultTableStyle="TableStyleMedium2" defaultPivotStyle="PivotStyleLight16"/>
  <colors>
    <mruColors>
      <color rgb="FFCC00FF"/>
      <color rgb="FFFF66CC"/>
      <color rgb="FFFF990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4113957331560955"/>
          <c:y val="7.63391732527646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'Earnings-Quarterly'!$C$1</c:f>
              <c:strCache>
                <c:ptCount val="1"/>
                <c:pt idx="0">
                  <c:v>PRICE</c:v>
                </c:pt>
              </c:strCache>
            </c:strRef>
          </c:tx>
          <c:spPr>
            <a:ln w="381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'Earnings-Quarterly'!$C$2:$C$69</c:f>
              <c:numCache>
                <c:formatCode>#,##0.00</c:formatCode>
                <c:ptCount val="68"/>
                <c:pt idx="8">
                  <c:v>3700</c:v>
                </c:pt>
                <c:pt idx="9">
                  <c:v>3585.6241035486701</c:v>
                </c:pt>
                <c:pt idx="10">
                  <c:v>3785.3848459311298</c:v>
                </c:pt>
                <c:pt idx="11">
                  <c:v>4530.4134516834702</c:v>
                </c:pt>
                <c:pt idx="12">
                  <c:v>4766.1829724282998</c:v>
                </c:pt>
                <c:pt idx="13">
                  <c:v>4307.5387507897103</c:v>
                </c:pt>
                <c:pt idx="14">
                  <c:v>4297.4966318818697</c:v>
                </c:pt>
                <c:pt idx="15">
                  <c:v>3972.8922084302499</c:v>
                </c:pt>
                <c:pt idx="16">
                  <c:v>3756.0714689572001</c:v>
                </c:pt>
                <c:pt idx="17">
                  <c:v>3362.9989876496502</c:v>
                </c:pt>
                <c:pt idx="18">
                  <c:v>3100.2851286595301</c:v>
                </c:pt>
                <c:pt idx="19">
                  <c:v>2584.5907599343</c:v>
                </c:pt>
                <c:pt idx="20">
                  <c:v>3230.7819500904302</c:v>
                </c:pt>
                <c:pt idx="21">
                  <c:v>2976.73727174433</c:v>
                </c:pt>
                <c:pt idx="22">
                  <c:v>2941.76</c:v>
                </c:pt>
                <c:pt idx="23">
                  <c:v>2834.4</c:v>
                </c:pt>
                <c:pt idx="24">
                  <c:v>2506.8471826272198</c:v>
                </c:pt>
                <c:pt idx="25">
                  <c:v>2913.97813988603</c:v>
                </c:pt>
                <c:pt idx="26">
                  <c:v>2718.37</c:v>
                </c:pt>
                <c:pt idx="27">
                  <c:v>2640.8659903292901</c:v>
                </c:pt>
                <c:pt idx="28">
                  <c:v>2673.6105231517399</c:v>
                </c:pt>
                <c:pt idx="29">
                  <c:v>2519.3596719060702</c:v>
                </c:pt>
                <c:pt idx="30">
                  <c:v>2423.4088910629698</c:v>
                </c:pt>
                <c:pt idx="31">
                  <c:v>2362.7182203972902</c:v>
                </c:pt>
                <c:pt idx="32">
                  <c:v>2238.82668170754</c:v>
                </c:pt>
                <c:pt idx="33">
                  <c:v>2168.2720896372798</c:v>
                </c:pt>
                <c:pt idx="34">
                  <c:v>2098.8552265056101</c:v>
                </c:pt>
                <c:pt idx="35">
                  <c:v>2059.7411766011501</c:v>
                </c:pt>
                <c:pt idx="36">
                  <c:v>2043.9368626607099</c:v>
                </c:pt>
                <c:pt idx="37">
                  <c:v>1920.0265516397001</c:v>
                </c:pt>
                <c:pt idx="38">
                  <c:v>2063.1118322236698</c:v>
                </c:pt>
                <c:pt idx="39">
                  <c:v>2067.88724075851</c:v>
                </c:pt>
                <c:pt idx="40">
                  <c:v>2058.9023788568802</c:v>
                </c:pt>
                <c:pt idx="41">
                  <c:v>1972.28514504996</c:v>
                </c:pt>
                <c:pt idx="42">
                  <c:v>1960.23124036383</c:v>
                </c:pt>
                <c:pt idx="43">
                  <c:v>1872.33517921728</c:v>
                </c:pt>
                <c:pt idx="44">
                  <c:v>1848.3565209419301</c:v>
                </c:pt>
                <c:pt idx="45">
                  <c:v>1681.54666211214</c:v>
                </c:pt>
                <c:pt idx="46">
                  <c:v>1606.27760773726</c:v>
                </c:pt>
                <c:pt idx="47">
                  <c:v>1569.18587246845</c:v>
                </c:pt>
                <c:pt idx="48">
                  <c:v>1426.18797808055</c:v>
                </c:pt>
                <c:pt idx="49">
                  <c:v>1440.67450263613</c:v>
                </c:pt>
                <c:pt idx="50">
                  <c:v>1362.1587454406599</c:v>
                </c:pt>
                <c:pt idx="51">
                  <c:v>1408.46786041941</c:v>
                </c:pt>
                <c:pt idx="52">
                  <c:v>1257.60480453436</c:v>
                </c:pt>
                <c:pt idx="53">
                  <c:v>1131.42036008329</c:v>
                </c:pt>
                <c:pt idx="54">
                  <c:v>1320.63904926284</c:v>
                </c:pt>
                <c:pt idx="55">
                  <c:v>1325.82671751112</c:v>
                </c:pt>
                <c:pt idx="56">
                  <c:v>1257.63598797798</c:v>
                </c:pt>
                <c:pt idx="57">
                  <c:v>1141.20115690593</c:v>
                </c:pt>
                <c:pt idx="58">
                  <c:v>1030.71008330308</c:v>
                </c:pt>
                <c:pt idx="59">
                  <c:v>1169.43119269817</c:v>
                </c:pt>
                <c:pt idx="60">
                  <c:v>1115.0999999999999</c:v>
                </c:pt>
                <c:pt idx="61">
                  <c:v>1057.0786000000001</c:v>
                </c:pt>
                <c:pt idx="62">
                  <c:v>919.32</c:v>
                </c:pt>
                <c:pt idx="63">
                  <c:v>797.86699999999996</c:v>
                </c:pt>
                <c:pt idx="64">
                  <c:v>903.25</c:v>
                </c:pt>
                <c:pt idx="65">
                  <c:v>1166.361418</c:v>
                </c:pt>
                <c:pt idx="66">
                  <c:v>1280.001</c:v>
                </c:pt>
                <c:pt idx="67">
                  <c:v>1322.703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FB-476F-A41C-4D9186CCBAB8}"/>
            </c:ext>
          </c:extLst>
        </c:ser>
        <c:ser>
          <c:idx val="2"/>
          <c:order val="1"/>
          <c:tx>
            <c:strRef>
              <c:f>'Earnings-Quarterly'!$G$1</c:f>
              <c:strCache>
                <c:ptCount val="1"/>
                <c:pt idx="0">
                  <c:v>12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'Earnings-Quarterly'!$G$2:$G$69</c:f>
              <c:numCache>
                <c:formatCode>#,##0.00</c:formatCode>
                <c:ptCount val="68"/>
                <c:pt idx="0">
                  <c:v>3076.32</c:v>
                </c:pt>
                <c:pt idx="1">
                  <c:v>3056.88</c:v>
                </c:pt>
                <c:pt idx="2">
                  <c:v>3008.76</c:v>
                </c:pt>
                <c:pt idx="3">
                  <c:v>2943.84</c:v>
                </c:pt>
                <c:pt idx="4">
                  <c:v>2856.6</c:v>
                </c:pt>
                <c:pt idx="5">
                  <c:v>2795.6399999999994</c:v>
                </c:pt>
                <c:pt idx="6">
                  <c:v>2734.4399999999996</c:v>
                </c:pt>
                <c:pt idx="7">
                  <c:v>2721.7200000000003</c:v>
                </c:pt>
                <c:pt idx="8">
                  <c:v>2697.4800000000005</c:v>
                </c:pt>
                <c:pt idx="9">
                  <c:v>2656.2</c:v>
                </c:pt>
                <c:pt idx="10">
                  <c:v>2641.08</c:v>
                </c:pt>
                <c:pt idx="11">
                  <c:v>2580.6000000000004</c:v>
                </c:pt>
                <c:pt idx="12">
                  <c:v>2512.56</c:v>
                </c:pt>
                <c:pt idx="13">
                  <c:v>2376.12</c:v>
                </c:pt>
                <c:pt idx="14">
                  <c:v>2195.7600000000002</c:v>
                </c:pt>
                <c:pt idx="15">
                  <c:v>1900.56</c:v>
                </c:pt>
                <c:pt idx="16">
                  <c:v>1708.56</c:v>
                </c:pt>
                <c:pt idx="17">
                  <c:v>1701.3600000000001</c:v>
                </c:pt>
                <c:pt idx="18">
                  <c:v>1742.7600000000002</c:v>
                </c:pt>
                <c:pt idx="19">
                  <c:v>1902.72</c:v>
                </c:pt>
                <c:pt idx="20">
                  <c:v>1974.96</c:v>
                </c:pt>
                <c:pt idx="21">
                  <c:v>1965.3600000000001</c:v>
                </c:pt>
                <c:pt idx="22">
                  <c:v>1971.6000000000001</c:v>
                </c:pt>
                <c:pt idx="23">
                  <c:v>1967.88</c:v>
                </c:pt>
                <c:pt idx="24">
                  <c:v>1954.92</c:v>
                </c:pt>
                <c:pt idx="25">
                  <c:v>1893</c:v>
                </c:pt>
                <c:pt idx="26">
                  <c:v>1782.4800000000002</c:v>
                </c:pt>
                <c:pt idx="27">
                  <c:v>1681.44</c:v>
                </c:pt>
                <c:pt idx="28">
                  <c:v>1595.3999999999999</c:v>
                </c:pt>
                <c:pt idx="29">
                  <c:v>1538.7600000000002</c:v>
                </c:pt>
                <c:pt idx="30">
                  <c:v>1511.88</c:v>
                </c:pt>
                <c:pt idx="31">
                  <c:v>1476.24</c:v>
                </c:pt>
                <c:pt idx="32">
                  <c:v>1428.96</c:v>
                </c:pt>
                <c:pt idx="33">
                  <c:v>1407.6</c:v>
                </c:pt>
                <c:pt idx="34">
                  <c:v>1392.96</c:v>
                </c:pt>
                <c:pt idx="35">
                  <c:v>1398.72</c:v>
                </c:pt>
                <c:pt idx="36">
                  <c:v>1418.3999999999999</c:v>
                </c:pt>
                <c:pt idx="37">
                  <c:v>1430.6399999999999</c:v>
                </c:pt>
                <c:pt idx="38">
                  <c:v>1431.2399999999998</c:v>
                </c:pt>
                <c:pt idx="39">
                  <c:v>1431</c:v>
                </c:pt>
                <c:pt idx="40">
                  <c:v>1425.96</c:v>
                </c:pt>
                <c:pt idx="41">
                  <c:v>1402.92</c:v>
                </c:pt>
                <c:pt idx="42">
                  <c:v>1374</c:v>
                </c:pt>
                <c:pt idx="43">
                  <c:v>1341.9599999999998</c:v>
                </c:pt>
                <c:pt idx="44">
                  <c:v>1324.68</c:v>
                </c:pt>
                <c:pt idx="45">
                  <c:v>1297.08</c:v>
                </c:pt>
                <c:pt idx="46">
                  <c:v>1277.52</c:v>
                </c:pt>
                <c:pt idx="47">
                  <c:v>1258.8000000000002</c:v>
                </c:pt>
                <c:pt idx="48">
                  <c:v>1245.1199999999999</c:v>
                </c:pt>
                <c:pt idx="49">
                  <c:v>1223.8799999999999</c:v>
                </c:pt>
                <c:pt idx="50">
                  <c:v>1219.6799999999998</c:v>
                </c:pt>
                <c:pt idx="51">
                  <c:v>1199.2800000000002</c:v>
                </c:pt>
                <c:pt idx="52">
                  <c:v>1174.08</c:v>
                </c:pt>
                <c:pt idx="53">
                  <c:v>1150.08</c:v>
                </c:pt>
                <c:pt idx="54">
                  <c:v>1103.28</c:v>
                </c:pt>
                <c:pt idx="55">
                  <c:v>1071.3600000000001</c:v>
                </c:pt>
                <c:pt idx="56">
                  <c:v>1025.8800000000001</c:v>
                </c:pt>
                <c:pt idx="57">
                  <c:v>956.88000000000011</c:v>
                </c:pt>
                <c:pt idx="58">
                  <c:v>892.19999999999993</c:v>
                </c:pt>
                <c:pt idx="59">
                  <c:v>826.80000000000007</c:v>
                </c:pt>
                <c:pt idx="60">
                  <c:v>744.24</c:v>
                </c:pt>
                <c:pt idx="61">
                  <c:v>610.07999999999993</c:v>
                </c:pt>
                <c:pt idx="62">
                  <c:v>623.64</c:v>
                </c:pt>
                <c:pt idx="63">
                  <c:v>668.64</c:v>
                </c:pt>
                <c:pt idx="64">
                  <c:v>742.2</c:v>
                </c:pt>
                <c:pt idx="65">
                  <c:v>674.76</c:v>
                </c:pt>
                <c:pt idx="66">
                  <c:v>464.88</c:v>
                </c:pt>
                <c:pt idx="67">
                  <c:v>227.52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FB-476F-A41C-4D9186CCBAB8}"/>
            </c:ext>
          </c:extLst>
        </c:ser>
        <c:ser>
          <c:idx val="3"/>
          <c:order val="2"/>
          <c:tx>
            <c:strRef>
              <c:f>'Earnings-Quarterly'!$H$1</c:f>
              <c:strCache>
                <c:ptCount val="1"/>
                <c:pt idx="0">
                  <c:v>14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'Earnings-Quarterly'!$H$2:$H$69</c:f>
              <c:numCache>
                <c:formatCode>#,##0.00</c:formatCode>
                <c:ptCount val="68"/>
                <c:pt idx="0">
                  <c:v>3589.04</c:v>
                </c:pt>
                <c:pt idx="1">
                  <c:v>3566.36</c:v>
                </c:pt>
                <c:pt idx="2">
                  <c:v>3510.2200000000003</c:v>
                </c:pt>
                <c:pt idx="3">
                  <c:v>3434.48</c:v>
                </c:pt>
                <c:pt idx="4">
                  <c:v>3332.7</c:v>
                </c:pt>
                <c:pt idx="5">
                  <c:v>3261.5799999999995</c:v>
                </c:pt>
                <c:pt idx="6">
                  <c:v>3190.18</c:v>
                </c:pt>
                <c:pt idx="7">
                  <c:v>3175.34</c:v>
                </c:pt>
                <c:pt idx="8">
                  <c:v>3147.0600000000004</c:v>
                </c:pt>
                <c:pt idx="9">
                  <c:v>3098.8999999999996</c:v>
                </c:pt>
                <c:pt idx="10">
                  <c:v>3081.26</c:v>
                </c:pt>
                <c:pt idx="11">
                  <c:v>3010.7000000000003</c:v>
                </c:pt>
                <c:pt idx="12">
                  <c:v>2931.3199999999997</c:v>
                </c:pt>
                <c:pt idx="13">
                  <c:v>2772.14</c:v>
                </c:pt>
                <c:pt idx="14">
                  <c:v>2561.7200000000003</c:v>
                </c:pt>
                <c:pt idx="15">
                  <c:v>2217.3199999999997</c:v>
                </c:pt>
                <c:pt idx="16">
                  <c:v>1993.32</c:v>
                </c:pt>
                <c:pt idx="17">
                  <c:v>1984.92</c:v>
                </c:pt>
                <c:pt idx="18">
                  <c:v>2033.2200000000003</c:v>
                </c:pt>
                <c:pt idx="19">
                  <c:v>2219.84</c:v>
                </c:pt>
                <c:pt idx="20">
                  <c:v>2304.1200000000003</c:v>
                </c:pt>
                <c:pt idx="21">
                  <c:v>2292.92</c:v>
                </c:pt>
                <c:pt idx="22">
                  <c:v>2300.2000000000003</c:v>
                </c:pt>
                <c:pt idx="23">
                  <c:v>2295.86</c:v>
                </c:pt>
                <c:pt idx="24">
                  <c:v>2280.7399999999998</c:v>
                </c:pt>
                <c:pt idx="25">
                  <c:v>2208.5</c:v>
                </c:pt>
                <c:pt idx="26">
                  <c:v>2079.5600000000004</c:v>
                </c:pt>
                <c:pt idx="27">
                  <c:v>1961.68</c:v>
                </c:pt>
                <c:pt idx="28">
                  <c:v>1861.2999999999997</c:v>
                </c:pt>
                <c:pt idx="29">
                  <c:v>1795.2200000000003</c:v>
                </c:pt>
                <c:pt idx="30">
                  <c:v>1763.8600000000001</c:v>
                </c:pt>
                <c:pt idx="31">
                  <c:v>1722.28</c:v>
                </c:pt>
                <c:pt idx="32">
                  <c:v>1667.1200000000001</c:v>
                </c:pt>
                <c:pt idx="33">
                  <c:v>1642.2</c:v>
                </c:pt>
                <c:pt idx="34">
                  <c:v>1625.12</c:v>
                </c:pt>
                <c:pt idx="35">
                  <c:v>1631.8400000000001</c:v>
                </c:pt>
                <c:pt idx="36">
                  <c:v>1654.7999999999997</c:v>
                </c:pt>
                <c:pt idx="37">
                  <c:v>1669.08</c:v>
                </c:pt>
                <c:pt idx="38">
                  <c:v>1669.7799999999997</c:v>
                </c:pt>
                <c:pt idx="39">
                  <c:v>1669.5</c:v>
                </c:pt>
                <c:pt idx="40">
                  <c:v>1663.6200000000001</c:v>
                </c:pt>
                <c:pt idx="41">
                  <c:v>1636.74</c:v>
                </c:pt>
                <c:pt idx="42">
                  <c:v>1603</c:v>
                </c:pt>
                <c:pt idx="43">
                  <c:v>1565.62</c:v>
                </c:pt>
                <c:pt idx="44">
                  <c:v>1545.46</c:v>
                </c:pt>
                <c:pt idx="45">
                  <c:v>1513.26</c:v>
                </c:pt>
                <c:pt idx="46">
                  <c:v>1490.44</c:v>
                </c:pt>
                <c:pt idx="47">
                  <c:v>1468.6000000000001</c:v>
                </c:pt>
                <c:pt idx="48">
                  <c:v>1452.6399999999999</c:v>
                </c:pt>
                <c:pt idx="49">
                  <c:v>1427.86</c:v>
                </c:pt>
                <c:pt idx="50">
                  <c:v>1422.9599999999998</c:v>
                </c:pt>
                <c:pt idx="51">
                  <c:v>1399.16</c:v>
                </c:pt>
                <c:pt idx="52">
                  <c:v>1369.76</c:v>
                </c:pt>
                <c:pt idx="53">
                  <c:v>1341.7599999999998</c:v>
                </c:pt>
                <c:pt idx="54">
                  <c:v>1287.1599999999999</c:v>
                </c:pt>
                <c:pt idx="55">
                  <c:v>1249.92</c:v>
                </c:pt>
                <c:pt idx="56">
                  <c:v>1196.8600000000001</c:v>
                </c:pt>
                <c:pt idx="57">
                  <c:v>1116.3600000000001</c:v>
                </c:pt>
                <c:pt idx="58">
                  <c:v>1040.8999999999999</c:v>
                </c:pt>
                <c:pt idx="59">
                  <c:v>964.60000000000014</c:v>
                </c:pt>
                <c:pt idx="60">
                  <c:v>868.28</c:v>
                </c:pt>
                <c:pt idx="61">
                  <c:v>711.76</c:v>
                </c:pt>
                <c:pt idx="62">
                  <c:v>727.57999999999993</c:v>
                </c:pt>
                <c:pt idx="63">
                  <c:v>780.07999999999993</c:v>
                </c:pt>
                <c:pt idx="64">
                  <c:v>865.9</c:v>
                </c:pt>
                <c:pt idx="65">
                  <c:v>787.21999999999991</c:v>
                </c:pt>
                <c:pt idx="66">
                  <c:v>542.36</c:v>
                </c:pt>
                <c:pt idx="67">
                  <c:v>265.44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FB-476F-A41C-4D9186CCBAB8}"/>
            </c:ext>
          </c:extLst>
        </c:ser>
        <c:ser>
          <c:idx val="4"/>
          <c:order val="3"/>
          <c:tx>
            <c:strRef>
              <c:f>'Earnings-Quarterly'!$I$1</c:f>
              <c:strCache>
                <c:ptCount val="1"/>
                <c:pt idx="0">
                  <c:v>15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'Earnings-Quarterly'!$I$2:$I$69</c:f>
              <c:numCache>
                <c:formatCode>#,##0.00</c:formatCode>
                <c:ptCount val="68"/>
                <c:pt idx="0">
                  <c:v>3845.4</c:v>
                </c:pt>
                <c:pt idx="1">
                  <c:v>3821.1000000000004</c:v>
                </c:pt>
                <c:pt idx="2">
                  <c:v>3760.9500000000003</c:v>
                </c:pt>
                <c:pt idx="3">
                  <c:v>3679.7999999999997</c:v>
                </c:pt>
                <c:pt idx="4">
                  <c:v>3570.7499999999995</c:v>
                </c:pt>
                <c:pt idx="5">
                  <c:v>3494.5499999999997</c:v>
                </c:pt>
                <c:pt idx="6">
                  <c:v>3418.0499999999997</c:v>
                </c:pt>
                <c:pt idx="7">
                  <c:v>3402.15</c:v>
                </c:pt>
                <c:pt idx="8">
                  <c:v>3371.8500000000004</c:v>
                </c:pt>
                <c:pt idx="9">
                  <c:v>3320.2499999999995</c:v>
                </c:pt>
                <c:pt idx="10">
                  <c:v>3301.35</c:v>
                </c:pt>
                <c:pt idx="11">
                  <c:v>3225.75</c:v>
                </c:pt>
                <c:pt idx="12">
                  <c:v>3140.7</c:v>
                </c:pt>
                <c:pt idx="13">
                  <c:v>2970.1499999999996</c:v>
                </c:pt>
                <c:pt idx="14">
                  <c:v>2744.7000000000003</c:v>
                </c:pt>
                <c:pt idx="15">
                  <c:v>2375.6999999999998</c:v>
                </c:pt>
                <c:pt idx="16">
                  <c:v>2135.6999999999998</c:v>
                </c:pt>
                <c:pt idx="17">
                  <c:v>2126.6999999999998</c:v>
                </c:pt>
                <c:pt idx="18">
                  <c:v>2178.4500000000003</c:v>
                </c:pt>
                <c:pt idx="19">
                  <c:v>2378.4</c:v>
                </c:pt>
                <c:pt idx="20">
                  <c:v>2468.7000000000003</c:v>
                </c:pt>
                <c:pt idx="21">
                  <c:v>2456.6999999999998</c:v>
                </c:pt>
                <c:pt idx="22">
                  <c:v>2464.5</c:v>
                </c:pt>
                <c:pt idx="23">
                  <c:v>2459.8500000000004</c:v>
                </c:pt>
                <c:pt idx="24">
                  <c:v>2443.65</c:v>
                </c:pt>
                <c:pt idx="25">
                  <c:v>2366.25</c:v>
                </c:pt>
                <c:pt idx="26">
                  <c:v>2228.1000000000004</c:v>
                </c:pt>
                <c:pt idx="27">
                  <c:v>2101.8000000000002</c:v>
                </c:pt>
                <c:pt idx="28">
                  <c:v>1994.2499999999998</c:v>
                </c:pt>
                <c:pt idx="29">
                  <c:v>1923.4500000000003</c:v>
                </c:pt>
                <c:pt idx="30">
                  <c:v>1889.8500000000001</c:v>
                </c:pt>
                <c:pt idx="31">
                  <c:v>1845.3</c:v>
                </c:pt>
                <c:pt idx="32">
                  <c:v>1786.2000000000003</c:v>
                </c:pt>
                <c:pt idx="33">
                  <c:v>1759.5</c:v>
                </c:pt>
                <c:pt idx="34">
                  <c:v>1741.2</c:v>
                </c:pt>
                <c:pt idx="35">
                  <c:v>1748.4</c:v>
                </c:pt>
                <c:pt idx="36">
                  <c:v>1772.9999999999998</c:v>
                </c:pt>
                <c:pt idx="37">
                  <c:v>1788.3</c:v>
                </c:pt>
                <c:pt idx="38">
                  <c:v>1789.0499999999997</c:v>
                </c:pt>
                <c:pt idx="39">
                  <c:v>1788.75</c:v>
                </c:pt>
                <c:pt idx="40">
                  <c:v>1782.4500000000003</c:v>
                </c:pt>
                <c:pt idx="41">
                  <c:v>1753.6499999999999</c:v>
                </c:pt>
                <c:pt idx="42">
                  <c:v>1717.5</c:v>
                </c:pt>
                <c:pt idx="43">
                  <c:v>1677.4499999999998</c:v>
                </c:pt>
                <c:pt idx="44">
                  <c:v>1655.85</c:v>
                </c:pt>
                <c:pt idx="45">
                  <c:v>1621.3500000000001</c:v>
                </c:pt>
                <c:pt idx="46">
                  <c:v>1596.9</c:v>
                </c:pt>
                <c:pt idx="47">
                  <c:v>1573.5</c:v>
                </c:pt>
                <c:pt idx="48">
                  <c:v>1556.3999999999999</c:v>
                </c:pt>
                <c:pt idx="49">
                  <c:v>1529.85</c:v>
                </c:pt>
                <c:pt idx="50">
                  <c:v>1524.6</c:v>
                </c:pt>
                <c:pt idx="51">
                  <c:v>1499.1000000000001</c:v>
                </c:pt>
                <c:pt idx="52">
                  <c:v>1467.6000000000001</c:v>
                </c:pt>
                <c:pt idx="53">
                  <c:v>1437.6</c:v>
                </c:pt>
                <c:pt idx="54">
                  <c:v>1379.1</c:v>
                </c:pt>
                <c:pt idx="55">
                  <c:v>1339.2</c:v>
                </c:pt>
                <c:pt idx="56">
                  <c:v>1282.3500000000001</c:v>
                </c:pt>
                <c:pt idx="57">
                  <c:v>1196.1000000000001</c:v>
                </c:pt>
                <c:pt idx="58">
                  <c:v>1115.25</c:v>
                </c:pt>
                <c:pt idx="59">
                  <c:v>1033.5</c:v>
                </c:pt>
                <c:pt idx="60">
                  <c:v>930.3</c:v>
                </c:pt>
                <c:pt idx="61">
                  <c:v>762.59999999999991</c:v>
                </c:pt>
                <c:pt idx="62">
                  <c:v>779.55</c:v>
                </c:pt>
                <c:pt idx="63">
                  <c:v>835.8</c:v>
                </c:pt>
                <c:pt idx="64">
                  <c:v>927.75</c:v>
                </c:pt>
                <c:pt idx="65">
                  <c:v>843.44999999999993</c:v>
                </c:pt>
                <c:pt idx="66">
                  <c:v>581.1</c:v>
                </c:pt>
                <c:pt idx="67">
                  <c:v>284.40000000000003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FB-476F-A41C-4D9186CCBAB8}"/>
            </c:ext>
          </c:extLst>
        </c:ser>
        <c:ser>
          <c:idx val="5"/>
          <c:order val="4"/>
          <c:tx>
            <c:strRef>
              <c:f>'Earnings-Quarterly'!$J$1</c:f>
              <c:strCache>
                <c:ptCount val="1"/>
                <c:pt idx="0">
                  <c:v>16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'Earnings-Quarterly'!$J$2:$J$69</c:f>
              <c:numCache>
                <c:formatCode>#,##0.00</c:formatCode>
                <c:ptCount val="68"/>
                <c:pt idx="0">
                  <c:v>4101.76</c:v>
                </c:pt>
                <c:pt idx="1">
                  <c:v>4075.84</c:v>
                </c:pt>
                <c:pt idx="2">
                  <c:v>4011.6800000000003</c:v>
                </c:pt>
                <c:pt idx="3">
                  <c:v>3925.12</c:v>
                </c:pt>
                <c:pt idx="4">
                  <c:v>3808.7999999999997</c:v>
                </c:pt>
                <c:pt idx="5">
                  <c:v>3727.5199999999995</c:v>
                </c:pt>
                <c:pt idx="6">
                  <c:v>3645.9199999999996</c:v>
                </c:pt>
                <c:pt idx="7">
                  <c:v>3628.96</c:v>
                </c:pt>
                <c:pt idx="8">
                  <c:v>3596.6400000000003</c:v>
                </c:pt>
                <c:pt idx="9">
                  <c:v>3541.5999999999995</c:v>
                </c:pt>
                <c:pt idx="10">
                  <c:v>3521.44</c:v>
                </c:pt>
                <c:pt idx="11">
                  <c:v>3440.8</c:v>
                </c:pt>
                <c:pt idx="12">
                  <c:v>3350.08</c:v>
                </c:pt>
                <c:pt idx="13">
                  <c:v>3168.16</c:v>
                </c:pt>
                <c:pt idx="14">
                  <c:v>2927.6800000000003</c:v>
                </c:pt>
                <c:pt idx="15">
                  <c:v>2534.08</c:v>
                </c:pt>
                <c:pt idx="16">
                  <c:v>2278.08</c:v>
                </c:pt>
                <c:pt idx="17">
                  <c:v>2268.48</c:v>
                </c:pt>
                <c:pt idx="18">
                  <c:v>2323.6800000000003</c:v>
                </c:pt>
                <c:pt idx="19">
                  <c:v>2536.96</c:v>
                </c:pt>
                <c:pt idx="20">
                  <c:v>2633.28</c:v>
                </c:pt>
                <c:pt idx="21">
                  <c:v>2620.48</c:v>
                </c:pt>
                <c:pt idx="22">
                  <c:v>2628.8</c:v>
                </c:pt>
                <c:pt idx="23">
                  <c:v>2623.84</c:v>
                </c:pt>
                <c:pt idx="24">
                  <c:v>2606.56</c:v>
                </c:pt>
                <c:pt idx="25">
                  <c:v>2524</c:v>
                </c:pt>
                <c:pt idx="26">
                  <c:v>2376.6400000000003</c:v>
                </c:pt>
                <c:pt idx="27">
                  <c:v>2241.92</c:v>
                </c:pt>
                <c:pt idx="28">
                  <c:v>2127.1999999999998</c:v>
                </c:pt>
                <c:pt idx="29">
                  <c:v>2051.6800000000003</c:v>
                </c:pt>
                <c:pt idx="30">
                  <c:v>2015.8400000000001</c:v>
                </c:pt>
                <c:pt idx="31">
                  <c:v>1968.32</c:v>
                </c:pt>
                <c:pt idx="32">
                  <c:v>1905.2800000000002</c:v>
                </c:pt>
                <c:pt idx="33">
                  <c:v>1876.8</c:v>
                </c:pt>
                <c:pt idx="34">
                  <c:v>1857.28</c:v>
                </c:pt>
                <c:pt idx="35">
                  <c:v>1864.96</c:v>
                </c:pt>
                <c:pt idx="36">
                  <c:v>1891.1999999999998</c:v>
                </c:pt>
                <c:pt idx="37">
                  <c:v>1907.52</c:v>
                </c:pt>
                <c:pt idx="38">
                  <c:v>1908.3199999999997</c:v>
                </c:pt>
                <c:pt idx="39">
                  <c:v>1908</c:v>
                </c:pt>
                <c:pt idx="40">
                  <c:v>1901.2800000000002</c:v>
                </c:pt>
                <c:pt idx="41">
                  <c:v>1870.56</c:v>
                </c:pt>
                <c:pt idx="42">
                  <c:v>1832</c:v>
                </c:pt>
                <c:pt idx="43">
                  <c:v>1789.2799999999997</c:v>
                </c:pt>
                <c:pt idx="44">
                  <c:v>1766.24</c:v>
                </c:pt>
                <c:pt idx="45">
                  <c:v>1729.44</c:v>
                </c:pt>
                <c:pt idx="46">
                  <c:v>1703.3600000000001</c:v>
                </c:pt>
                <c:pt idx="47">
                  <c:v>1678.4</c:v>
                </c:pt>
                <c:pt idx="48">
                  <c:v>1660.1599999999999</c:v>
                </c:pt>
                <c:pt idx="49">
                  <c:v>1631.84</c:v>
                </c:pt>
                <c:pt idx="50">
                  <c:v>1626.2399999999998</c:v>
                </c:pt>
                <c:pt idx="51">
                  <c:v>1599.0400000000002</c:v>
                </c:pt>
                <c:pt idx="52">
                  <c:v>1565.44</c:v>
                </c:pt>
                <c:pt idx="53">
                  <c:v>1533.4399999999998</c:v>
                </c:pt>
                <c:pt idx="54">
                  <c:v>1471.04</c:v>
                </c:pt>
                <c:pt idx="55">
                  <c:v>1428.48</c:v>
                </c:pt>
                <c:pt idx="56">
                  <c:v>1367.8400000000001</c:v>
                </c:pt>
                <c:pt idx="57">
                  <c:v>1275.8400000000001</c:v>
                </c:pt>
                <c:pt idx="58">
                  <c:v>1189.5999999999999</c:v>
                </c:pt>
                <c:pt idx="59">
                  <c:v>1102.4000000000001</c:v>
                </c:pt>
                <c:pt idx="60">
                  <c:v>992.31999999999994</c:v>
                </c:pt>
                <c:pt idx="61">
                  <c:v>813.43999999999994</c:v>
                </c:pt>
                <c:pt idx="62">
                  <c:v>831.52</c:v>
                </c:pt>
                <c:pt idx="63">
                  <c:v>891.52</c:v>
                </c:pt>
                <c:pt idx="64">
                  <c:v>989.6</c:v>
                </c:pt>
                <c:pt idx="65">
                  <c:v>899.68</c:v>
                </c:pt>
                <c:pt idx="66">
                  <c:v>619.84</c:v>
                </c:pt>
                <c:pt idx="67">
                  <c:v>303.36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FB-476F-A41C-4D9186CCBAB8}"/>
            </c:ext>
          </c:extLst>
        </c:ser>
        <c:ser>
          <c:idx val="6"/>
          <c:order val="5"/>
          <c:tx>
            <c:strRef>
              <c:f>'Earnings-Quarterly'!$K$1</c:f>
              <c:strCache>
                <c:ptCount val="1"/>
                <c:pt idx="0">
                  <c:v>18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'Earnings-Quarterly'!$K$2:$K$69</c:f>
              <c:numCache>
                <c:formatCode>#,##0.00</c:formatCode>
                <c:ptCount val="68"/>
                <c:pt idx="0">
                  <c:v>4614.4800000000005</c:v>
                </c:pt>
                <c:pt idx="1">
                  <c:v>4585.32</c:v>
                </c:pt>
                <c:pt idx="2">
                  <c:v>4513.1400000000003</c:v>
                </c:pt>
                <c:pt idx="3">
                  <c:v>4415.76</c:v>
                </c:pt>
                <c:pt idx="4">
                  <c:v>4284.8999999999996</c:v>
                </c:pt>
                <c:pt idx="5">
                  <c:v>4193.4599999999991</c:v>
                </c:pt>
                <c:pt idx="6">
                  <c:v>4101.66</c:v>
                </c:pt>
                <c:pt idx="7">
                  <c:v>4082.58</c:v>
                </c:pt>
                <c:pt idx="8">
                  <c:v>4046.2200000000003</c:v>
                </c:pt>
                <c:pt idx="9">
                  <c:v>3984.2999999999993</c:v>
                </c:pt>
                <c:pt idx="10">
                  <c:v>3961.62</c:v>
                </c:pt>
                <c:pt idx="11">
                  <c:v>3870.9</c:v>
                </c:pt>
                <c:pt idx="12">
                  <c:v>3768.84</c:v>
                </c:pt>
                <c:pt idx="13">
                  <c:v>3564.18</c:v>
                </c:pt>
                <c:pt idx="14">
                  <c:v>3293.6400000000003</c:v>
                </c:pt>
                <c:pt idx="15">
                  <c:v>2850.84</c:v>
                </c:pt>
                <c:pt idx="16">
                  <c:v>2562.84</c:v>
                </c:pt>
                <c:pt idx="17">
                  <c:v>2552.04</c:v>
                </c:pt>
                <c:pt idx="18">
                  <c:v>2614.1400000000003</c:v>
                </c:pt>
                <c:pt idx="19">
                  <c:v>2854.08</c:v>
                </c:pt>
                <c:pt idx="20">
                  <c:v>2962.44</c:v>
                </c:pt>
                <c:pt idx="21">
                  <c:v>2948.04</c:v>
                </c:pt>
                <c:pt idx="22">
                  <c:v>2957.4</c:v>
                </c:pt>
                <c:pt idx="23">
                  <c:v>2951.82</c:v>
                </c:pt>
                <c:pt idx="24">
                  <c:v>2932.38</c:v>
                </c:pt>
                <c:pt idx="25">
                  <c:v>2839.5</c:v>
                </c:pt>
                <c:pt idx="26">
                  <c:v>2673.7200000000003</c:v>
                </c:pt>
                <c:pt idx="27">
                  <c:v>2522.16</c:v>
                </c:pt>
                <c:pt idx="28">
                  <c:v>2393.1</c:v>
                </c:pt>
                <c:pt idx="29">
                  <c:v>2308.1400000000003</c:v>
                </c:pt>
                <c:pt idx="30">
                  <c:v>2267.8200000000002</c:v>
                </c:pt>
                <c:pt idx="31">
                  <c:v>2214.36</c:v>
                </c:pt>
                <c:pt idx="32">
                  <c:v>2143.44</c:v>
                </c:pt>
                <c:pt idx="33">
                  <c:v>2111.4</c:v>
                </c:pt>
                <c:pt idx="34">
                  <c:v>2089.44</c:v>
                </c:pt>
                <c:pt idx="35">
                  <c:v>2098.08</c:v>
                </c:pt>
                <c:pt idx="36">
                  <c:v>2127.6</c:v>
                </c:pt>
                <c:pt idx="37">
                  <c:v>2145.96</c:v>
                </c:pt>
                <c:pt idx="38">
                  <c:v>2146.8599999999997</c:v>
                </c:pt>
                <c:pt idx="39">
                  <c:v>2146.5</c:v>
                </c:pt>
                <c:pt idx="40">
                  <c:v>2138.94</c:v>
                </c:pt>
                <c:pt idx="41">
                  <c:v>2104.38</c:v>
                </c:pt>
                <c:pt idx="42">
                  <c:v>2061</c:v>
                </c:pt>
                <c:pt idx="43">
                  <c:v>2012.9399999999996</c:v>
                </c:pt>
                <c:pt idx="44">
                  <c:v>1987.02</c:v>
                </c:pt>
                <c:pt idx="45">
                  <c:v>1945.6200000000001</c:v>
                </c:pt>
                <c:pt idx="46">
                  <c:v>1916.2800000000002</c:v>
                </c:pt>
                <c:pt idx="47">
                  <c:v>1888.2</c:v>
                </c:pt>
                <c:pt idx="48">
                  <c:v>1867.6799999999998</c:v>
                </c:pt>
                <c:pt idx="49">
                  <c:v>1835.82</c:v>
                </c:pt>
                <c:pt idx="50">
                  <c:v>1829.5199999999998</c:v>
                </c:pt>
                <c:pt idx="51">
                  <c:v>1798.9200000000003</c:v>
                </c:pt>
                <c:pt idx="52">
                  <c:v>1761.1200000000001</c:v>
                </c:pt>
                <c:pt idx="53">
                  <c:v>1725.12</c:v>
                </c:pt>
                <c:pt idx="54">
                  <c:v>1654.92</c:v>
                </c:pt>
                <c:pt idx="55">
                  <c:v>1607.04</c:v>
                </c:pt>
                <c:pt idx="56">
                  <c:v>1538.8200000000002</c:v>
                </c:pt>
                <c:pt idx="57">
                  <c:v>1435.3200000000002</c:v>
                </c:pt>
                <c:pt idx="58">
                  <c:v>1338.3</c:v>
                </c:pt>
                <c:pt idx="59">
                  <c:v>1240.2</c:v>
                </c:pt>
                <c:pt idx="60">
                  <c:v>1116.3599999999999</c:v>
                </c:pt>
                <c:pt idx="61">
                  <c:v>915.11999999999989</c:v>
                </c:pt>
                <c:pt idx="62">
                  <c:v>935.46</c:v>
                </c:pt>
                <c:pt idx="63">
                  <c:v>1002.96</c:v>
                </c:pt>
                <c:pt idx="64">
                  <c:v>1113.3</c:v>
                </c:pt>
                <c:pt idx="65">
                  <c:v>1012.14</c:v>
                </c:pt>
                <c:pt idx="66">
                  <c:v>697.32</c:v>
                </c:pt>
                <c:pt idx="67">
                  <c:v>341.28000000000003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3FB-476F-A41C-4D9186CCBAB8}"/>
            </c:ext>
          </c:extLst>
        </c:ser>
        <c:ser>
          <c:idx val="7"/>
          <c:order val="6"/>
          <c:tx>
            <c:strRef>
              <c:f>'Earnings-Quarterly'!$L$1</c:f>
              <c:strCache>
                <c:ptCount val="1"/>
                <c:pt idx="0">
                  <c:v>21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'Earnings-Quarterly'!$L$2:$L$69</c:f>
              <c:numCache>
                <c:formatCode>#,##0.00</c:formatCode>
                <c:ptCount val="68"/>
                <c:pt idx="0">
                  <c:v>5383.56</c:v>
                </c:pt>
                <c:pt idx="1">
                  <c:v>5349.54</c:v>
                </c:pt>
                <c:pt idx="2">
                  <c:v>5265.33</c:v>
                </c:pt>
                <c:pt idx="3">
                  <c:v>5151.72</c:v>
                </c:pt>
                <c:pt idx="4">
                  <c:v>4999.0499999999993</c:v>
                </c:pt>
                <c:pt idx="5">
                  <c:v>4892.369999999999</c:v>
                </c:pt>
                <c:pt idx="6">
                  <c:v>4785.2699999999995</c:v>
                </c:pt>
                <c:pt idx="7">
                  <c:v>4763.01</c:v>
                </c:pt>
                <c:pt idx="8">
                  <c:v>4720.59</c:v>
                </c:pt>
                <c:pt idx="9">
                  <c:v>4648.3499999999995</c:v>
                </c:pt>
                <c:pt idx="10">
                  <c:v>4621.8900000000003</c:v>
                </c:pt>
                <c:pt idx="11">
                  <c:v>4516.05</c:v>
                </c:pt>
                <c:pt idx="12">
                  <c:v>4396.9799999999996</c:v>
                </c:pt>
                <c:pt idx="13">
                  <c:v>4158.21</c:v>
                </c:pt>
                <c:pt idx="14">
                  <c:v>3842.5800000000004</c:v>
                </c:pt>
                <c:pt idx="15">
                  <c:v>3325.98</c:v>
                </c:pt>
                <c:pt idx="16">
                  <c:v>2989.98</c:v>
                </c:pt>
                <c:pt idx="17">
                  <c:v>2977.38</c:v>
                </c:pt>
                <c:pt idx="18">
                  <c:v>3049.8300000000004</c:v>
                </c:pt>
                <c:pt idx="19">
                  <c:v>3329.76</c:v>
                </c:pt>
                <c:pt idx="20">
                  <c:v>3456.1800000000003</c:v>
                </c:pt>
                <c:pt idx="21">
                  <c:v>3439.38</c:v>
                </c:pt>
                <c:pt idx="22">
                  <c:v>3450.3</c:v>
                </c:pt>
                <c:pt idx="23">
                  <c:v>3443.79</c:v>
                </c:pt>
                <c:pt idx="24">
                  <c:v>3421.11</c:v>
                </c:pt>
                <c:pt idx="25">
                  <c:v>3312.75</c:v>
                </c:pt>
                <c:pt idx="26">
                  <c:v>3119.3400000000006</c:v>
                </c:pt>
                <c:pt idx="27">
                  <c:v>2942.52</c:v>
                </c:pt>
                <c:pt idx="28">
                  <c:v>2791.95</c:v>
                </c:pt>
                <c:pt idx="29">
                  <c:v>2692.8300000000004</c:v>
                </c:pt>
                <c:pt idx="30">
                  <c:v>2645.79</c:v>
                </c:pt>
                <c:pt idx="31">
                  <c:v>2583.42</c:v>
                </c:pt>
                <c:pt idx="32">
                  <c:v>2500.6800000000003</c:v>
                </c:pt>
                <c:pt idx="33">
                  <c:v>2463.2999999999997</c:v>
                </c:pt>
                <c:pt idx="34">
                  <c:v>2437.6799999999998</c:v>
                </c:pt>
                <c:pt idx="35">
                  <c:v>2447.7600000000002</c:v>
                </c:pt>
                <c:pt idx="36">
                  <c:v>2482.1999999999998</c:v>
                </c:pt>
                <c:pt idx="37">
                  <c:v>2503.62</c:v>
                </c:pt>
                <c:pt idx="38">
                  <c:v>2504.6699999999996</c:v>
                </c:pt>
                <c:pt idx="39">
                  <c:v>2504.25</c:v>
                </c:pt>
                <c:pt idx="40">
                  <c:v>2495.4300000000003</c:v>
                </c:pt>
                <c:pt idx="41">
                  <c:v>2455.11</c:v>
                </c:pt>
                <c:pt idx="42">
                  <c:v>2404.5</c:v>
                </c:pt>
                <c:pt idx="43">
                  <c:v>2348.4299999999998</c:v>
                </c:pt>
                <c:pt idx="44">
                  <c:v>2318.19</c:v>
                </c:pt>
                <c:pt idx="45">
                  <c:v>2269.89</c:v>
                </c:pt>
                <c:pt idx="46">
                  <c:v>2235.6600000000003</c:v>
                </c:pt>
                <c:pt idx="47">
                  <c:v>2202.9</c:v>
                </c:pt>
                <c:pt idx="48">
                  <c:v>2178.96</c:v>
                </c:pt>
                <c:pt idx="49">
                  <c:v>2141.79</c:v>
                </c:pt>
                <c:pt idx="50">
                  <c:v>2134.4399999999996</c:v>
                </c:pt>
                <c:pt idx="51">
                  <c:v>2098.7400000000002</c:v>
                </c:pt>
                <c:pt idx="52">
                  <c:v>2054.64</c:v>
                </c:pt>
                <c:pt idx="53">
                  <c:v>2012.6399999999999</c:v>
                </c:pt>
                <c:pt idx="54">
                  <c:v>1930.74</c:v>
                </c:pt>
                <c:pt idx="55">
                  <c:v>1874.88</c:v>
                </c:pt>
                <c:pt idx="56">
                  <c:v>1795.2900000000002</c:v>
                </c:pt>
                <c:pt idx="57">
                  <c:v>1674.5400000000002</c:v>
                </c:pt>
                <c:pt idx="58">
                  <c:v>1561.35</c:v>
                </c:pt>
                <c:pt idx="59">
                  <c:v>1446.9</c:v>
                </c:pt>
                <c:pt idx="60">
                  <c:v>1302.4199999999998</c:v>
                </c:pt>
                <c:pt idx="61">
                  <c:v>1067.6399999999999</c:v>
                </c:pt>
                <c:pt idx="62">
                  <c:v>1091.3699999999999</c:v>
                </c:pt>
                <c:pt idx="63">
                  <c:v>1170.1199999999999</c:v>
                </c:pt>
                <c:pt idx="64">
                  <c:v>1298.8500000000001</c:v>
                </c:pt>
                <c:pt idx="65">
                  <c:v>1180.83</c:v>
                </c:pt>
                <c:pt idx="66">
                  <c:v>813.54000000000008</c:v>
                </c:pt>
                <c:pt idx="67">
                  <c:v>398.16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3FB-476F-A41C-4D9186CCBAB8}"/>
            </c:ext>
          </c:extLst>
        </c:ser>
        <c:ser>
          <c:idx val="8"/>
          <c:order val="7"/>
          <c:tx>
            <c:strRef>
              <c:f>'Earnings-Quarterly'!$M$1</c:f>
              <c:strCache>
                <c:ptCount val="1"/>
                <c:pt idx="0">
                  <c:v>24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'Earnings-Quarterly'!$M$2:$M$69</c:f>
              <c:numCache>
                <c:formatCode>#,##0.00</c:formatCode>
                <c:ptCount val="68"/>
                <c:pt idx="0">
                  <c:v>6152.64</c:v>
                </c:pt>
                <c:pt idx="1">
                  <c:v>6113.76</c:v>
                </c:pt>
                <c:pt idx="2">
                  <c:v>6017.52</c:v>
                </c:pt>
                <c:pt idx="3">
                  <c:v>5887.68</c:v>
                </c:pt>
                <c:pt idx="4">
                  <c:v>5713.2</c:v>
                </c:pt>
                <c:pt idx="5">
                  <c:v>5591.2799999999988</c:v>
                </c:pt>
                <c:pt idx="6">
                  <c:v>5468.8799999999992</c:v>
                </c:pt>
                <c:pt idx="7">
                  <c:v>5443.4400000000005</c:v>
                </c:pt>
                <c:pt idx="8">
                  <c:v>5394.9600000000009</c:v>
                </c:pt>
                <c:pt idx="9">
                  <c:v>5312.4</c:v>
                </c:pt>
                <c:pt idx="10">
                  <c:v>5282.16</c:v>
                </c:pt>
                <c:pt idx="11">
                  <c:v>5161.2000000000007</c:v>
                </c:pt>
                <c:pt idx="12">
                  <c:v>5025.12</c:v>
                </c:pt>
                <c:pt idx="13">
                  <c:v>4752.24</c:v>
                </c:pt>
                <c:pt idx="14">
                  <c:v>4391.5200000000004</c:v>
                </c:pt>
                <c:pt idx="15">
                  <c:v>3801.12</c:v>
                </c:pt>
                <c:pt idx="16">
                  <c:v>3417.12</c:v>
                </c:pt>
                <c:pt idx="17">
                  <c:v>3402.7200000000003</c:v>
                </c:pt>
                <c:pt idx="18">
                  <c:v>3485.5200000000004</c:v>
                </c:pt>
                <c:pt idx="19">
                  <c:v>3805.44</c:v>
                </c:pt>
                <c:pt idx="20">
                  <c:v>3949.92</c:v>
                </c:pt>
                <c:pt idx="21">
                  <c:v>3930.7200000000003</c:v>
                </c:pt>
                <c:pt idx="22">
                  <c:v>3943.2000000000003</c:v>
                </c:pt>
                <c:pt idx="23">
                  <c:v>3935.76</c:v>
                </c:pt>
                <c:pt idx="24">
                  <c:v>3909.84</c:v>
                </c:pt>
                <c:pt idx="25">
                  <c:v>3786</c:v>
                </c:pt>
                <c:pt idx="26">
                  <c:v>3564.9600000000005</c:v>
                </c:pt>
                <c:pt idx="27">
                  <c:v>3362.88</c:v>
                </c:pt>
                <c:pt idx="28">
                  <c:v>3190.7999999999997</c:v>
                </c:pt>
                <c:pt idx="29">
                  <c:v>3077.5200000000004</c:v>
                </c:pt>
                <c:pt idx="30">
                  <c:v>3023.76</c:v>
                </c:pt>
                <c:pt idx="31">
                  <c:v>2952.48</c:v>
                </c:pt>
                <c:pt idx="32">
                  <c:v>2857.92</c:v>
                </c:pt>
                <c:pt idx="33">
                  <c:v>2815.2</c:v>
                </c:pt>
                <c:pt idx="34">
                  <c:v>2785.92</c:v>
                </c:pt>
                <c:pt idx="35">
                  <c:v>2797.44</c:v>
                </c:pt>
                <c:pt idx="36">
                  <c:v>2836.7999999999997</c:v>
                </c:pt>
                <c:pt idx="37">
                  <c:v>2861.2799999999997</c:v>
                </c:pt>
                <c:pt idx="38">
                  <c:v>2862.4799999999996</c:v>
                </c:pt>
                <c:pt idx="39">
                  <c:v>2862</c:v>
                </c:pt>
                <c:pt idx="40">
                  <c:v>2851.92</c:v>
                </c:pt>
                <c:pt idx="41">
                  <c:v>2805.84</c:v>
                </c:pt>
                <c:pt idx="42">
                  <c:v>2748</c:v>
                </c:pt>
                <c:pt idx="43">
                  <c:v>2683.9199999999996</c:v>
                </c:pt>
                <c:pt idx="44">
                  <c:v>2649.36</c:v>
                </c:pt>
                <c:pt idx="45">
                  <c:v>2594.16</c:v>
                </c:pt>
                <c:pt idx="46">
                  <c:v>2555.04</c:v>
                </c:pt>
                <c:pt idx="47">
                  <c:v>2517.6000000000004</c:v>
                </c:pt>
                <c:pt idx="48">
                  <c:v>2490.2399999999998</c:v>
                </c:pt>
                <c:pt idx="49">
                  <c:v>2447.7599999999998</c:v>
                </c:pt>
                <c:pt idx="50">
                  <c:v>2439.3599999999997</c:v>
                </c:pt>
                <c:pt idx="51">
                  <c:v>2398.5600000000004</c:v>
                </c:pt>
                <c:pt idx="52">
                  <c:v>2348.16</c:v>
                </c:pt>
                <c:pt idx="53">
                  <c:v>2300.16</c:v>
                </c:pt>
                <c:pt idx="54">
                  <c:v>2206.56</c:v>
                </c:pt>
                <c:pt idx="55">
                  <c:v>2142.7200000000003</c:v>
                </c:pt>
                <c:pt idx="56">
                  <c:v>2051.7600000000002</c:v>
                </c:pt>
                <c:pt idx="57">
                  <c:v>1913.7600000000002</c:v>
                </c:pt>
                <c:pt idx="58">
                  <c:v>1784.3999999999999</c:v>
                </c:pt>
                <c:pt idx="59">
                  <c:v>1653.6000000000001</c:v>
                </c:pt>
                <c:pt idx="60">
                  <c:v>1488.48</c:v>
                </c:pt>
                <c:pt idx="61">
                  <c:v>1220.1599999999999</c:v>
                </c:pt>
                <c:pt idx="62">
                  <c:v>1247.28</c:v>
                </c:pt>
                <c:pt idx="63">
                  <c:v>1337.28</c:v>
                </c:pt>
                <c:pt idx="64">
                  <c:v>1484.4</c:v>
                </c:pt>
                <c:pt idx="65">
                  <c:v>1349.52</c:v>
                </c:pt>
                <c:pt idx="66">
                  <c:v>929.76</c:v>
                </c:pt>
                <c:pt idx="67">
                  <c:v>455.04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B-476F-A41C-4D9186CCBAB8}"/>
            </c:ext>
          </c:extLst>
        </c:ser>
        <c:ser>
          <c:idx val="9"/>
          <c:order val="8"/>
          <c:tx>
            <c:strRef>
              <c:f>'Earnings-Quarterly'!$N$1</c:f>
              <c:strCache>
                <c:ptCount val="1"/>
                <c:pt idx="0">
                  <c:v>27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'Earnings-Quarterly'!$N$2:$N$69</c:f>
              <c:numCache>
                <c:formatCode>#,##0.00</c:formatCode>
                <c:ptCount val="68"/>
                <c:pt idx="0">
                  <c:v>6921.72</c:v>
                </c:pt>
                <c:pt idx="1">
                  <c:v>6877.9800000000005</c:v>
                </c:pt>
                <c:pt idx="2">
                  <c:v>6769.7100000000009</c:v>
                </c:pt>
                <c:pt idx="3">
                  <c:v>6623.6399999999994</c:v>
                </c:pt>
                <c:pt idx="4">
                  <c:v>6427.3499999999995</c:v>
                </c:pt>
                <c:pt idx="5">
                  <c:v>6290.19</c:v>
                </c:pt>
                <c:pt idx="6">
                  <c:v>6152.49</c:v>
                </c:pt>
                <c:pt idx="7">
                  <c:v>6123.87</c:v>
                </c:pt>
                <c:pt idx="8">
                  <c:v>6069.3300000000008</c:v>
                </c:pt>
                <c:pt idx="9">
                  <c:v>5976.4499999999989</c:v>
                </c:pt>
                <c:pt idx="10">
                  <c:v>5942.43</c:v>
                </c:pt>
                <c:pt idx="11">
                  <c:v>5806.35</c:v>
                </c:pt>
                <c:pt idx="12">
                  <c:v>5653.26</c:v>
                </c:pt>
                <c:pt idx="13">
                  <c:v>5346.2699999999995</c:v>
                </c:pt>
                <c:pt idx="14">
                  <c:v>4940.4600000000009</c:v>
                </c:pt>
                <c:pt idx="15">
                  <c:v>4276.26</c:v>
                </c:pt>
                <c:pt idx="16">
                  <c:v>3844.2599999999998</c:v>
                </c:pt>
                <c:pt idx="17">
                  <c:v>3828.06</c:v>
                </c:pt>
                <c:pt idx="18">
                  <c:v>3921.2100000000005</c:v>
                </c:pt>
                <c:pt idx="19">
                  <c:v>4281.12</c:v>
                </c:pt>
                <c:pt idx="20">
                  <c:v>4443.6600000000008</c:v>
                </c:pt>
                <c:pt idx="21">
                  <c:v>4422.0600000000004</c:v>
                </c:pt>
                <c:pt idx="22">
                  <c:v>4436.1000000000004</c:v>
                </c:pt>
                <c:pt idx="23">
                  <c:v>4427.7300000000005</c:v>
                </c:pt>
                <c:pt idx="24">
                  <c:v>4398.57</c:v>
                </c:pt>
                <c:pt idx="25">
                  <c:v>4259.25</c:v>
                </c:pt>
                <c:pt idx="26">
                  <c:v>4010.5800000000004</c:v>
                </c:pt>
                <c:pt idx="27">
                  <c:v>3783.2400000000002</c:v>
                </c:pt>
                <c:pt idx="28">
                  <c:v>3589.6499999999996</c:v>
                </c:pt>
                <c:pt idx="29">
                  <c:v>3462.2100000000005</c:v>
                </c:pt>
                <c:pt idx="30">
                  <c:v>3401.7300000000005</c:v>
                </c:pt>
                <c:pt idx="31">
                  <c:v>3321.54</c:v>
                </c:pt>
                <c:pt idx="32">
                  <c:v>3215.1600000000003</c:v>
                </c:pt>
                <c:pt idx="33">
                  <c:v>3167.1</c:v>
                </c:pt>
                <c:pt idx="34">
                  <c:v>3134.16</c:v>
                </c:pt>
                <c:pt idx="35">
                  <c:v>3147.12</c:v>
                </c:pt>
                <c:pt idx="36">
                  <c:v>3191.3999999999996</c:v>
                </c:pt>
                <c:pt idx="37">
                  <c:v>3218.94</c:v>
                </c:pt>
                <c:pt idx="38">
                  <c:v>3220.2899999999995</c:v>
                </c:pt>
                <c:pt idx="39">
                  <c:v>3219.75</c:v>
                </c:pt>
                <c:pt idx="40">
                  <c:v>3208.4100000000003</c:v>
                </c:pt>
                <c:pt idx="41">
                  <c:v>3156.5699999999997</c:v>
                </c:pt>
                <c:pt idx="42">
                  <c:v>3091.5</c:v>
                </c:pt>
                <c:pt idx="43">
                  <c:v>3019.4099999999994</c:v>
                </c:pt>
                <c:pt idx="44">
                  <c:v>2980.53</c:v>
                </c:pt>
                <c:pt idx="45">
                  <c:v>2918.4300000000003</c:v>
                </c:pt>
                <c:pt idx="46">
                  <c:v>2874.42</c:v>
                </c:pt>
                <c:pt idx="47">
                  <c:v>2832.3</c:v>
                </c:pt>
                <c:pt idx="48">
                  <c:v>2801.5199999999995</c:v>
                </c:pt>
                <c:pt idx="49">
                  <c:v>2753.73</c:v>
                </c:pt>
                <c:pt idx="50">
                  <c:v>2744.2799999999997</c:v>
                </c:pt>
                <c:pt idx="51">
                  <c:v>2698.38</c:v>
                </c:pt>
                <c:pt idx="52">
                  <c:v>2641.6800000000003</c:v>
                </c:pt>
                <c:pt idx="53">
                  <c:v>2587.6799999999998</c:v>
                </c:pt>
                <c:pt idx="54">
                  <c:v>2482.38</c:v>
                </c:pt>
                <c:pt idx="55">
                  <c:v>2410.56</c:v>
                </c:pt>
                <c:pt idx="56">
                  <c:v>2308.2300000000005</c:v>
                </c:pt>
                <c:pt idx="57">
                  <c:v>2152.9800000000005</c:v>
                </c:pt>
                <c:pt idx="58">
                  <c:v>2007.4499999999998</c:v>
                </c:pt>
                <c:pt idx="59">
                  <c:v>1860.3000000000002</c:v>
                </c:pt>
                <c:pt idx="60">
                  <c:v>1674.54</c:v>
                </c:pt>
                <c:pt idx="61">
                  <c:v>1372.6799999999998</c:v>
                </c:pt>
                <c:pt idx="62">
                  <c:v>1403.19</c:v>
                </c:pt>
                <c:pt idx="63">
                  <c:v>1504.44</c:v>
                </c:pt>
                <c:pt idx="64">
                  <c:v>1669.95</c:v>
                </c:pt>
                <c:pt idx="65">
                  <c:v>1518.2099999999998</c:v>
                </c:pt>
                <c:pt idx="66">
                  <c:v>1045.98</c:v>
                </c:pt>
                <c:pt idx="67">
                  <c:v>511.92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3FB-476F-A41C-4D9186CCB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446831"/>
        <c:axId val="107447663"/>
      </c:lineChart>
      <c:lineChart>
        <c:grouping val="standard"/>
        <c:varyColors val="0"/>
        <c:ser>
          <c:idx val="0"/>
          <c:order val="9"/>
          <c:tx>
            <c:strRef>
              <c:f>'Earnings-Quarterly'!$E$1</c:f>
              <c:strCache>
                <c:ptCount val="1"/>
                <c:pt idx="0">
                  <c:v>Sum of Qtrs</c:v>
                </c:pt>
              </c:strCache>
            </c:strRef>
          </c:tx>
          <c:spPr>
            <a:ln w="38100" cap="rnd">
              <a:solidFill>
                <a:srgbClr val="FF66C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'Earnings-Quarterly'!$E$2:$E$69</c:f>
              <c:numCache>
                <c:formatCode>_("$"* #,##0.00_);_("$"* \(#,##0.00\);_("$"* "-"??_);_(@_)</c:formatCode>
                <c:ptCount val="68"/>
                <c:pt idx="0">
                  <c:v>256.36</c:v>
                </c:pt>
                <c:pt idx="1">
                  <c:v>254.74</c:v>
                </c:pt>
                <c:pt idx="2">
                  <c:v>250.73000000000002</c:v>
                </c:pt>
                <c:pt idx="3">
                  <c:v>245.32</c:v>
                </c:pt>
                <c:pt idx="4">
                  <c:v>238.04999999999998</c:v>
                </c:pt>
                <c:pt idx="5">
                  <c:v>232.96999999999997</c:v>
                </c:pt>
                <c:pt idx="6">
                  <c:v>227.86999999999998</c:v>
                </c:pt>
                <c:pt idx="7">
                  <c:v>226.81</c:v>
                </c:pt>
                <c:pt idx="8">
                  <c:v>224.79000000000002</c:v>
                </c:pt>
                <c:pt idx="9">
                  <c:v>221.34999999999997</c:v>
                </c:pt>
                <c:pt idx="10">
                  <c:v>220.09</c:v>
                </c:pt>
                <c:pt idx="11">
                  <c:v>215.05</c:v>
                </c:pt>
                <c:pt idx="12">
                  <c:v>209.38</c:v>
                </c:pt>
                <c:pt idx="13">
                  <c:v>198.01</c:v>
                </c:pt>
                <c:pt idx="14">
                  <c:v>182.98000000000002</c:v>
                </c:pt>
                <c:pt idx="15">
                  <c:v>158.38</c:v>
                </c:pt>
                <c:pt idx="16">
                  <c:v>142.38</c:v>
                </c:pt>
                <c:pt idx="17">
                  <c:v>141.78</c:v>
                </c:pt>
                <c:pt idx="18">
                  <c:v>145.23000000000002</c:v>
                </c:pt>
                <c:pt idx="19">
                  <c:v>158.56</c:v>
                </c:pt>
                <c:pt idx="20">
                  <c:v>164.58</c:v>
                </c:pt>
                <c:pt idx="21">
                  <c:v>163.78</c:v>
                </c:pt>
                <c:pt idx="22">
                  <c:v>164.3</c:v>
                </c:pt>
                <c:pt idx="23">
                  <c:v>163.99</c:v>
                </c:pt>
                <c:pt idx="24">
                  <c:v>162.91</c:v>
                </c:pt>
                <c:pt idx="25">
                  <c:v>157.75</c:v>
                </c:pt>
                <c:pt idx="26">
                  <c:v>148.54000000000002</c:v>
                </c:pt>
                <c:pt idx="27">
                  <c:v>140.12</c:v>
                </c:pt>
                <c:pt idx="28">
                  <c:v>132.94999999999999</c:v>
                </c:pt>
                <c:pt idx="29">
                  <c:v>128.23000000000002</c:v>
                </c:pt>
                <c:pt idx="30">
                  <c:v>125.99000000000001</c:v>
                </c:pt>
                <c:pt idx="31">
                  <c:v>123.02</c:v>
                </c:pt>
                <c:pt idx="32">
                  <c:v>119.08000000000001</c:v>
                </c:pt>
                <c:pt idx="33">
                  <c:v>117.3</c:v>
                </c:pt>
                <c:pt idx="34">
                  <c:v>116.08</c:v>
                </c:pt>
                <c:pt idx="35">
                  <c:v>116.56</c:v>
                </c:pt>
                <c:pt idx="36">
                  <c:v>118.19999999999999</c:v>
                </c:pt>
                <c:pt idx="37">
                  <c:v>119.22</c:v>
                </c:pt>
                <c:pt idx="38">
                  <c:v>119.26999999999998</c:v>
                </c:pt>
                <c:pt idx="39">
                  <c:v>119.25</c:v>
                </c:pt>
                <c:pt idx="40">
                  <c:v>118.83000000000001</c:v>
                </c:pt>
                <c:pt idx="41">
                  <c:v>116.91</c:v>
                </c:pt>
                <c:pt idx="42">
                  <c:v>114.5</c:v>
                </c:pt>
                <c:pt idx="43">
                  <c:v>111.82999999999998</c:v>
                </c:pt>
                <c:pt idx="44">
                  <c:v>110.39</c:v>
                </c:pt>
                <c:pt idx="45">
                  <c:v>108.09</c:v>
                </c:pt>
                <c:pt idx="46">
                  <c:v>106.46000000000001</c:v>
                </c:pt>
                <c:pt idx="47">
                  <c:v>104.9</c:v>
                </c:pt>
                <c:pt idx="48">
                  <c:v>103.75999999999999</c:v>
                </c:pt>
                <c:pt idx="49">
                  <c:v>101.99</c:v>
                </c:pt>
                <c:pt idx="50">
                  <c:v>101.63999999999999</c:v>
                </c:pt>
                <c:pt idx="51">
                  <c:v>99.940000000000012</c:v>
                </c:pt>
                <c:pt idx="52">
                  <c:v>97.84</c:v>
                </c:pt>
                <c:pt idx="53">
                  <c:v>95.839999999999989</c:v>
                </c:pt>
                <c:pt idx="54">
                  <c:v>91.94</c:v>
                </c:pt>
                <c:pt idx="55">
                  <c:v>89.28</c:v>
                </c:pt>
                <c:pt idx="56">
                  <c:v>85.490000000000009</c:v>
                </c:pt>
                <c:pt idx="57">
                  <c:v>79.740000000000009</c:v>
                </c:pt>
                <c:pt idx="58">
                  <c:v>74.349999999999994</c:v>
                </c:pt>
                <c:pt idx="59">
                  <c:v>68.900000000000006</c:v>
                </c:pt>
                <c:pt idx="60">
                  <c:v>62.019999999999996</c:v>
                </c:pt>
                <c:pt idx="61">
                  <c:v>50.839999999999996</c:v>
                </c:pt>
                <c:pt idx="62">
                  <c:v>51.97</c:v>
                </c:pt>
                <c:pt idx="63">
                  <c:v>55.72</c:v>
                </c:pt>
                <c:pt idx="64">
                  <c:v>61.85</c:v>
                </c:pt>
                <c:pt idx="65">
                  <c:v>56.23</c:v>
                </c:pt>
                <c:pt idx="66">
                  <c:v>38.74</c:v>
                </c:pt>
                <c:pt idx="67">
                  <c:v>18.96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3FB-476F-A41C-4D9186CCB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20399"/>
        <c:axId val="327619567"/>
      </c:lineChart>
      <c:dateAx>
        <c:axId val="10744683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47663"/>
        <c:crosses val="autoZero"/>
        <c:auto val="1"/>
        <c:lblOffset val="100"/>
        <c:baseTimeUnit val="months"/>
      </c:dateAx>
      <c:valAx>
        <c:axId val="10744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46831"/>
        <c:crosses val="autoZero"/>
        <c:crossBetween val="between"/>
      </c:valAx>
      <c:valAx>
        <c:axId val="327619567"/>
        <c:scaling>
          <c:orientation val="minMax"/>
        </c:scaling>
        <c:delete val="0"/>
        <c:axPos val="r"/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20399"/>
        <c:crosses val="max"/>
        <c:crossBetween val="between"/>
      </c:valAx>
      <c:catAx>
        <c:axId val="327620399"/>
        <c:scaling>
          <c:orientation val="minMax"/>
        </c:scaling>
        <c:delete val="1"/>
        <c:axPos val="b"/>
        <c:majorTickMark val="out"/>
        <c:minorTickMark val="none"/>
        <c:tickLblPos val="nextTo"/>
        <c:crossAx val="327619567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'Earnings-Yearly'!$C$1</c:f>
              <c:strCache>
                <c:ptCount val="1"/>
                <c:pt idx="0">
                  <c:v>PRICE</c:v>
                </c:pt>
              </c:strCache>
            </c:strRef>
          </c:tx>
          <c:spPr>
            <a:ln w="381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'Earnings-Yearly'!$C$2:$C$18</c:f>
              <c:numCache>
                <c:formatCode>0.00</c:formatCode>
                <c:ptCount val="17"/>
                <c:pt idx="2">
                  <c:v>3719.98</c:v>
                </c:pt>
                <c:pt idx="3">
                  <c:v>4515.55</c:v>
                </c:pt>
                <c:pt idx="4">
                  <c:v>3714.24</c:v>
                </c:pt>
                <c:pt idx="5">
                  <c:v>3225.52</c:v>
                </c:pt>
                <c:pt idx="6">
                  <c:v>2941.76</c:v>
                </c:pt>
                <c:pt idx="7">
                  <c:v>2823.81</c:v>
                </c:pt>
                <c:pt idx="8">
                  <c:v>2278.87</c:v>
                </c:pt>
                <c:pt idx="9">
                  <c:v>1940.24</c:v>
                </c:pt>
                <c:pt idx="10">
                  <c:v>1994.99</c:v>
                </c:pt>
                <c:pt idx="11">
                  <c:v>1782.59</c:v>
                </c:pt>
                <c:pt idx="12">
                  <c:v>1498.11</c:v>
                </c:pt>
                <c:pt idx="13">
                  <c:v>1312.41</c:v>
                </c:pt>
                <c:pt idx="14">
                  <c:v>1286.1199999999999</c:v>
                </c:pt>
                <c:pt idx="15">
                  <c:v>1073.8699999999999</c:v>
                </c:pt>
                <c:pt idx="16">
                  <c:v>825.88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A2-404C-AD21-C95C89AF346F}"/>
            </c:ext>
          </c:extLst>
        </c:ser>
        <c:ser>
          <c:idx val="2"/>
          <c:order val="2"/>
          <c:tx>
            <c:strRef>
              <c:f>'Earnings-Yearly'!$E$1</c:f>
              <c:strCache>
                <c:ptCount val="1"/>
                <c:pt idx="0">
                  <c:v>12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'Earnings-Yearly'!$E$2:$E$18</c:f>
              <c:numCache>
                <c:formatCode>0.00</c:formatCode>
                <c:ptCount val="17"/>
                <c:pt idx="0">
                  <c:v>3100.56</c:v>
                </c:pt>
                <c:pt idx="1">
                  <c:v>2870.7599999999998</c:v>
                </c:pt>
                <c:pt idx="2">
                  <c:v>2669.16</c:v>
                </c:pt>
                <c:pt idx="3">
                  <c:v>2497.44</c:v>
                </c:pt>
                <c:pt idx="4">
                  <c:v>1676.6399999999999</c:v>
                </c:pt>
                <c:pt idx="5">
                  <c:v>1955.16</c:v>
                </c:pt>
                <c:pt idx="6">
                  <c:v>1943.16</c:v>
                </c:pt>
                <c:pt idx="7">
                  <c:v>1584</c:v>
                </c:pt>
                <c:pt idx="8">
                  <c:v>1417.1999999999998</c:v>
                </c:pt>
                <c:pt idx="9">
                  <c:v>1409.52</c:v>
                </c:pt>
                <c:pt idx="10">
                  <c:v>1425.3600000000001</c:v>
                </c:pt>
                <c:pt idx="11">
                  <c:v>1316.16</c:v>
                </c:pt>
                <c:pt idx="12">
                  <c:v>1245.5999999999999</c:v>
                </c:pt>
                <c:pt idx="13">
                  <c:v>1173.8399999999999</c:v>
                </c:pt>
                <c:pt idx="14">
                  <c:v>1023.36</c:v>
                </c:pt>
                <c:pt idx="15">
                  <c:v>729.59999999999991</c:v>
                </c:pt>
                <c:pt idx="16">
                  <c:v>785.64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A2-404C-AD21-C95C89AF346F}"/>
            </c:ext>
          </c:extLst>
        </c:ser>
        <c:ser>
          <c:idx val="3"/>
          <c:order val="3"/>
          <c:tx>
            <c:strRef>
              <c:f>'Earnings-Yearly'!$F$1</c:f>
              <c:strCache>
                <c:ptCount val="1"/>
                <c:pt idx="0">
                  <c:v>14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'Earnings-Yearly'!$F$2:$F$18</c:f>
              <c:numCache>
                <c:formatCode>0.00</c:formatCode>
                <c:ptCount val="17"/>
                <c:pt idx="0">
                  <c:v>3617.3199999999997</c:v>
                </c:pt>
                <c:pt idx="1">
                  <c:v>3349.22</c:v>
                </c:pt>
                <c:pt idx="2">
                  <c:v>3114.02</c:v>
                </c:pt>
                <c:pt idx="3">
                  <c:v>2913.6800000000003</c:v>
                </c:pt>
                <c:pt idx="4">
                  <c:v>1956.08</c:v>
                </c:pt>
                <c:pt idx="5">
                  <c:v>2281.02</c:v>
                </c:pt>
                <c:pt idx="6">
                  <c:v>2267.02</c:v>
                </c:pt>
                <c:pt idx="7">
                  <c:v>1848</c:v>
                </c:pt>
                <c:pt idx="8">
                  <c:v>1653.3999999999999</c:v>
                </c:pt>
                <c:pt idx="9">
                  <c:v>1644.4399999999998</c:v>
                </c:pt>
                <c:pt idx="10">
                  <c:v>1662.92</c:v>
                </c:pt>
                <c:pt idx="11">
                  <c:v>1535.52</c:v>
                </c:pt>
                <c:pt idx="12">
                  <c:v>1453.2</c:v>
                </c:pt>
                <c:pt idx="13">
                  <c:v>1369.48</c:v>
                </c:pt>
                <c:pt idx="14">
                  <c:v>1193.92</c:v>
                </c:pt>
                <c:pt idx="15">
                  <c:v>851.19999999999993</c:v>
                </c:pt>
                <c:pt idx="16">
                  <c:v>916.57999999999993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A2-404C-AD21-C95C89AF346F}"/>
            </c:ext>
          </c:extLst>
        </c:ser>
        <c:ser>
          <c:idx val="4"/>
          <c:order val="4"/>
          <c:tx>
            <c:strRef>
              <c:f>'Earnings-Yearly'!$G$1</c:f>
              <c:strCache>
                <c:ptCount val="1"/>
                <c:pt idx="0">
                  <c:v>15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'Earnings-Yearly'!$G$2:$G$18</c:f>
              <c:numCache>
                <c:formatCode>0.00</c:formatCode>
                <c:ptCount val="17"/>
                <c:pt idx="0">
                  <c:v>3875.7</c:v>
                </c:pt>
                <c:pt idx="1">
                  <c:v>3588.45</c:v>
                </c:pt>
                <c:pt idx="2">
                  <c:v>3336.4500000000003</c:v>
                </c:pt>
                <c:pt idx="3">
                  <c:v>3121.8</c:v>
                </c:pt>
                <c:pt idx="4">
                  <c:v>2095.8000000000002</c:v>
                </c:pt>
                <c:pt idx="5">
                  <c:v>2443.9500000000003</c:v>
                </c:pt>
                <c:pt idx="6">
                  <c:v>2428.9500000000003</c:v>
                </c:pt>
                <c:pt idx="7">
                  <c:v>1980</c:v>
                </c:pt>
                <c:pt idx="8">
                  <c:v>1771.5</c:v>
                </c:pt>
                <c:pt idx="9">
                  <c:v>1761.8999999999999</c:v>
                </c:pt>
                <c:pt idx="10">
                  <c:v>1781.7</c:v>
                </c:pt>
                <c:pt idx="11">
                  <c:v>1645.2</c:v>
                </c:pt>
                <c:pt idx="12">
                  <c:v>1557</c:v>
                </c:pt>
                <c:pt idx="13">
                  <c:v>1467.3</c:v>
                </c:pt>
                <c:pt idx="14">
                  <c:v>1279.2</c:v>
                </c:pt>
                <c:pt idx="15">
                  <c:v>912</c:v>
                </c:pt>
                <c:pt idx="16">
                  <c:v>982.05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2A2-404C-AD21-C95C89AF346F}"/>
            </c:ext>
          </c:extLst>
        </c:ser>
        <c:ser>
          <c:idx val="5"/>
          <c:order val="5"/>
          <c:tx>
            <c:strRef>
              <c:f>'Earnings-Yearly'!$H$1</c:f>
              <c:strCache>
                <c:ptCount val="1"/>
                <c:pt idx="0">
                  <c:v>16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'Earnings-Yearly'!$H$2:$H$18</c:f>
              <c:numCache>
                <c:formatCode>0.00</c:formatCode>
                <c:ptCount val="17"/>
                <c:pt idx="0">
                  <c:v>4134.08</c:v>
                </c:pt>
                <c:pt idx="1">
                  <c:v>3827.68</c:v>
                </c:pt>
                <c:pt idx="2">
                  <c:v>3558.88</c:v>
                </c:pt>
                <c:pt idx="3">
                  <c:v>3329.92</c:v>
                </c:pt>
                <c:pt idx="4">
                  <c:v>2235.52</c:v>
                </c:pt>
                <c:pt idx="5">
                  <c:v>2606.88</c:v>
                </c:pt>
                <c:pt idx="6">
                  <c:v>2590.88</c:v>
                </c:pt>
                <c:pt idx="7">
                  <c:v>2112</c:v>
                </c:pt>
                <c:pt idx="8">
                  <c:v>1889.6</c:v>
                </c:pt>
                <c:pt idx="9">
                  <c:v>1879.36</c:v>
                </c:pt>
                <c:pt idx="10">
                  <c:v>1900.48</c:v>
                </c:pt>
                <c:pt idx="11">
                  <c:v>1754.88</c:v>
                </c:pt>
                <c:pt idx="12">
                  <c:v>1660.8</c:v>
                </c:pt>
                <c:pt idx="13">
                  <c:v>1565.12</c:v>
                </c:pt>
                <c:pt idx="14">
                  <c:v>1364.48</c:v>
                </c:pt>
                <c:pt idx="15">
                  <c:v>972.8</c:v>
                </c:pt>
                <c:pt idx="16">
                  <c:v>1047.52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2A2-404C-AD21-C95C89AF346F}"/>
            </c:ext>
          </c:extLst>
        </c:ser>
        <c:ser>
          <c:idx val="6"/>
          <c:order val="6"/>
          <c:tx>
            <c:strRef>
              <c:f>'Earnings-Yearly'!$I$1</c:f>
              <c:strCache>
                <c:ptCount val="1"/>
                <c:pt idx="0">
                  <c:v>18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'Earnings-Yearly'!$I$2:$I$18</c:f>
              <c:numCache>
                <c:formatCode>0.00</c:formatCode>
                <c:ptCount val="17"/>
                <c:pt idx="0">
                  <c:v>4650.84</c:v>
                </c:pt>
                <c:pt idx="1">
                  <c:v>4306.1399999999994</c:v>
                </c:pt>
                <c:pt idx="2">
                  <c:v>4003.7400000000002</c:v>
                </c:pt>
                <c:pt idx="3">
                  <c:v>3746.16</c:v>
                </c:pt>
                <c:pt idx="4">
                  <c:v>2514.96</c:v>
                </c:pt>
                <c:pt idx="5">
                  <c:v>2932.7400000000002</c:v>
                </c:pt>
                <c:pt idx="6">
                  <c:v>2914.7400000000002</c:v>
                </c:pt>
                <c:pt idx="7">
                  <c:v>2376</c:v>
                </c:pt>
                <c:pt idx="8">
                  <c:v>2125.7999999999997</c:v>
                </c:pt>
                <c:pt idx="9">
                  <c:v>2114.2799999999997</c:v>
                </c:pt>
                <c:pt idx="10">
                  <c:v>2138.04</c:v>
                </c:pt>
                <c:pt idx="11">
                  <c:v>1974.2400000000002</c:v>
                </c:pt>
                <c:pt idx="12">
                  <c:v>1868.3999999999999</c:v>
                </c:pt>
                <c:pt idx="13">
                  <c:v>1760.7599999999998</c:v>
                </c:pt>
                <c:pt idx="14">
                  <c:v>1535.04</c:v>
                </c:pt>
                <c:pt idx="15">
                  <c:v>1094.3999999999999</c:v>
                </c:pt>
                <c:pt idx="16">
                  <c:v>1178.46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2A2-404C-AD21-C95C89AF346F}"/>
            </c:ext>
          </c:extLst>
        </c:ser>
        <c:ser>
          <c:idx val="7"/>
          <c:order val="7"/>
          <c:tx>
            <c:strRef>
              <c:f>'Earnings-Yearly'!$J$1</c:f>
              <c:strCache>
                <c:ptCount val="1"/>
                <c:pt idx="0">
                  <c:v>21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'Earnings-Yearly'!$J$2:$J$18</c:f>
              <c:numCache>
                <c:formatCode>0.00</c:formatCode>
                <c:ptCount val="17"/>
                <c:pt idx="0">
                  <c:v>5425.98</c:v>
                </c:pt>
                <c:pt idx="1">
                  <c:v>5023.83</c:v>
                </c:pt>
                <c:pt idx="2">
                  <c:v>4671.03</c:v>
                </c:pt>
                <c:pt idx="3">
                  <c:v>4370.5200000000004</c:v>
                </c:pt>
                <c:pt idx="4">
                  <c:v>2934.12</c:v>
                </c:pt>
                <c:pt idx="5">
                  <c:v>3421.53</c:v>
                </c:pt>
                <c:pt idx="6">
                  <c:v>3400.53</c:v>
                </c:pt>
                <c:pt idx="7">
                  <c:v>2772</c:v>
                </c:pt>
                <c:pt idx="8">
                  <c:v>2480.1</c:v>
                </c:pt>
                <c:pt idx="9">
                  <c:v>2466.66</c:v>
                </c:pt>
                <c:pt idx="10">
                  <c:v>2494.38</c:v>
                </c:pt>
                <c:pt idx="11">
                  <c:v>2303.2800000000002</c:v>
                </c:pt>
                <c:pt idx="12">
                  <c:v>2179.7999999999997</c:v>
                </c:pt>
                <c:pt idx="13">
                  <c:v>2054.2199999999998</c:v>
                </c:pt>
                <c:pt idx="14">
                  <c:v>1790.88</c:v>
                </c:pt>
                <c:pt idx="15">
                  <c:v>1276.8</c:v>
                </c:pt>
                <c:pt idx="16">
                  <c:v>1374.87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2A2-404C-AD21-C95C89AF346F}"/>
            </c:ext>
          </c:extLst>
        </c:ser>
        <c:ser>
          <c:idx val="8"/>
          <c:order val="8"/>
          <c:tx>
            <c:strRef>
              <c:f>'Earnings-Yearly'!$K$1</c:f>
              <c:strCache>
                <c:ptCount val="1"/>
                <c:pt idx="0">
                  <c:v>24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Pt>
            <c:idx val="16"/>
            <c:marker>
              <c:symbol val="circle"/>
              <c:size val="5"/>
              <c:spPr>
                <a:solidFill>
                  <a:schemeClr val="accent3">
                    <a:lumMod val="60000"/>
                  </a:schemeClr>
                </a:solidFill>
                <a:ln w="9525">
                  <a:solidFill>
                    <a:schemeClr val="accent3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CC00FF"/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02A2-404C-AD21-C95C89AF346F}"/>
              </c:ext>
            </c:extLst>
          </c:dPt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'Earnings-Yearly'!$K$2:$K$18</c:f>
              <c:numCache>
                <c:formatCode>0.00</c:formatCode>
                <c:ptCount val="17"/>
                <c:pt idx="0">
                  <c:v>6201.12</c:v>
                </c:pt>
                <c:pt idx="1">
                  <c:v>5741.5199999999995</c:v>
                </c:pt>
                <c:pt idx="2">
                  <c:v>5338.32</c:v>
                </c:pt>
                <c:pt idx="3">
                  <c:v>4994.88</c:v>
                </c:pt>
                <c:pt idx="4">
                  <c:v>3353.2799999999997</c:v>
                </c:pt>
                <c:pt idx="5">
                  <c:v>3910.32</c:v>
                </c:pt>
                <c:pt idx="6">
                  <c:v>3886.32</c:v>
                </c:pt>
                <c:pt idx="7">
                  <c:v>3168</c:v>
                </c:pt>
                <c:pt idx="8">
                  <c:v>2834.3999999999996</c:v>
                </c:pt>
                <c:pt idx="9">
                  <c:v>2819.04</c:v>
                </c:pt>
                <c:pt idx="10">
                  <c:v>2850.7200000000003</c:v>
                </c:pt>
                <c:pt idx="11">
                  <c:v>2632.32</c:v>
                </c:pt>
                <c:pt idx="12">
                  <c:v>2491.1999999999998</c:v>
                </c:pt>
                <c:pt idx="13">
                  <c:v>2347.6799999999998</c:v>
                </c:pt>
                <c:pt idx="14">
                  <c:v>2046.72</c:v>
                </c:pt>
                <c:pt idx="15">
                  <c:v>1459.1999999999998</c:v>
                </c:pt>
                <c:pt idx="16">
                  <c:v>1571.28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A2-404C-AD21-C95C89AF346F}"/>
            </c:ext>
          </c:extLst>
        </c:ser>
        <c:ser>
          <c:idx val="9"/>
          <c:order val="9"/>
          <c:tx>
            <c:strRef>
              <c:f>'Earnings-Yearly'!$L$1</c:f>
              <c:strCache>
                <c:ptCount val="1"/>
                <c:pt idx="0">
                  <c:v>27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'Earnings-Yearly'!$L$2:$L$18</c:f>
              <c:numCache>
                <c:formatCode>0.00</c:formatCode>
                <c:ptCount val="17"/>
                <c:pt idx="0">
                  <c:v>6976.26</c:v>
                </c:pt>
                <c:pt idx="1">
                  <c:v>6459.21</c:v>
                </c:pt>
                <c:pt idx="2">
                  <c:v>6005.6100000000006</c:v>
                </c:pt>
                <c:pt idx="3">
                  <c:v>5619.24</c:v>
                </c:pt>
                <c:pt idx="4">
                  <c:v>3772.44</c:v>
                </c:pt>
                <c:pt idx="5">
                  <c:v>4399.1100000000006</c:v>
                </c:pt>
                <c:pt idx="6">
                  <c:v>4372.1100000000006</c:v>
                </c:pt>
                <c:pt idx="7">
                  <c:v>3564</c:v>
                </c:pt>
                <c:pt idx="8">
                  <c:v>3188.7</c:v>
                </c:pt>
                <c:pt idx="9">
                  <c:v>3171.4199999999996</c:v>
                </c:pt>
                <c:pt idx="10">
                  <c:v>3207.06</c:v>
                </c:pt>
                <c:pt idx="11">
                  <c:v>2961.36</c:v>
                </c:pt>
                <c:pt idx="12">
                  <c:v>2802.6</c:v>
                </c:pt>
                <c:pt idx="13">
                  <c:v>2641.14</c:v>
                </c:pt>
                <c:pt idx="14">
                  <c:v>2302.56</c:v>
                </c:pt>
                <c:pt idx="15">
                  <c:v>1641.6</c:v>
                </c:pt>
                <c:pt idx="16">
                  <c:v>1767.69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2A2-404C-AD21-C95C89AF3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220367"/>
        <c:axId val="102221199"/>
      </c:lineChart>
      <c:lineChart>
        <c:grouping val="standard"/>
        <c:varyColors val="0"/>
        <c:ser>
          <c:idx val="0"/>
          <c:order val="0"/>
          <c:tx>
            <c:strRef>
              <c:f>'Earnings-Yearly'!$B$1</c:f>
              <c:strCache>
                <c:ptCount val="1"/>
                <c:pt idx="0">
                  <c:v> AS REPORTED EARNINGS PER SHR </c:v>
                </c:pt>
              </c:strCache>
            </c:strRef>
          </c:tx>
          <c:spPr>
            <a:ln w="38100" cap="rnd">
              <a:solidFill>
                <a:srgbClr val="FF66C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'Earnings-Yearly'!$B$2:$B$18</c:f>
              <c:numCache>
                <c:formatCode>_("$"* #,##0.00_);_("$"* \(#,##0.00\);_("$"* "-"??_);_(@_)</c:formatCode>
                <c:ptCount val="17"/>
                <c:pt idx="0">
                  <c:v>258.38</c:v>
                </c:pt>
                <c:pt idx="1">
                  <c:v>239.23</c:v>
                </c:pt>
                <c:pt idx="2">
                  <c:v>222.43</c:v>
                </c:pt>
                <c:pt idx="3">
                  <c:v>208.12</c:v>
                </c:pt>
                <c:pt idx="4">
                  <c:v>139.72</c:v>
                </c:pt>
                <c:pt idx="5">
                  <c:v>162.93</c:v>
                </c:pt>
                <c:pt idx="6">
                  <c:v>161.93</c:v>
                </c:pt>
                <c:pt idx="7">
                  <c:v>132</c:v>
                </c:pt>
                <c:pt idx="8">
                  <c:v>118.1</c:v>
                </c:pt>
                <c:pt idx="9">
                  <c:v>117.46</c:v>
                </c:pt>
                <c:pt idx="10">
                  <c:v>118.78</c:v>
                </c:pt>
                <c:pt idx="11">
                  <c:v>109.68</c:v>
                </c:pt>
                <c:pt idx="12">
                  <c:v>103.8</c:v>
                </c:pt>
                <c:pt idx="13">
                  <c:v>97.82</c:v>
                </c:pt>
                <c:pt idx="14">
                  <c:v>85.28</c:v>
                </c:pt>
                <c:pt idx="15">
                  <c:v>60.8</c:v>
                </c:pt>
                <c:pt idx="16">
                  <c:v>65.47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A2-404C-AD21-C95C89AF3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220783"/>
        <c:axId val="102225359"/>
      </c:lineChart>
      <c:dateAx>
        <c:axId val="10222036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21199"/>
        <c:crosses val="autoZero"/>
        <c:auto val="1"/>
        <c:lblOffset val="100"/>
        <c:baseTimeUnit val="years"/>
      </c:dateAx>
      <c:valAx>
        <c:axId val="10222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20367"/>
        <c:crosses val="autoZero"/>
        <c:crossBetween val="midCat"/>
      </c:valAx>
      <c:valAx>
        <c:axId val="102225359"/>
        <c:scaling>
          <c:orientation val="minMax"/>
        </c:scaling>
        <c:delete val="0"/>
        <c:axPos val="r"/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20783"/>
        <c:crosses val="max"/>
        <c:crossBetween val="between"/>
      </c:valAx>
      <c:dateAx>
        <c:axId val="10222078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2225359"/>
        <c:auto val="1"/>
        <c:lblOffset val="100"/>
        <c:baseTimeUnit val="year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28</xdr:col>
      <xdr:colOff>600075</xdr:colOff>
      <xdr:row>40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31A39E0-AFE9-4958-A447-C91D274338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0.8221</cdr:x>
      <cdr:y>0.01372</cdr:y>
    </cdr:from>
    <cdr:to>
      <cdr:x>0.82588</cdr:x>
      <cdr:y>0.87905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C96D15D-8667-4094-9B95-2CA05D6B53A3}"/>
            </a:ext>
          </a:extLst>
        </cdr:cNvPr>
        <cdr:cNvCxnSpPr/>
      </cdr:nvCxnSpPr>
      <cdr:spPr>
        <a:xfrm xmlns:a="http://schemas.openxmlformats.org/drawingml/2006/main" flipH="1" flipV="1">
          <a:off x="14525625" y="104775"/>
          <a:ext cx="66675" cy="6610350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rgbClr val="FF99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571500</xdr:colOff>
      <xdr:row>0</xdr:row>
      <xdr:rowOff>423861</xdr:rowOff>
    </xdr:from>
    <xdr:to>
      <xdr:col>28</xdr:col>
      <xdr:colOff>457200</xdr:colOff>
      <xdr:row>29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98EDA2-F1F3-4B7E-A46D-C1A4DAFE23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0.91344</cdr:x>
      <cdr:y>0.08016</cdr:y>
    </cdr:from>
    <cdr:to>
      <cdr:x>0.91436</cdr:x>
      <cdr:y>0.8428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10F2812-2375-48C1-BE48-4284801CF627}"/>
            </a:ext>
          </a:extLst>
        </cdr:cNvPr>
        <cdr:cNvCxnSpPr/>
      </cdr:nvCxnSpPr>
      <cdr:spPr>
        <a:xfrm xmlns:a="http://schemas.openxmlformats.org/drawingml/2006/main" flipH="1" flipV="1">
          <a:off x="9448800" y="490539"/>
          <a:ext cx="9525" cy="4667250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accent2">
              <a:lumMod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285750</xdr:colOff>
      <xdr:row>0</xdr:row>
      <xdr:rowOff>0</xdr:rowOff>
    </xdr:from>
    <xdr:to>
      <xdr:col>25</xdr:col>
      <xdr:colOff>133350</xdr:colOff>
      <xdr:row>30</xdr:row>
      <xdr:rowOff>1765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D06A206-172A-4648-AA9D-2E695569F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00950" y="0"/>
          <a:ext cx="7772400" cy="57167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02B9A-BDA6-4082-AD63-25677E5AEB6A}">
  <dimension ref="A1"/>
  <sheetViews>
    <sheetView workbookViewId="0">
      <selection activeCell="D43" sqref="D4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820D4-5FC6-4391-B28A-35C063F88CFE}">
  <dimension ref="A1:L18"/>
  <sheetViews>
    <sheetView tabSelected="1" workbookViewId="0">
      <selection activeCell="Q33" sqref="Q33"/>
    </sheetView>
  </sheetViews>
  <sheetFormatPr defaultRowHeight="15" x14ac:dyDescent="0.25"/>
  <cols>
    <col min="1" max="1" width="10.7109375" bestFit="1" customWidth="1"/>
    <col min="2" max="2" width="9.140625" style="39"/>
    <col min="3" max="3" width="9.140625" style="41"/>
    <col min="4" max="4" width="9.140625" style="15"/>
    <col min="5" max="12" width="10.5703125" style="41" bestFit="1" customWidth="1"/>
  </cols>
  <sheetData>
    <row r="1" spans="1:12" s="3" customFormat="1" ht="90" x14ac:dyDescent="0.25">
      <c r="A1" s="16" t="s">
        <v>13</v>
      </c>
      <c r="B1" s="38" t="s">
        <v>1</v>
      </c>
      <c r="C1" s="40" t="s">
        <v>2</v>
      </c>
      <c r="D1" s="9"/>
      <c r="E1" s="42" t="s">
        <v>3</v>
      </c>
      <c r="F1" s="42" t="s">
        <v>4</v>
      </c>
      <c r="G1" s="42" t="s">
        <v>5</v>
      </c>
      <c r="H1" s="42" t="s">
        <v>6</v>
      </c>
      <c r="I1" s="42" t="s">
        <v>7</v>
      </c>
      <c r="J1" s="42" t="s">
        <v>8</v>
      </c>
      <c r="K1" s="42" t="s">
        <v>9</v>
      </c>
      <c r="L1" s="42" t="s">
        <v>10</v>
      </c>
    </row>
    <row r="2" spans="1:12" x14ac:dyDescent="0.25">
      <c r="A2" s="1">
        <v>45656</v>
      </c>
      <c r="B2" s="39">
        <v>258.38</v>
      </c>
      <c r="E2" s="41">
        <f>12*B2</f>
        <v>3100.56</v>
      </c>
      <c r="F2" s="41">
        <f>14*B2</f>
        <v>3617.3199999999997</v>
      </c>
      <c r="G2" s="41">
        <f>15*B2</f>
        <v>3875.7</v>
      </c>
      <c r="H2" s="41">
        <f>16*B2</f>
        <v>4134.08</v>
      </c>
      <c r="I2" s="41">
        <f>18*B2</f>
        <v>4650.84</v>
      </c>
      <c r="J2" s="41">
        <f>21*B2</f>
        <v>5425.98</v>
      </c>
      <c r="K2" s="41">
        <f>24*B2</f>
        <v>6201.12</v>
      </c>
      <c r="L2" s="41">
        <f>27*B2</f>
        <v>6976.26</v>
      </c>
    </row>
    <row r="3" spans="1:12" x14ac:dyDescent="0.25">
      <c r="A3" s="1">
        <v>45290</v>
      </c>
      <c r="B3" s="39">
        <v>239.23</v>
      </c>
      <c r="E3" s="41">
        <f t="shared" ref="E3:E18" si="0">12*B3</f>
        <v>2870.7599999999998</v>
      </c>
      <c r="F3" s="41">
        <f t="shared" ref="F3:F18" si="1">14*B3</f>
        <v>3349.22</v>
      </c>
      <c r="G3" s="41">
        <f t="shared" ref="G3:G18" si="2">15*B3</f>
        <v>3588.45</v>
      </c>
      <c r="H3" s="41">
        <f t="shared" ref="H3:H18" si="3">16*B3</f>
        <v>3827.68</v>
      </c>
      <c r="I3" s="41">
        <f t="shared" ref="I3:I18" si="4">18*B3</f>
        <v>4306.1399999999994</v>
      </c>
      <c r="J3" s="41">
        <f t="shared" ref="J3:J18" si="5">21*B3</f>
        <v>5023.83</v>
      </c>
      <c r="K3" s="41">
        <f t="shared" ref="K3:K18" si="6">24*B3</f>
        <v>5741.5199999999995</v>
      </c>
      <c r="L3" s="41">
        <f t="shared" ref="L3:L18" si="7">27*B3</f>
        <v>6459.21</v>
      </c>
    </row>
    <row r="4" spans="1:12" x14ac:dyDescent="0.25">
      <c r="A4" s="1">
        <v>44925</v>
      </c>
      <c r="B4" s="39">
        <v>222.43</v>
      </c>
      <c r="C4" s="43">
        <v>3719.98</v>
      </c>
      <c r="E4" s="41">
        <f t="shared" si="0"/>
        <v>2669.16</v>
      </c>
      <c r="F4" s="41">
        <f t="shared" si="1"/>
        <v>3114.02</v>
      </c>
      <c r="G4" s="41">
        <f t="shared" si="2"/>
        <v>3336.4500000000003</v>
      </c>
      <c r="H4" s="41">
        <f t="shared" si="3"/>
        <v>3558.88</v>
      </c>
      <c r="I4" s="41">
        <f t="shared" si="4"/>
        <v>4003.7400000000002</v>
      </c>
      <c r="J4" s="41">
        <f t="shared" si="5"/>
        <v>4671.03</v>
      </c>
      <c r="K4" s="41">
        <f t="shared" si="6"/>
        <v>5338.32</v>
      </c>
      <c r="L4" s="41">
        <f t="shared" si="7"/>
        <v>6005.6100000000006</v>
      </c>
    </row>
    <row r="5" spans="1:12" x14ac:dyDescent="0.25">
      <c r="A5" s="1">
        <v>44560</v>
      </c>
      <c r="B5" s="39">
        <v>208.12</v>
      </c>
      <c r="C5" s="41">
        <v>4515.55</v>
      </c>
      <c r="E5" s="41">
        <f t="shared" si="0"/>
        <v>2497.44</v>
      </c>
      <c r="F5" s="41">
        <f t="shared" si="1"/>
        <v>2913.6800000000003</v>
      </c>
      <c r="G5" s="41">
        <f t="shared" si="2"/>
        <v>3121.8</v>
      </c>
      <c r="H5" s="41">
        <f t="shared" si="3"/>
        <v>3329.92</v>
      </c>
      <c r="I5" s="41">
        <f t="shared" si="4"/>
        <v>3746.16</v>
      </c>
      <c r="J5" s="41">
        <f t="shared" si="5"/>
        <v>4370.5200000000004</v>
      </c>
      <c r="K5" s="41">
        <f t="shared" si="6"/>
        <v>4994.88</v>
      </c>
      <c r="L5" s="41">
        <f t="shared" si="7"/>
        <v>5619.24</v>
      </c>
    </row>
    <row r="6" spans="1:12" x14ac:dyDescent="0.25">
      <c r="A6" s="1">
        <v>44195</v>
      </c>
      <c r="B6" s="39">
        <v>139.72</v>
      </c>
      <c r="C6" s="41">
        <v>3714.24</v>
      </c>
      <c r="E6" s="41">
        <f t="shared" si="0"/>
        <v>1676.6399999999999</v>
      </c>
      <c r="F6" s="41">
        <f t="shared" si="1"/>
        <v>1956.08</v>
      </c>
      <c r="G6" s="41">
        <f t="shared" si="2"/>
        <v>2095.8000000000002</v>
      </c>
      <c r="H6" s="41">
        <f t="shared" si="3"/>
        <v>2235.52</v>
      </c>
      <c r="I6" s="41">
        <f t="shared" si="4"/>
        <v>2514.96</v>
      </c>
      <c r="J6" s="41">
        <f t="shared" si="5"/>
        <v>2934.12</v>
      </c>
      <c r="K6" s="41">
        <f t="shared" si="6"/>
        <v>3353.2799999999997</v>
      </c>
      <c r="L6" s="41">
        <f t="shared" si="7"/>
        <v>3772.44</v>
      </c>
    </row>
    <row r="7" spans="1:12" x14ac:dyDescent="0.25">
      <c r="A7" s="1">
        <v>43829</v>
      </c>
      <c r="B7" s="39">
        <v>162.93</v>
      </c>
      <c r="C7" s="41">
        <v>3225.52</v>
      </c>
      <c r="E7" s="41">
        <f t="shared" si="0"/>
        <v>1955.16</v>
      </c>
      <c r="F7" s="41">
        <f t="shared" si="1"/>
        <v>2281.02</v>
      </c>
      <c r="G7" s="41">
        <f t="shared" si="2"/>
        <v>2443.9500000000003</v>
      </c>
      <c r="H7" s="41">
        <f t="shared" si="3"/>
        <v>2606.88</v>
      </c>
      <c r="I7" s="41">
        <f t="shared" si="4"/>
        <v>2932.7400000000002</v>
      </c>
      <c r="J7" s="41">
        <f t="shared" si="5"/>
        <v>3421.53</v>
      </c>
      <c r="K7" s="41">
        <f t="shared" si="6"/>
        <v>3910.32</v>
      </c>
      <c r="L7" s="41">
        <f t="shared" si="7"/>
        <v>4399.1100000000006</v>
      </c>
    </row>
    <row r="8" spans="1:12" x14ac:dyDescent="0.25">
      <c r="A8" s="1">
        <v>43464</v>
      </c>
      <c r="B8" s="39">
        <v>161.93</v>
      </c>
      <c r="C8" s="41">
        <v>2941.76</v>
      </c>
      <c r="E8" s="41">
        <f t="shared" si="0"/>
        <v>1943.16</v>
      </c>
      <c r="F8" s="41">
        <f t="shared" si="1"/>
        <v>2267.02</v>
      </c>
      <c r="G8" s="41">
        <f t="shared" si="2"/>
        <v>2428.9500000000003</v>
      </c>
      <c r="H8" s="41">
        <f t="shared" si="3"/>
        <v>2590.88</v>
      </c>
      <c r="I8" s="41">
        <f t="shared" si="4"/>
        <v>2914.7400000000002</v>
      </c>
      <c r="J8" s="41">
        <f t="shared" si="5"/>
        <v>3400.53</v>
      </c>
      <c r="K8" s="41">
        <f t="shared" si="6"/>
        <v>3886.32</v>
      </c>
      <c r="L8" s="41">
        <f t="shared" si="7"/>
        <v>4372.1100000000006</v>
      </c>
    </row>
    <row r="9" spans="1:12" x14ac:dyDescent="0.25">
      <c r="A9" s="1">
        <v>43099</v>
      </c>
      <c r="B9" s="39">
        <v>132</v>
      </c>
      <c r="C9" s="41">
        <v>2823.81</v>
      </c>
      <c r="E9" s="41">
        <f t="shared" si="0"/>
        <v>1584</v>
      </c>
      <c r="F9" s="41">
        <f t="shared" si="1"/>
        <v>1848</v>
      </c>
      <c r="G9" s="41">
        <f t="shared" si="2"/>
        <v>1980</v>
      </c>
      <c r="H9" s="41">
        <f t="shared" si="3"/>
        <v>2112</v>
      </c>
      <c r="I9" s="41">
        <f t="shared" si="4"/>
        <v>2376</v>
      </c>
      <c r="J9" s="41">
        <f t="shared" si="5"/>
        <v>2772</v>
      </c>
      <c r="K9" s="41">
        <f t="shared" si="6"/>
        <v>3168</v>
      </c>
      <c r="L9" s="41">
        <f t="shared" si="7"/>
        <v>3564</v>
      </c>
    </row>
    <row r="10" spans="1:12" x14ac:dyDescent="0.25">
      <c r="A10" s="1">
        <v>42734</v>
      </c>
      <c r="B10" s="39">
        <v>118.1</v>
      </c>
      <c r="C10" s="41">
        <v>2278.87</v>
      </c>
      <c r="E10" s="41">
        <f t="shared" si="0"/>
        <v>1417.1999999999998</v>
      </c>
      <c r="F10" s="41">
        <f t="shared" si="1"/>
        <v>1653.3999999999999</v>
      </c>
      <c r="G10" s="41">
        <f t="shared" si="2"/>
        <v>1771.5</v>
      </c>
      <c r="H10" s="41">
        <f t="shared" si="3"/>
        <v>1889.6</v>
      </c>
      <c r="I10" s="41">
        <f t="shared" si="4"/>
        <v>2125.7999999999997</v>
      </c>
      <c r="J10" s="41">
        <f t="shared" si="5"/>
        <v>2480.1</v>
      </c>
      <c r="K10" s="41">
        <f t="shared" si="6"/>
        <v>2834.3999999999996</v>
      </c>
      <c r="L10" s="41">
        <f t="shared" si="7"/>
        <v>3188.7</v>
      </c>
    </row>
    <row r="11" spans="1:12" x14ac:dyDescent="0.25">
      <c r="A11" s="1">
        <v>42368</v>
      </c>
      <c r="B11" s="39">
        <v>117.46</v>
      </c>
      <c r="C11" s="41">
        <v>1940.24</v>
      </c>
      <c r="E11" s="41">
        <f t="shared" si="0"/>
        <v>1409.52</v>
      </c>
      <c r="F11" s="41">
        <f t="shared" si="1"/>
        <v>1644.4399999999998</v>
      </c>
      <c r="G11" s="41">
        <f t="shared" si="2"/>
        <v>1761.8999999999999</v>
      </c>
      <c r="H11" s="41">
        <f t="shared" si="3"/>
        <v>1879.36</v>
      </c>
      <c r="I11" s="41">
        <f t="shared" si="4"/>
        <v>2114.2799999999997</v>
      </c>
      <c r="J11" s="41">
        <f t="shared" si="5"/>
        <v>2466.66</v>
      </c>
      <c r="K11" s="41">
        <f t="shared" si="6"/>
        <v>2819.04</v>
      </c>
      <c r="L11" s="41">
        <f t="shared" si="7"/>
        <v>3171.4199999999996</v>
      </c>
    </row>
    <row r="12" spans="1:12" x14ac:dyDescent="0.25">
      <c r="A12" s="1">
        <v>42003</v>
      </c>
      <c r="B12" s="39">
        <v>118.78</v>
      </c>
      <c r="C12" s="41">
        <v>1994.99</v>
      </c>
      <c r="E12" s="41">
        <f t="shared" si="0"/>
        <v>1425.3600000000001</v>
      </c>
      <c r="F12" s="41">
        <f t="shared" si="1"/>
        <v>1662.92</v>
      </c>
      <c r="G12" s="41">
        <f t="shared" si="2"/>
        <v>1781.7</v>
      </c>
      <c r="H12" s="41">
        <f t="shared" si="3"/>
        <v>1900.48</v>
      </c>
      <c r="I12" s="41">
        <f t="shared" si="4"/>
        <v>2138.04</v>
      </c>
      <c r="J12" s="41">
        <f t="shared" si="5"/>
        <v>2494.38</v>
      </c>
      <c r="K12" s="41">
        <f t="shared" si="6"/>
        <v>2850.7200000000003</v>
      </c>
      <c r="L12" s="41">
        <f t="shared" si="7"/>
        <v>3207.06</v>
      </c>
    </row>
    <row r="13" spans="1:12" x14ac:dyDescent="0.25">
      <c r="A13" s="1">
        <v>41638</v>
      </c>
      <c r="B13" s="39">
        <v>109.68</v>
      </c>
      <c r="C13" s="41">
        <v>1782.59</v>
      </c>
      <c r="E13" s="41">
        <f t="shared" si="0"/>
        <v>1316.16</v>
      </c>
      <c r="F13" s="41">
        <f t="shared" si="1"/>
        <v>1535.52</v>
      </c>
      <c r="G13" s="41">
        <f t="shared" si="2"/>
        <v>1645.2</v>
      </c>
      <c r="H13" s="41">
        <f t="shared" si="3"/>
        <v>1754.88</v>
      </c>
      <c r="I13" s="41">
        <f t="shared" si="4"/>
        <v>1974.2400000000002</v>
      </c>
      <c r="J13" s="41">
        <f t="shared" si="5"/>
        <v>2303.2800000000002</v>
      </c>
      <c r="K13" s="41">
        <f t="shared" si="6"/>
        <v>2632.32</v>
      </c>
      <c r="L13" s="41">
        <f t="shared" si="7"/>
        <v>2961.36</v>
      </c>
    </row>
    <row r="14" spans="1:12" x14ac:dyDescent="0.25">
      <c r="A14" s="1">
        <v>41273</v>
      </c>
      <c r="B14" s="39">
        <v>103.8</v>
      </c>
      <c r="C14" s="41">
        <v>1498.11</v>
      </c>
      <c r="E14" s="41">
        <f t="shared" si="0"/>
        <v>1245.5999999999999</v>
      </c>
      <c r="F14" s="41">
        <f t="shared" si="1"/>
        <v>1453.2</v>
      </c>
      <c r="G14" s="41">
        <f t="shared" si="2"/>
        <v>1557</v>
      </c>
      <c r="H14" s="41">
        <f t="shared" si="3"/>
        <v>1660.8</v>
      </c>
      <c r="I14" s="41">
        <f t="shared" si="4"/>
        <v>1868.3999999999999</v>
      </c>
      <c r="J14" s="41">
        <f t="shared" si="5"/>
        <v>2179.7999999999997</v>
      </c>
      <c r="K14" s="41">
        <f t="shared" si="6"/>
        <v>2491.1999999999998</v>
      </c>
      <c r="L14" s="41">
        <f t="shared" si="7"/>
        <v>2802.6</v>
      </c>
    </row>
    <row r="15" spans="1:12" x14ac:dyDescent="0.25">
      <c r="A15" s="1">
        <v>40907</v>
      </c>
      <c r="B15" s="39">
        <v>97.82</v>
      </c>
      <c r="C15" s="41">
        <v>1312.41</v>
      </c>
      <c r="E15" s="41">
        <f t="shared" si="0"/>
        <v>1173.8399999999999</v>
      </c>
      <c r="F15" s="41">
        <f t="shared" si="1"/>
        <v>1369.48</v>
      </c>
      <c r="G15" s="41">
        <f t="shared" si="2"/>
        <v>1467.3</v>
      </c>
      <c r="H15" s="41">
        <f t="shared" si="3"/>
        <v>1565.12</v>
      </c>
      <c r="I15" s="41">
        <f t="shared" si="4"/>
        <v>1760.7599999999998</v>
      </c>
      <c r="J15" s="41">
        <f t="shared" si="5"/>
        <v>2054.2199999999998</v>
      </c>
      <c r="K15" s="41">
        <f t="shared" si="6"/>
        <v>2347.6799999999998</v>
      </c>
      <c r="L15" s="41">
        <f t="shared" si="7"/>
        <v>2641.14</v>
      </c>
    </row>
    <row r="16" spans="1:12" x14ac:dyDescent="0.25">
      <c r="A16" s="1">
        <v>40542</v>
      </c>
      <c r="B16" s="39">
        <v>85.28</v>
      </c>
      <c r="C16" s="41">
        <v>1286.1199999999999</v>
      </c>
      <c r="E16" s="41">
        <f t="shared" si="0"/>
        <v>1023.36</v>
      </c>
      <c r="F16" s="41">
        <f t="shared" si="1"/>
        <v>1193.92</v>
      </c>
      <c r="G16" s="41">
        <f t="shared" si="2"/>
        <v>1279.2</v>
      </c>
      <c r="H16" s="41">
        <f t="shared" si="3"/>
        <v>1364.48</v>
      </c>
      <c r="I16" s="41">
        <f t="shared" si="4"/>
        <v>1535.04</v>
      </c>
      <c r="J16" s="41">
        <f t="shared" si="5"/>
        <v>1790.88</v>
      </c>
      <c r="K16" s="41">
        <f t="shared" si="6"/>
        <v>2046.72</v>
      </c>
      <c r="L16" s="41">
        <f t="shared" si="7"/>
        <v>2302.56</v>
      </c>
    </row>
    <row r="17" spans="1:12" x14ac:dyDescent="0.25">
      <c r="A17" s="1">
        <v>40177</v>
      </c>
      <c r="B17" s="39">
        <v>60.8</v>
      </c>
      <c r="C17" s="41">
        <v>1073.8699999999999</v>
      </c>
      <c r="E17" s="41">
        <f t="shared" si="0"/>
        <v>729.59999999999991</v>
      </c>
      <c r="F17" s="41">
        <f t="shared" si="1"/>
        <v>851.19999999999993</v>
      </c>
      <c r="G17" s="41">
        <f t="shared" si="2"/>
        <v>912</v>
      </c>
      <c r="H17" s="41">
        <f t="shared" si="3"/>
        <v>972.8</v>
      </c>
      <c r="I17" s="41">
        <f t="shared" si="4"/>
        <v>1094.3999999999999</v>
      </c>
      <c r="J17" s="41">
        <f t="shared" si="5"/>
        <v>1276.8</v>
      </c>
      <c r="K17" s="41">
        <f t="shared" si="6"/>
        <v>1459.1999999999998</v>
      </c>
      <c r="L17" s="41">
        <f t="shared" si="7"/>
        <v>1641.6</v>
      </c>
    </row>
    <row r="18" spans="1:12" x14ac:dyDescent="0.25">
      <c r="A18" s="1">
        <v>39812</v>
      </c>
      <c r="B18" s="39">
        <v>65.47</v>
      </c>
      <c r="C18" s="41">
        <v>825.88</v>
      </c>
      <c r="E18" s="41">
        <f t="shared" si="0"/>
        <v>785.64</v>
      </c>
      <c r="F18" s="41">
        <f t="shared" si="1"/>
        <v>916.57999999999993</v>
      </c>
      <c r="G18" s="41">
        <f t="shared" si="2"/>
        <v>982.05</v>
      </c>
      <c r="H18" s="41">
        <f t="shared" si="3"/>
        <v>1047.52</v>
      </c>
      <c r="I18" s="41">
        <f t="shared" si="4"/>
        <v>1178.46</v>
      </c>
      <c r="J18" s="41">
        <f t="shared" si="5"/>
        <v>1374.87</v>
      </c>
      <c r="K18" s="41">
        <f t="shared" si="6"/>
        <v>1571.28</v>
      </c>
      <c r="L18" s="41">
        <f t="shared" si="7"/>
        <v>1767.69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AF651-12B9-46B0-B403-CF329A3CA4AC}">
  <dimension ref="A1:N69"/>
  <sheetViews>
    <sheetView workbookViewId="0">
      <selection sqref="A1:XFD1"/>
    </sheetView>
  </sheetViews>
  <sheetFormatPr defaultRowHeight="15" x14ac:dyDescent="0.25"/>
  <cols>
    <col min="1" max="1" width="13" customWidth="1"/>
    <col min="2" max="2" width="12" style="28" customWidth="1"/>
    <col min="3" max="3" width="9.140625" style="28"/>
    <col min="4" max="4" width="3.5703125" style="15" customWidth="1"/>
    <col min="5" max="5" width="10.42578125" style="28" customWidth="1"/>
    <col min="6" max="6" width="3.5703125" style="15" customWidth="1"/>
    <col min="15" max="15" width="11" customWidth="1"/>
  </cols>
  <sheetData>
    <row r="1" spans="1:14" s="3" customFormat="1" ht="60" x14ac:dyDescent="0.25">
      <c r="A1" s="16" t="s">
        <v>0</v>
      </c>
      <c r="B1" s="17" t="s">
        <v>1</v>
      </c>
      <c r="C1" s="17" t="s">
        <v>2</v>
      </c>
      <c r="D1" s="9"/>
      <c r="E1" s="29" t="s">
        <v>12</v>
      </c>
      <c r="F1" s="9"/>
      <c r="G1" s="3" t="s">
        <v>3</v>
      </c>
      <c r="H1" s="3" t="s">
        <v>4</v>
      </c>
      <c r="I1" s="3" t="s">
        <v>5</v>
      </c>
      <c r="J1" s="3" t="s">
        <v>6</v>
      </c>
      <c r="K1" s="3" t="s">
        <v>7</v>
      </c>
      <c r="L1" s="3" t="s">
        <v>8</v>
      </c>
      <c r="M1" s="3" t="s">
        <v>9</v>
      </c>
      <c r="N1" s="3" t="s">
        <v>10</v>
      </c>
    </row>
    <row r="2" spans="1:14" s="6" customFormat="1" ht="12.75" x14ac:dyDescent="0.2">
      <c r="A2" s="4">
        <v>45657</v>
      </c>
      <c r="B2" s="18">
        <v>64.09</v>
      </c>
      <c r="C2" s="19"/>
      <c r="D2" s="10"/>
      <c r="E2" s="30">
        <f>SUM(B2:B5)</f>
        <v>256.36</v>
      </c>
      <c r="F2" s="10"/>
      <c r="G2" s="5">
        <f>E2*12</f>
        <v>3076.32</v>
      </c>
      <c r="H2" s="5">
        <f>E2*14</f>
        <v>3589.04</v>
      </c>
      <c r="I2" s="5">
        <f>E2*15</f>
        <v>3845.4</v>
      </c>
      <c r="J2" s="5">
        <f>E2*16</f>
        <v>4101.76</v>
      </c>
      <c r="K2" s="5">
        <f>E2*18</f>
        <v>4614.4800000000005</v>
      </c>
      <c r="L2" s="5">
        <f>E2*21</f>
        <v>5383.56</v>
      </c>
      <c r="M2" s="5">
        <f>E2*24</f>
        <v>6152.64</v>
      </c>
      <c r="N2" s="5">
        <f>E2*27</f>
        <v>6921.72</v>
      </c>
    </row>
    <row r="3" spans="1:14" s="7" customFormat="1" ht="12.75" x14ac:dyDescent="0.2">
      <c r="A3" s="4">
        <v>45565</v>
      </c>
      <c r="B3" s="18">
        <v>64.09</v>
      </c>
      <c r="C3" s="19"/>
      <c r="D3" s="11"/>
      <c r="E3" s="30">
        <f>SUM(B3:B6)</f>
        <v>254.74</v>
      </c>
      <c r="F3" s="11"/>
      <c r="G3" s="5">
        <f>E3*12</f>
        <v>3056.88</v>
      </c>
      <c r="H3" s="5">
        <f>E3*14</f>
        <v>3566.36</v>
      </c>
      <c r="I3" s="5">
        <f>E3*15</f>
        <v>3821.1000000000004</v>
      </c>
      <c r="J3" s="5">
        <f>E3*16</f>
        <v>4075.84</v>
      </c>
      <c r="K3" s="5">
        <f>E3*18</f>
        <v>4585.32</v>
      </c>
      <c r="L3" s="5">
        <f>E3*21</f>
        <v>5349.54</v>
      </c>
      <c r="M3" s="5">
        <f>E3*24</f>
        <v>6113.76</v>
      </c>
      <c r="N3" s="5">
        <f>E3*27</f>
        <v>6877.9800000000005</v>
      </c>
    </row>
    <row r="4" spans="1:14" s="6" customFormat="1" ht="12.75" x14ac:dyDescent="0.2">
      <c r="A4" s="4">
        <v>45473</v>
      </c>
      <c r="B4" s="18">
        <v>64.09</v>
      </c>
      <c r="C4" s="19"/>
      <c r="D4" s="11"/>
      <c r="E4" s="30">
        <f>SUM(B4:B7)</f>
        <v>250.73000000000002</v>
      </c>
      <c r="F4" s="11"/>
      <c r="G4" s="5">
        <f>E4*12</f>
        <v>3008.76</v>
      </c>
      <c r="H4" s="5">
        <f>E4*14</f>
        <v>3510.2200000000003</v>
      </c>
      <c r="I4" s="5">
        <f>E4*15</f>
        <v>3760.9500000000003</v>
      </c>
      <c r="J4" s="5">
        <f>E4*16</f>
        <v>4011.6800000000003</v>
      </c>
      <c r="K4" s="5">
        <f>E4*18</f>
        <v>4513.1400000000003</v>
      </c>
      <c r="L4" s="5">
        <f>E4*21</f>
        <v>5265.33</v>
      </c>
      <c r="M4" s="5">
        <f>E4*24</f>
        <v>6017.52</v>
      </c>
      <c r="N4" s="5">
        <f>E4*27</f>
        <v>6769.7100000000009</v>
      </c>
    </row>
    <row r="5" spans="1:14" s="7" customFormat="1" ht="12.75" x14ac:dyDescent="0.2">
      <c r="A5" s="4">
        <v>45382</v>
      </c>
      <c r="B5" s="18">
        <v>64.09</v>
      </c>
      <c r="C5" s="19"/>
      <c r="D5" s="11"/>
      <c r="E5" s="30">
        <f>SUM(B5:B8)</f>
        <v>245.32</v>
      </c>
      <c r="F5" s="11"/>
      <c r="G5" s="5">
        <f>E5*12</f>
        <v>2943.84</v>
      </c>
      <c r="H5" s="5">
        <f>E5*14</f>
        <v>3434.48</v>
      </c>
      <c r="I5" s="5">
        <f>E5*15</f>
        <v>3679.7999999999997</v>
      </c>
      <c r="J5" s="5">
        <f>E5*16</f>
        <v>3925.12</v>
      </c>
      <c r="K5" s="5">
        <f>E5*18</f>
        <v>4415.76</v>
      </c>
      <c r="L5" s="5">
        <f>E5*21</f>
        <v>5151.72</v>
      </c>
      <c r="M5" s="5">
        <f>E5*24</f>
        <v>5887.68</v>
      </c>
      <c r="N5" s="5">
        <f>E5*27</f>
        <v>6623.6399999999994</v>
      </c>
    </row>
    <row r="6" spans="1:14" s="6" customFormat="1" ht="12.75" x14ac:dyDescent="0.2">
      <c r="A6" s="4">
        <v>45291</v>
      </c>
      <c r="B6" s="18">
        <v>62.47</v>
      </c>
      <c r="C6" s="19"/>
      <c r="D6" s="10"/>
      <c r="E6" s="30">
        <f>SUM(B6:B9)</f>
        <v>238.04999999999998</v>
      </c>
      <c r="F6" s="10"/>
      <c r="G6" s="5">
        <f>E6*12</f>
        <v>2856.6</v>
      </c>
      <c r="H6" s="5">
        <f>E6*14</f>
        <v>3332.7</v>
      </c>
      <c r="I6" s="5">
        <f>E6*15</f>
        <v>3570.7499999999995</v>
      </c>
      <c r="J6" s="5">
        <f>E6*16</f>
        <v>3808.7999999999997</v>
      </c>
      <c r="K6" s="5">
        <f>E6*18</f>
        <v>4284.8999999999996</v>
      </c>
      <c r="L6" s="5">
        <f>E6*21</f>
        <v>4999.0499999999993</v>
      </c>
      <c r="M6" s="5">
        <f>E6*24</f>
        <v>5713.2</v>
      </c>
      <c r="N6" s="5">
        <f>E6*27</f>
        <v>6427.3499999999995</v>
      </c>
    </row>
    <row r="7" spans="1:14" s="7" customFormat="1" ht="12.75" x14ac:dyDescent="0.2">
      <c r="A7" s="4">
        <v>45199</v>
      </c>
      <c r="B7" s="18">
        <v>60.08</v>
      </c>
      <c r="C7" s="19"/>
      <c r="D7" s="11"/>
      <c r="E7" s="30">
        <f>SUM(B7:B10)</f>
        <v>232.96999999999997</v>
      </c>
      <c r="F7" s="11"/>
      <c r="G7" s="5">
        <f>E7*12</f>
        <v>2795.6399999999994</v>
      </c>
      <c r="H7" s="5">
        <f>E7*14</f>
        <v>3261.5799999999995</v>
      </c>
      <c r="I7" s="5">
        <f>E7*15</f>
        <v>3494.5499999999997</v>
      </c>
      <c r="J7" s="5">
        <f>E7*16</f>
        <v>3727.5199999999995</v>
      </c>
      <c r="K7" s="5">
        <f>E7*18</f>
        <v>4193.4599999999991</v>
      </c>
      <c r="L7" s="5">
        <f>E7*21</f>
        <v>4892.369999999999</v>
      </c>
      <c r="M7" s="5">
        <f>E7*24</f>
        <v>5591.2799999999988</v>
      </c>
      <c r="N7" s="5">
        <f>E7*27</f>
        <v>6290.19</v>
      </c>
    </row>
    <row r="8" spans="1:14" s="6" customFormat="1" ht="12.75" x14ac:dyDescent="0.2">
      <c r="A8" s="4">
        <v>45107</v>
      </c>
      <c r="B8" s="18">
        <v>58.68</v>
      </c>
      <c r="C8" s="19"/>
      <c r="D8" s="11"/>
      <c r="E8" s="30">
        <f>SUM(B8:B11)</f>
        <v>227.86999999999998</v>
      </c>
      <c r="F8" s="11"/>
      <c r="G8" s="5">
        <f>E8*12</f>
        <v>2734.4399999999996</v>
      </c>
      <c r="H8" s="5">
        <f>E8*14</f>
        <v>3190.18</v>
      </c>
      <c r="I8" s="5">
        <f>E8*15</f>
        <v>3418.0499999999997</v>
      </c>
      <c r="J8" s="5">
        <f>E8*16</f>
        <v>3645.9199999999996</v>
      </c>
      <c r="K8" s="5">
        <f>E8*18</f>
        <v>4101.66</v>
      </c>
      <c r="L8" s="5">
        <f>E8*21</f>
        <v>4785.2699999999995</v>
      </c>
      <c r="M8" s="5">
        <f>E8*24</f>
        <v>5468.8799999999992</v>
      </c>
      <c r="N8" s="5">
        <f>E8*27</f>
        <v>6152.49</v>
      </c>
    </row>
    <row r="9" spans="1:14" s="7" customFormat="1" ht="12.75" x14ac:dyDescent="0.2">
      <c r="A9" s="4">
        <v>45016</v>
      </c>
      <c r="B9" s="18">
        <v>56.82</v>
      </c>
      <c r="C9" s="19"/>
      <c r="D9" s="11"/>
      <c r="E9" s="30">
        <f>SUM(B9:B12)</f>
        <v>226.81</v>
      </c>
      <c r="F9" s="11"/>
      <c r="G9" s="5">
        <f>E9*12</f>
        <v>2721.7200000000003</v>
      </c>
      <c r="H9" s="5">
        <f>E9*14</f>
        <v>3175.34</v>
      </c>
      <c r="I9" s="5">
        <f>E9*15</f>
        <v>3402.15</v>
      </c>
      <c r="J9" s="5">
        <f>E9*16</f>
        <v>3628.96</v>
      </c>
      <c r="K9" s="5">
        <f>E9*18</f>
        <v>4082.58</v>
      </c>
      <c r="L9" s="5">
        <f>E9*21</f>
        <v>4763.01</v>
      </c>
      <c r="M9" s="5">
        <f>E9*24</f>
        <v>5443.4400000000005</v>
      </c>
      <c r="N9" s="5">
        <f>E9*27</f>
        <v>6123.87</v>
      </c>
    </row>
    <row r="10" spans="1:14" s="6" customFormat="1" ht="12.75" x14ac:dyDescent="0.2">
      <c r="A10" s="4">
        <v>44926</v>
      </c>
      <c r="B10" s="18">
        <v>57.39</v>
      </c>
      <c r="C10" s="37">
        <v>3700</v>
      </c>
      <c r="D10" s="11"/>
      <c r="E10" s="30">
        <f>SUM(B10:B13)</f>
        <v>224.79000000000002</v>
      </c>
      <c r="F10" s="11"/>
      <c r="G10" s="5">
        <f>E10*12</f>
        <v>2697.4800000000005</v>
      </c>
      <c r="H10" s="5">
        <f>E10*14</f>
        <v>3147.0600000000004</v>
      </c>
      <c r="I10" s="5">
        <f>E10*15</f>
        <v>3371.8500000000004</v>
      </c>
      <c r="J10" s="5">
        <f>E10*16</f>
        <v>3596.6400000000003</v>
      </c>
      <c r="K10" s="5">
        <f>E10*18</f>
        <v>4046.2200000000003</v>
      </c>
      <c r="L10" s="5">
        <f>E10*21</f>
        <v>4720.59</v>
      </c>
      <c r="M10" s="5">
        <f>E10*24</f>
        <v>5394.9600000000009</v>
      </c>
      <c r="N10" s="5">
        <f>E10*27</f>
        <v>6069.3300000000008</v>
      </c>
    </row>
    <row r="11" spans="1:14" s="6" customFormat="1" ht="12.75" x14ac:dyDescent="0.2">
      <c r="A11" s="4">
        <v>44834</v>
      </c>
      <c r="B11" s="18">
        <v>54.98</v>
      </c>
      <c r="C11" s="19">
        <v>3585.6241035486701</v>
      </c>
      <c r="D11" s="10"/>
      <c r="E11" s="30">
        <f>SUM(B11:B14)</f>
        <v>221.34999999999997</v>
      </c>
      <c r="F11" s="10"/>
      <c r="G11" s="5">
        <f>E11*12</f>
        <v>2656.2</v>
      </c>
      <c r="H11" s="5">
        <f>E11*14</f>
        <v>3098.8999999999996</v>
      </c>
      <c r="I11" s="5">
        <f>E11*15</f>
        <v>3320.2499999999995</v>
      </c>
      <c r="J11" s="5">
        <f>E11*16</f>
        <v>3541.5999999999995</v>
      </c>
      <c r="K11" s="5">
        <f>E11*18</f>
        <v>3984.2999999999993</v>
      </c>
      <c r="L11" s="5">
        <f>E11*21</f>
        <v>4648.3499999999995</v>
      </c>
      <c r="M11" s="5">
        <f>E11*24</f>
        <v>5312.4</v>
      </c>
      <c r="N11" s="5">
        <f>E11*27</f>
        <v>5976.4499999999989</v>
      </c>
    </row>
    <row r="12" spans="1:14" s="36" customFormat="1" ht="12.75" x14ac:dyDescent="0.2">
      <c r="A12" s="31">
        <v>44742</v>
      </c>
      <c r="B12" s="32">
        <v>57.62</v>
      </c>
      <c r="C12" s="33">
        <v>3785.3848459311298</v>
      </c>
      <c r="D12" s="34"/>
      <c r="E12" s="35">
        <f>SUM(B12:B15)</f>
        <v>220.09</v>
      </c>
      <c r="F12" s="34"/>
      <c r="G12" s="5">
        <f>E12*12</f>
        <v>2641.08</v>
      </c>
      <c r="H12" s="5">
        <f>E12*14</f>
        <v>3081.26</v>
      </c>
      <c r="I12" s="5">
        <f>E12*15</f>
        <v>3301.35</v>
      </c>
      <c r="J12" s="5">
        <f>E12*16</f>
        <v>3521.44</v>
      </c>
      <c r="K12" s="5">
        <f>E12*18</f>
        <v>3961.62</v>
      </c>
      <c r="L12" s="5">
        <f>E12*21</f>
        <v>4621.8900000000003</v>
      </c>
      <c r="M12" s="5">
        <f>E12*24</f>
        <v>5282.16</v>
      </c>
      <c r="N12" s="5">
        <f>E12*27</f>
        <v>5942.43</v>
      </c>
    </row>
    <row r="13" spans="1:14" s="6" customFormat="1" ht="12.75" x14ac:dyDescent="0.2">
      <c r="A13" s="4">
        <v>44651</v>
      </c>
      <c r="B13" s="18">
        <v>54.8</v>
      </c>
      <c r="C13" s="19">
        <v>4530.4134516834702</v>
      </c>
      <c r="D13" s="11"/>
      <c r="E13" s="30">
        <f>SUM(B13:B16)</f>
        <v>215.05</v>
      </c>
      <c r="F13" s="11"/>
      <c r="G13" s="5">
        <f>E13*12</f>
        <v>2580.6000000000004</v>
      </c>
      <c r="H13" s="5">
        <f>E13*14</f>
        <v>3010.7000000000003</v>
      </c>
      <c r="I13" s="5">
        <f>E13*15</f>
        <v>3225.75</v>
      </c>
      <c r="J13" s="5">
        <f>E13*16</f>
        <v>3440.8</v>
      </c>
      <c r="K13" s="5">
        <f>E13*18</f>
        <v>3870.9</v>
      </c>
      <c r="L13" s="5">
        <f>E13*21</f>
        <v>4516.05</v>
      </c>
      <c r="M13" s="5">
        <f>E13*24</f>
        <v>5161.2000000000007</v>
      </c>
      <c r="N13" s="5">
        <f>E13*27</f>
        <v>5806.35</v>
      </c>
    </row>
    <row r="14" spans="1:14" s="7" customFormat="1" ht="12.75" x14ac:dyDescent="0.2">
      <c r="A14" s="4">
        <v>44561</v>
      </c>
      <c r="B14" s="18">
        <v>53.95</v>
      </c>
      <c r="C14" s="19">
        <v>4766.1829724282998</v>
      </c>
      <c r="D14" s="11"/>
      <c r="E14" s="30">
        <f>SUM(B14:B17)</f>
        <v>209.38</v>
      </c>
      <c r="F14" s="11"/>
      <c r="G14" s="5">
        <f>E14*12</f>
        <v>2512.56</v>
      </c>
      <c r="H14" s="5">
        <f>E14*14</f>
        <v>2931.3199999999997</v>
      </c>
      <c r="I14" s="5">
        <f>E14*15</f>
        <v>3140.7</v>
      </c>
      <c r="J14" s="5">
        <f>E14*16</f>
        <v>3350.08</v>
      </c>
      <c r="K14" s="5">
        <f>E14*18</f>
        <v>3768.84</v>
      </c>
      <c r="L14" s="5">
        <f>E14*21</f>
        <v>4396.9799999999996</v>
      </c>
      <c r="M14" s="5">
        <f>E14*24</f>
        <v>5025.12</v>
      </c>
      <c r="N14" s="5">
        <f>E14*27</f>
        <v>5653.26</v>
      </c>
    </row>
    <row r="15" spans="1:14" s="6" customFormat="1" ht="12.75" x14ac:dyDescent="0.2">
      <c r="A15" s="4">
        <v>44469</v>
      </c>
      <c r="B15" s="18">
        <v>53.72</v>
      </c>
      <c r="C15" s="19">
        <v>4307.5387507897103</v>
      </c>
      <c r="D15" s="11"/>
      <c r="E15" s="30">
        <f>SUM(B15:B18)</f>
        <v>198.01</v>
      </c>
      <c r="F15" s="11"/>
      <c r="G15" s="5">
        <f>E15*12</f>
        <v>2376.12</v>
      </c>
      <c r="H15" s="5">
        <f>E15*14</f>
        <v>2772.14</v>
      </c>
      <c r="I15" s="5">
        <f>E15*15</f>
        <v>2970.1499999999996</v>
      </c>
      <c r="J15" s="5">
        <f>E15*16</f>
        <v>3168.16</v>
      </c>
      <c r="K15" s="5">
        <f>E15*18</f>
        <v>3564.18</v>
      </c>
      <c r="L15" s="5">
        <f>E15*21</f>
        <v>4158.21</v>
      </c>
      <c r="M15" s="5">
        <f>E15*24</f>
        <v>4752.24</v>
      </c>
      <c r="N15" s="5">
        <f>E15*27</f>
        <v>5346.2699999999995</v>
      </c>
    </row>
    <row r="16" spans="1:14" s="7" customFormat="1" ht="12.75" x14ac:dyDescent="0.2">
      <c r="A16" s="4">
        <v>44377</v>
      </c>
      <c r="B16" s="18">
        <v>52.58</v>
      </c>
      <c r="C16" s="19">
        <v>4297.4966318818697</v>
      </c>
      <c r="D16" s="11"/>
      <c r="E16" s="30">
        <f>SUM(B16:B19)</f>
        <v>182.98000000000002</v>
      </c>
      <c r="F16" s="11"/>
      <c r="G16" s="5">
        <f>E16*12</f>
        <v>2195.7600000000002</v>
      </c>
      <c r="H16" s="5">
        <f>E16*14</f>
        <v>2561.7200000000003</v>
      </c>
      <c r="I16" s="5">
        <f>E16*15</f>
        <v>2744.7000000000003</v>
      </c>
      <c r="J16" s="5">
        <f>E16*16</f>
        <v>2927.6800000000003</v>
      </c>
      <c r="K16" s="5">
        <f>E16*18</f>
        <v>3293.6400000000003</v>
      </c>
      <c r="L16" s="5">
        <f>E16*21</f>
        <v>3842.5800000000004</v>
      </c>
      <c r="M16" s="5">
        <f>E16*24</f>
        <v>4391.5200000000004</v>
      </c>
      <c r="N16" s="5">
        <f>E16*27</f>
        <v>4940.4600000000009</v>
      </c>
    </row>
    <row r="17" spans="1:14" s="7" customFormat="1" ht="12.75" x14ac:dyDescent="0.2">
      <c r="A17" s="4">
        <v>44286</v>
      </c>
      <c r="B17" s="18">
        <v>49.13</v>
      </c>
      <c r="C17" s="19">
        <v>3972.8922084302499</v>
      </c>
      <c r="D17" s="11"/>
      <c r="E17" s="30">
        <f>SUM(B17:B20)</f>
        <v>158.38</v>
      </c>
      <c r="F17" s="11"/>
      <c r="G17" s="5">
        <f>E17*12</f>
        <v>1900.56</v>
      </c>
      <c r="H17" s="5">
        <f>E17*14</f>
        <v>2217.3199999999997</v>
      </c>
      <c r="I17" s="5">
        <f>E17*15</f>
        <v>2375.6999999999998</v>
      </c>
      <c r="J17" s="5">
        <f>E17*16</f>
        <v>2534.08</v>
      </c>
      <c r="K17" s="5">
        <f>E17*18</f>
        <v>2850.84</v>
      </c>
      <c r="L17" s="5">
        <f>E17*21</f>
        <v>3325.98</v>
      </c>
      <c r="M17" s="5">
        <f>E17*24</f>
        <v>3801.12</v>
      </c>
      <c r="N17" s="5">
        <f>E17*27</f>
        <v>4276.26</v>
      </c>
    </row>
    <row r="18" spans="1:14" s="6" customFormat="1" ht="12.75" x14ac:dyDescent="0.2">
      <c r="A18" s="4">
        <v>44196</v>
      </c>
      <c r="B18" s="18">
        <v>42.58</v>
      </c>
      <c r="C18" s="19">
        <v>3756.0714689572001</v>
      </c>
      <c r="D18" s="11"/>
      <c r="E18" s="30">
        <f>SUM(B18:B21)</f>
        <v>142.38</v>
      </c>
      <c r="F18" s="11"/>
      <c r="G18" s="5">
        <f>E18*12</f>
        <v>1708.56</v>
      </c>
      <c r="H18" s="5">
        <f>E18*14</f>
        <v>1993.32</v>
      </c>
      <c r="I18" s="5">
        <f>E18*15</f>
        <v>2135.6999999999998</v>
      </c>
      <c r="J18" s="5">
        <f>E18*16</f>
        <v>2278.08</v>
      </c>
      <c r="K18" s="5">
        <f>E18*18</f>
        <v>2562.84</v>
      </c>
      <c r="L18" s="5">
        <f>E18*21</f>
        <v>2989.98</v>
      </c>
      <c r="M18" s="5">
        <f>E18*24</f>
        <v>3417.12</v>
      </c>
      <c r="N18" s="5">
        <f>E18*27</f>
        <v>3844.2599999999998</v>
      </c>
    </row>
    <row r="19" spans="1:14" s="6" customFormat="1" x14ac:dyDescent="0.25">
      <c r="A19" s="4">
        <v>44104</v>
      </c>
      <c r="B19" s="20">
        <v>38.69</v>
      </c>
      <c r="C19" s="19">
        <v>3362.9989876496502</v>
      </c>
      <c r="D19" s="12"/>
      <c r="E19" s="30">
        <f>SUM(B19:B22)</f>
        <v>141.78</v>
      </c>
      <c r="F19" s="12"/>
      <c r="G19" s="5">
        <f>E19*12</f>
        <v>1701.3600000000001</v>
      </c>
      <c r="H19" s="5">
        <f>E19*14</f>
        <v>1984.92</v>
      </c>
      <c r="I19" s="5">
        <f>E19*15</f>
        <v>2126.6999999999998</v>
      </c>
      <c r="J19" s="5">
        <f>E19*16</f>
        <v>2268.48</v>
      </c>
      <c r="K19" s="5">
        <f>E19*18</f>
        <v>2552.04</v>
      </c>
      <c r="L19" s="5">
        <f>E19*21</f>
        <v>2977.38</v>
      </c>
      <c r="M19" s="5">
        <f>E19*24</f>
        <v>3402.7200000000003</v>
      </c>
      <c r="N19" s="5">
        <f>E19*27</f>
        <v>3828.06</v>
      </c>
    </row>
    <row r="20" spans="1:14" s="7" customFormat="1" x14ac:dyDescent="0.25">
      <c r="A20" s="4">
        <v>44012</v>
      </c>
      <c r="B20" s="20">
        <v>27.98</v>
      </c>
      <c r="C20" s="19">
        <v>3100.2851286595301</v>
      </c>
      <c r="D20" s="13"/>
      <c r="E20" s="30">
        <f>SUM(B20:B23)</f>
        <v>145.23000000000002</v>
      </c>
      <c r="F20" s="13"/>
      <c r="G20" s="5">
        <f>E20*12</f>
        <v>1742.7600000000002</v>
      </c>
      <c r="H20" s="5">
        <f>E20*14</f>
        <v>2033.2200000000003</v>
      </c>
      <c r="I20" s="5">
        <f>E20*15</f>
        <v>2178.4500000000003</v>
      </c>
      <c r="J20" s="5">
        <f>E20*16</f>
        <v>2323.6800000000003</v>
      </c>
      <c r="K20" s="5">
        <f>E20*18</f>
        <v>2614.1400000000003</v>
      </c>
      <c r="L20" s="5">
        <f>E20*21</f>
        <v>3049.8300000000004</v>
      </c>
      <c r="M20" s="5">
        <f>E20*24</f>
        <v>3485.5200000000004</v>
      </c>
      <c r="N20" s="5">
        <f>E20*27</f>
        <v>3921.2100000000005</v>
      </c>
    </row>
    <row r="21" spans="1:14" s="7" customFormat="1" x14ac:dyDescent="0.25">
      <c r="A21" s="4">
        <v>43921</v>
      </c>
      <c r="B21" s="20">
        <v>33.130000000000003</v>
      </c>
      <c r="C21" s="19">
        <v>2584.5907599343</v>
      </c>
      <c r="D21" s="14"/>
      <c r="E21" s="30">
        <f>SUM(B21:B24)</f>
        <v>158.56</v>
      </c>
      <c r="F21" s="14"/>
      <c r="G21" s="5">
        <f>E21*12</f>
        <v>1902.72</v>
      </c>
      <c r="H21" s="5">
        <f>E21*14</f>
        <v>2219.84</v>
      </c>
      <c r="I21" s="5">
        <f>E21*15</f>
        <v>2378.4</v>
      </c>
      <c r="J21" s="5">
        <f>E21*16</f>
        <v>2536.96</v>
      </c>
      <c r="K21" s="5">
        <f>E21*18</f>
        <v>2854.08</v>
      </c>
      <c r="L21" s="5">
        <f>E21*21</f>
        <v>3329.76</v>
      </c>
      <c r="M21" s="5">
        <f>E21*24</f>
        <v>3805.44</v>
      </c>
      <c r="N21" s="5">
        <f>E21*27</f>
        <v>4281.12</v>
      </c>
    </row>
    <row r="22" spans="1:14" s="7" customFormat="1" x14ac:dyDescent="0.25">
      <c r="A22" s="4">
        <v>43830</v>
      </c>
      <c r="B22" s="20">
        <v>41.98</v>
      </c>
      <c r="C22" s="19">
        <v>3230.7819500904302</v>
      </c>
      <c r="D22" s="11"/>
      <c r="E22" s="30">
        <f>SUM(B22:B25)</f>
        <v>164.58</v>
      </c>
      <c r="F22" s="11"/>
      <c r="G22" s="5">
        <f>E22*12</f>
        <v>1974.96</v>
      </c>
      <c r="H22" s="5">
        <f>E22*14</f>
        <v>2304.1200000000003</v>
      </c>
      <c r="I22" s="5">
        <f>E22*15</f>
        <v>2468.7000000000003</v>
      </c>
      <c r="J22" s="5">
        <f>E22*16</f>
        <v>2633.28</v>
      </c>
      <c r="K22" s="5">
        <f>E22*18</f>
        <v>2962.44</v>
      </c>
      <c r="L22" s="5">
        <f>E22*21</f>
        <v>3456.1800000000003</v>
      </c>
      <c r="M22" s="5">
        <f>E22*24</f>
        <v>3949.92</v>
      </c>
      <c r="N22" s="5">
        <f>E22*27</f>
        <v>4443.6600000000008</v>
      </c>
    </row>
    <row r="23" spans="1:14" s="7" customFormat="1" x14ac:dyDescent="0.25">
      <c r="A23" s="4">
        <v>43738</v>
      </c>
      <c r="B23" s="20">
        <v>42.14</v>
      </c>
      <c r="C23" s="19">
        <v>2976.73727174433</v>
      </c>
      <c r="D23" s="11"/>
      <c r="E23" s="30">
        <f>SUM(B23:B26)</f>
        <v>163.78</v>
      </c>
      <c r="F23" s="11"/>
      <c r="G23" s="5">
        <f>E23*12</f>
        <v>1965.3600000000001</v>
      </c>
      <c r="H23" s="5">
        <f>E23*14</f>
        <v>2292.92</v>
      </c>
      <c r="I23" s="5">
        <f>E23*15</f>
        <v>2456.6999999999998</v>
      </c>
      <c r="J23" s="5">
        <f>E23*16</f>
        <v>2620.48</v>
      </c>
      <c r="K23" s="5">
        <f>E23*18</f>
        <v>2948.04</v>
      </c>
      <c r="L23" s="5">
        <f>E23*21</f>
        <v>3439.38</v>
      </c>
      <c r="M23" s="5">
        <f>E23*24</f>
        <v>3930.7200000000003</v>
      </c>
      <c r="N23" s="5">
        <f>E23*27</f>
        <v>4422.0600000000004</v>
      </c>
    </row>
    <row r="24" spans="1:14" s="7" customFormat="1" x14ac:dyDescent="0.25">
      <c r="A24" s="4">
        <v>43644</v>
      </c>
      <c r="B24" s="20">
        <v>41.31</v>
      </c>
      <c r="C24" s="19">
        <v>2941.76</v>
      </c>
      <c r="D24" s="11"/>
      <c r="E24" s="30">
        <f>SUM(B24:B27)</f>
        <v>164.3</v>
      </c>
      <c r="F24" s="11"/>
      <c r="G24" s="5">
        <f>E24*12</f>
        <v>1971.6000000000001</v>
      </c>
      <c r="H24" s="5">
        <f>E24*14</f>
        <v>2300.2000000000003</v>
      </c>
      <c r="I24" s="5">
        <f>E24*15</f>
        <v>2464.5</v>
      </c>
      <c r="J24" s="5">
        <f>E24*16</f>
        <v>2628.8</v>
      </c>
      <c r="K24" s="5">
        <f>E24*18</f>
        <v>2957.4</v>
      </c>
      <c r="L24" s="5">
        <f>E24*21</f>
        <v>3450.3</v>
      </c>
      <c r="M24" s="5">
        <f>E24*24</f>
        <v>3943.2000000000003</v>
      </c>
      <c r="N24" s="5">
        <f>E24*27</f>
        <v>4436.1000000000004</v>
      </c>
    </row>
    <row r="25" spans="1:14" s="7" customFormat="1" x14ac:dyDescent="0.25">
      <c r="A25" s="4">
        <v>43553</v>
      </c>
      <c r="B25" s="20">
        <v>39.15</v>
      </c>
      <c r="C25" s="19">
        <v>2834.4</v>
      </c>
      <c r="D25" s="11"/>
      <c r="E25" s="30">
        <f>SUM(B25:B28)</f>
        <v>163.99</v>
      </c>
      <c r="F25" s="11"/>
      <c r="G25" s="5">
        <f>E25*12</f>
        <v>1967.88</v>
      </c>
      <c r="H25" s="5">
        <f>E25*14</f>
        <v>2295.86</v>
      </c>
      <c r="I25" s="5">
        <f>E25*15</f>
        <v>2459.8500000000004</v>
      </c>
      <c r="J25" s="5">
        <f>E25*16</f>
        <v>2623.84</v>
      </c>
      <c r="K25" s="5">
        <f>E25*18</f>
        <v>2951.82</v>
      </c>
      <c r="L25" s="5">
        <f>E25*21</f>
        <v>3443.79</v>
      </c>
      <c r="M25" s="5">
        <f>E25*24</f>
        <v>3935.76</v>
      </c>
      <c r="N25" s="5">
        <f>E25*27</f>
        <v>4427.7300000000005</v>
      </c>
    </row>
    <row r="26" spans="1:14" s="7" customFormat="1" ht="12.75" x14ac:dyDescent="0.2">
      <c r="A26" s="4">
        <v>43465</v>
      </c>
      <c r="B26" s="18">
        <v>41.18</v>
      </c>
      <c r="C26" s="19">
        <v>2506.8471826272198</v>
      </c>
      <c r="D26" s="11"/>
      <c r="E26" s="30">
        <f>SUM(B26:B29)</f>
        <v>162.91</v>
      </c>
      <c r="F26" s="11"/>
      <c r="G26" s="5">
        <f>E26*12</f>
        <v>1954.92</v>
      </c>
      <c r="H26" s="5">
        <f>E26*14</f>
        <v>2280.7399999999998</v>
      </c>
      <c r="I26" s="5">
        <f>E26*15</f>
        <v>2443.65</v>
      </c>
      <c r="J26" s="5">
        <f>E26*16</f>
        <v>2606.56</v>
      </c>
      <c r="K26" s="5">
        <f>E26*18</f>
        <v>2932.38</v>
      </c>
      <c r="L26" s="5">
        <f>E26*21</f>
        <v>3421.11</v>
      </c>
      <c r="M26" s="5">
        <f>E26*24</f>
        <v>3909.84</v>
      </c>
      <c r="N26" s="5">
        <f>E26*27</f>
        <v>4398.57</v>
      </c>
    </row>
    <row r="27" spans="1:14" s="7" customFormat="1" ht="12.75" x14ac:dyDescent="0.2">
      <c r="A27" s="4">
        <v>43371</v>
      </c>
      <c r="B27" s="18">
        <v>42.66</v>
      </c>
      <c r="C27" s="19">
        <v>2913.97813988603</v>
      </c>
      <c r="D27" s="11"/>
      <c r="E27" s="30">
        <f>SUM(B27:B30)</f>
        <v>157.75</v>
      </c>
      <c r="F27" s="11"/>
      <c r="G27" s="5">
        <f>E27*12</f>
        <v>1893</v>
      </c>
      <c r="H27" s="5">
        <f>E27*14</f>
        <v>2208.5</v>
      </c>
      <c r="I27" s="5">
        <f>E27*15</f>
        <v>2366.25</v>
      </c>
      <c r="J27" s="5">
        <f>E27*16</f>
        <v>2524</v>
      </c>
      <c r="K27" s="5">
        <f>E27*18</f>
        <v>2839.5</v>
      </c>
      <c r="L27" s="5">
        <f>E27*21</f>
        <v>3312.75</v>
      </c>
      <c r="M27" s="5">
        <f>E27*24</f>
        <v>3786</v>
      </c>
      <c r="N27" s="5">
        <f>E27*27</f>
        <v>4259.25</v>
      </c>
    </row>
    <row r="28" spans="1:14" s="7" customFormat="1" ht="12.75" x14ac:dyDescent="0.2">
      <c r="A28" s="4">
        <v>43280</v>
      </c>
      <c r="B28" s="18">
        <v>41</v>
      </c>
      <c r="C28" s="19">
        <v>2718.37</v>
      </c>
      <c r="D28" s="11"/>
      <c r="E28" s="30">
        <f>SUM(B28:B31)</f>
        <v>148.54000000000002</v>
      </c>
      <c r="F28" s="11"/>
      <c r="G28" s="5">
        <f>E28*12</f>
        <v>1782.4800000000002</v>
      </c>
      <c r="H28" s="5">
        <f>E28*14</f>
        <v>2079.5600000000004</v>
      </c>
      <c r="I28" s="5">
        <f>E28*15</f>
        <v>2228.1000000000004</v>
      </c>
      <c r="J28" s="5">
        <f>E28*16</f>
        <v>2376.6400000000003</v>
      </c>
      <c r="K28" s="5">
        <f>E28*18</f>
        <v>2673.7200000000003</v>
      </c>
      <c r="L28" s="5">
        <f>E28*21</f>
        <v>3119.3400000000006</v>
      </c>
      <c r="M28" s="5">
        <f>E28*24</f>
        <v>3564.9600000000005</v>
      </c>
      <c r="N28" s="5">
        <f>E28*27</f>
        <v>4010.5800000000004</v>
      </c>
    </row>
    <row r="29" spans="1:14" s="7" customFormat="1" ht="12.75" x14ac:dyDescent="0.2">
      <c r="A29" s="4">
        <v>43188</v>
      </c>
      <c r="B29" s="18">
        <v>38.07</v>
      </c>
      <c r="C29" s="19">
        <v>2640.8659903292901</v>
      </c>
      <c r="D29" s="11"/>
      <c r="E29" s="30">
        <f>SUM(B29:B32)</f>
        <v>140.12</v>
      </c>
      <c r="F29" s="11"/>
      <c r="G29" s="5">
        <f>E29*12</f>
        <v>1681.44</v>
      </c>
      <c r="H29" s="5">
        <f>E29*14</f>
        <v>1961.68</v>
      </c>
      <c r="I29" s="5">
        <f>E29*15</f>
        <v>2101.8000000000002</v>
      </c>
      <c r="J29" s="5">
        <f>E29*16</f>
        <v>2241.92</v>
      </c>
      <c r="K29" s="5">
        <f>E29*18</f>
        <v>2522.16</v>
      </c>
      <c r="L29" s="5">
        <f>E29*21</f>
        <v>2942.52</v>
      </c>
      <c r="M29" s="5">
        <f>E29*24</f>
        <v>3362.88</v>
      </c>
      <c r="N29" s="5">
        <f>E29*27</f>
        <v>3783.2400000000002</v>
      </c>
    </row>
    <row r="30" spans="1:14" s="7" customFormat="1" ht="12.75" x14ac:dyDescent="0.2">
      <c r="A30" s="4">
        <v>43098</v>
      </c>
      <c r="B30" s="18">
        <v>36.020000000000003</v>
      </c>
      <c r="C30" s="19">
        <v>2673.6105231517399</v>
      </c>
      <c r="D30" s="11"/>
      <c r="E30" s="30">
        <f>SUM(B30:B33)</f>
        <v>132.94999999999999</v>
      </c>
      <c r="F30" s="11"/>
      <c r="G30" s="5">
        <f>E30*12</f>
        <v>1595.3999999999999</v>
      </c>
      <c r="H30" s="5">
        <f>E30*14</f>
        <v>1861.2999999999997</v>
      </c>
      <c r="I30" s="5">
        <f>E30*15</f>
        <v>1994.2499999999998</v>
      </c>
      <c r="J30" s="5">
        <f>E30*16</f>
        <v>2127.1999999999998</v>
      </c>
      <c r="K30" s="5">
        <f>E30*18</f>
        <v>2393.1</v>
      </c>
      <c r="L30" s="5">
        <f>E30*21</f>
        <v>2791.95</v>
      </c>
      <c r="M30" s="5">
        <f>E30*24</f>
        <v>3190.7999999999997</v>
      </c>
      <c r="N30" s="5">
        <f>E30*27</f>
        <v>3589.6499999999996</v>
      </c>
    </row>
    <row r="31" spans="1:14" s="7" customFormat="1" ht="12.75" x14ac:dyDescent="0.2">
      <c r="A31" s="4">
        <v>43008</v>
      </c>
      <c r="B31" s="18">
        <v>33.450000000000003</v>
      </c>
      <c r="C31" s="19">
        <v>2519.3596719060702</v>
      </c>
      <c r="D31" s="11"/>
      <c r="E31" s="30">
        <f>SUM(B31:B34)</f>
        <v>128.23000000000002</v>
      </c>
      <c r="F31" s="11"/>
      <c r="G31" s="5">
        <f>E31*12</f>
        <v>1538.7600000000002</v>
      </c>
      <c r="H31" s="5">
        <f>E31*14</f>
        <v>1795.2200000000003</v>
      </c>
      <c r="I31" s="5">
        <f>E31*15</f>
        <v>1923.4500000000003</v>
      </c>
      <c r="J31" s="5">
        <f>E31*16</f>
        <v>2051.6800000000003</v>
      </c>
      <c r="K31" s="5">
        <f>E31*18</f>
        <v>2308.1400000000003</v>
      </c>
      <c r="L31" s="5">
        <f>E31*21</f>
        <v>2692.8300000000004</v>
      </c>
      <c r="M31" s="5">
        <f>E31*24</f>
        <v>3077.5200000000004</v>
      </c>
      <c r="N31" s="5">
        <f>E31*27</f>
        <v>3462.2100000000005</v>
      </c>
    </row>
    <row r="32" spans="1:14" s="7" customFormat="1" ht="12.75" x14ac:dyDescent="0.2">
      <c r="A32" s="4">
        <v>42916</v>
      </c>
      <c r="B32" s="18">
        <v>32.58</v>
      </c>
      <c r="C32" s="19">
        <v>2423.4088910629698</v>
      </c>
      <c r="D32" s="11"/>
      <c r="E32" s="30">
        <f>SUM(B32:B35)</f>
        <v>125.99000000000001</v>
      </c>
      <c r="F32" s="11"/>
      <c r="G32" s="5">
        <f>E32*12</f>
        <v>1511.88</v>
      </c>
      <c r="H32" s="5">
        <f>E32*14</f>
        <v>1763.8600000000001</v>
      </c>
      <c r="I32" s="5">
        <f>E32*15</f>
        <v>1889.8500000000001</v>
      </c>
      <c r="J32" s="5">
        <f>E32*16</f>
        <v>2015.8400000000001</v>
      </c>
      <c r="K32" s="5">
        <f>E32*18</f>
        <v>2267.8200000000002</v>
      </c>
      <c r="L32" s="5">
        <f>E32*21</f>
        <v>2645.79</v>
      </c>
      <c r="M32" s="5">
        <f>E32*24</f>
        <v>3023.76</v>
      </c>
      <c r="N32" s="5">
        <f>E32*27</f>
        <v>3401.7300000000005</v>
      </c>
    </row>
    <row r="33" spans="1:14" s="7" customFormat="1" ht="12.75" x14ac:dyDescent="0.2">
      <c r="A33" s="4">
        <v>42825</v>
      </c>
      <c r="B33" s="18">
        <v>30.9</v>
      </c>
      <c r="C33" s="19">
        <v>2362.7182203972902</v>
      </c>
      <c r="D33" s="11"/>
      <c r="E33" s="30">
        <f>SUM(B33:B36)</f>
        <v>123.02</v>
      </c>
      <c r="F33" s="11"/>
      <c r="G33" s="5">
        <f>E33*12</f>
        <v>1476.24</v>
      </c>
      <c r="H33" s="5">
        <f>E33*14</f>
        <v>1722.28</v>
      </c>
      <c r="I33" s="5">
        <f>E33*15</f>
        <v>1845.3</v>
      </c>
      <c r="J33" s="5">
        <f>E33*16</f>
        <v>1968.32</v>
      </c>
      <c r="K33" s="5">
        <f>E33*18</f>
        <v>2214.36</v>
      </c>
      <c r="L33" s="5">
        <f>E33*21</f>
        <v>2583.42</v>
      </c>
      <c r="M33" s="5">
        <f>E33*24</f>
        <v>2952.48</v>
      </c>
      <c r="N33" s="5">
        <f>E33*27</f>
        <v>3321.54</v>
      </c>
    </row>
    <row r="34" spans="1:14" s="7" customFormat="1" ht="12.75" x14ac:dyDescent="0.2">
      <c r="A34" s="4">
        <v>42735</v>
      </c>
      <c r="B34" s="18">
        <v>31.3</v>
      </c>
      <c r="C34" s="19">
        <v>2238.82668170754</v>
      </c>
      <c r="D34" s="11"/>
      <c r="E34" s="30">
        <f>SUM(B34:B37)</f>
        <v>119.08000000000001</v>
      </c>
      <c r="F34" s="11"/>
      <c r="G34" s="5">
        <f>E34*12</f>
        <v>1428.96</v>
      </c>
      <c r="H34" s="5">
        <f>E34*14</f>
        <v>1667.1200000000001</v>
      </c>
      <c r="I34" s="5">
        <f>E34*15</f>
        <v>1786.2000000000003</v>
      </c>
      <c r="J34" s="5">
        <f>E34*16</f>
        <v>1905.2800000000002</v>
      </c>
      <c r="K34" s="5">
        <f>E34*18</f>
        <v>2143.44</v>
      </c>
      <c r="L34" s="5">
        <f>E34*21</f>
        <v>2500.6800000000003</v>
      </c>
      <c r="M34" s="5">
        <f>E34*24</f>
        <v>2857.92</v>
      </c>
      <c r="N34" s="5">
        <f>E34*27</f>
        <v>3215.1600000000003</v>
      </c>
    </row>
    <row r="35" spans="1:14" s="7" customFormat="1" ht="12.75" x14ac:dyDescent="0.2">
      <c r="A35" s="4">
        <v>42643</v>
      </c>
      <c r="B35" s="18">
        <v>31.21</v>
      </c>
      <c r="C35" s="19">
        <v>2168.2720896372798</v>
      </c>
      <c r="D35" s="11"/>
      <c r="E35" s="30">
        <f>SUM(B35:B38)</f>
        <v>117.3</v>
      </c>
      <c r="F35" s="11"/>
      <c r="G35" s="5">
        <f>E35*12</f>
        <v>1407.6</v>
      </c>
      <c r="H35" s="5">
        <f>E35*14</f>
        <v>1642.2</v>
      </c>
      <c r="I35" s="5">
        <f>E35*15</f>
        <v>1759.5</v>
      </c>
      <c r="J35" s="5">
        <f>E35*16</f>
        <v>1876.8</v>
      </c>
      <c r="K35" s="5">
        <f>E35*18</f>
        <v>2111.4</v>
      </c>
      <c r="L35" s="5">
        <f>E35*21</f>
        <v>2463.2999999999997</v>
      </c>
      <c r="M35" s="5">
        <f>E35*24</f>
        <v>2815.2</v>
      </c>
      <c r="N35" s="5">
        <f>E35*27</f>
        <v>3167.1</v>
      </c>
    </row>
    <row r="36" spans="1:14" s="7" customFormat="1" ht="12.75" x14ac:dyDescent="0.2">
      <c r="A36" s="4">
        <v>42551</v>
      </c>
      <c r="B36" s="18">
        <v>29.61</v>
      </c>
      <c r="C36" s="19">
        <v>2098.8552265056101</v>
      </c>
      <c r="D36" s="11"/>
      <c r="E36" s="30">
        <f>SUM(B36:B39)</f>
        <v>116.08</v>
      </c>
      <c r="F36" s="11"/>
      <c r="G36" s="5">
        <f>E36*12</f>
        <v>1392.96</v>
      </c>
      <c r="H36" s="5">
        <f>E36*14</f>
        <v>1625.12</v>
      </c>
      <c r="I36" s="5">
        <f>E36*15</f>
        <v>1741.2</v>
      </c>
      <c r="J36" s="5">
        <f>E36*16</f>
        <v>1857.28</v>
      </c>
      <c r="K36" s="5">
        <f>E36*18</f>
        <v>2089.44</v>
      </c>
      <c r="L36" s="5">
        <f>E36*21</f>
        <v>2437.6799999999998</v>
      </c>
      <c r="M36" s="5">
        <f>E36*24</f>
        <v>2785.92</v>
      </c>
      <c r="N36" s="5">
        <f>E36*27</f>
        <v>3134.16</v>
      </c>
    </row>
    <row r="37" spans="1:14" s="7" customFormat="1" ht="12.75" x14ac:dyDescent="0.2">
      <c r="A37" s="4">
        <v>42460</v>
      </c>
      <c r="B37" s="18">
        <v>26.96</v>
      </c>
      <c r="C37" s="19">
        <v>2059.7411766011501</v>
      </c>
      <c r="D37" s="11"/>
      <c r="E37" s="30">
        <f>SUM(B37:B40)</f>
        <v>116.56</v>
      </c>
      <c r="F37" s="11"/>
      <c r="G37" s="5">
        <f>E37*12</f>
        <v>1398.72</v>
      </c>
      <c r="H37" s="5">
        <f>E37*14</f>
        <v>1631.8400000000001</v>
      </c>
      <c r="I37" s="5">
        <f>E37*15</f>
        <v>1748.4</v>
      </c>
      <c r="J37" s="5">
        <f>E37*16</f>
        <v>1864.96</v>
      </c>
      <c r="K37" s="5">
        <f>E37*18</f>
        <v>2098.08</v>
      </c>
      <c r="L37" s="5">
        <f>E37*21</f>
        <v>2447.7600000000002</v>
      </c>
      <c r="M37" s="5">
        <f>E37*24</f>
        <v>2797.44</v>
      </c>
      <c r="N37" s="5">
        <f>E37*27</f>
        <v>3147.12</v>
      </c>
    </row>
    <row r="38" spans="1:14" s="6" customFormat="1" ht="12.75" x14ac:dyDescent="0.2">
      <c r="A38" s="4">
        <v>42369</v>
      </c>
      <c r="B38" s="18">
        <v>29.52</v>
      </c>
      <c r="C38" s="19">
        <v>2043.9368626607099</v>
      </c>
      <c r="D38" s="11"/>
      <c r="E38" s="30">
        <f>SUM(B38:B41)</f>
        <v>118.19999999999999</v>
      </c>
      <c r="F38" s="11"/>
      <c r="G38" s="5">
        <f>E38*12</f>
        <v>1418.3999999999999</v>
      </c>
      <c r="H38" s="5">
        <f>E38*14</f>
        <v>1654.7999999999997</v>
      </c>
      <c r="I38" s="5">
        <f>E38*15</f>
        <v>1772.9999999999998</v>
      </c>
      <c r="J38" s="5">
        <f>E38*16</f>
        <v>1891.1999999999998</v>
      </c>
      <c r="K38" s="5">
        <f>E38*18</f>
        <v>2127.6</v>
      </c>
      <c r="L38" s="5">
        <f>E38*21</f>
        <v>2482.1999999999998</v>
      </c>
      <c r="M38" s="5">
        <f>E38*24</f>
        <v>2836.7999999999997</v>
      </c>
      <c r="N38" s="5">
        <f>E38*27</f>
        <v>3191.3999999999996</v>
      </c>
    </row>
    <row r="39" spans="1:14" s="7" customFormat="1" ht="12.75" x14ac:dyDescent="0.2">
      <c r="A39" s="4">
        <v>42277</v>
      </c>
      <c r="B39" s="18">
        <v>29.99</v>
      </c>
      <c r="C39" s="19">
        <v>1920.0265516397001</v>
      </c>
      <c r="D39" s="11"/>
      <c r="E39" s="30">
        <f>SUM(B39:B42)</f>
        <v>119.22</v>
      </c>
      <c r="F39" s="11"/>
      <c r="G39" s="5">
        <f>E39*12</f>
        <v>1430.6399999999999</v>
      </c>
      <c r="H39" s="5">
        <f>E39*14</f>
        <v>1669.08</v>
      </c>
      <c r="I39" s="5">
        <f>E39*15</f>
        <v>1788.3</v>
      </c>
      <c r="J39" s="5">
        <f>E39*16</f>
        <v>1907.52</v>
      </c>
      <c r="K39" s="5">
        <f>E39*18</f>
        <v>2145.96</v>
      </c>
      <c r="L39" s="5">
        <f>E39*21</f>
        <v>2503.62</v>
      </c>
      <c r="M39" s="5">
        <f>E39*24</f>
        <v>2861.2799999999997</v>
      </c>
      <c r="N39" s="5">
        <f>E39*27</f>
        <v>3218.94</v>
      </c>
    </row>
    <row r="40" spans="1:14" s="7" customFormat="1" ht="12.75" x14ac:dyDescent="0.2">
      <c r="A40" s="4">
        <v>42185</v>
      </c>
      <c r="B40" s="18">
        <v>30.09</v>
      </c>
      <c r="C40" s="19">
        <v>2063.1118322236698</v>
      </c>
      <c r="D40" s="11"/>
      <c r="E40" s="30">
        <f>SUM(B40:B43)</f>
        <v>119.26999999999998</v>
      </c>
      <c r="F40" s="11"/>
      <c r="G40" s="5">
        <f>E40*12</f>
        <v>1431.2399999999998</v>
      </c>
      <c r="H40" s="5">
        <f>E40*14</f>
        <v>1669.7799999999997</v>
      </c>
      <c r="I40" s="5">
        <f>E40*15</f>
        <v>1789.0499999999997</v>
      </c>
      <c r="J40" s="5">
        <f>E40*16</f>
        <v>1908.3199999999997</v>
      </c>
      <c r="K40" s="5">
        <f>E40*18</f>
        <v>2146.8599999999997</v>
      </c>
      <c r="L40" s="5">
        <f>E40*21</f>
        <v>2504.6699999999996</v>
      </c>
      <c r="M40" s="5">
        <f>E40*24</f>
        <v>2862.4799999999996</v>
      </c>
      <c r="N40" s="5">
        <f>E40*27</f>
        <v>3220.2899999999995</v>
      </c>
    </row>
    <row r="41" spans="1:14" s="7" customFormat="1" ht="12.75" x14ac:dyDescent="0.2">
      <c r="A41" s="4">
        <v>42094</v>
      </c>
      <c r="B41" s="18">
        <v>28.6</v>
      </c>
      <c r="C41" s="19">
        <v>2067.88724075851</v>
      </c>
      <c r="D41" s="11"/>
      <c r="E41" s="30">
        <f>SUM(B41:B44)</f>
        <v>119.25</v>
      </c>
      <c r="F41" s="11"/>
      <c r="G41" s="5">
        <f>E41*12</f>
        <v>1431</v>
      </c>
      <c r="H41" s="5">
        <f>E41*14</f>
        <v>1669.5</v>
      </c>
      <c r="I41" s="5">
        <f>E41*15</f>
        <v>1788.75</v>
      </c>
      <c r="J41" s="5">
        <f>E41*16</f>
        <v>1908</v>
      </c>
      <c r="K41" s="5">
        <f>E41*18</f>
        <v>2146.5</v>
      </c>
      <c r="L41" s="5">
        <f>E41*21</f>
        <v>2504.25</v>
      </c>
      <c r="M41" s="5">
        <f>E41*24</f>
        <v>2862</v>
      </c>
      <c r="N41" s="5">
        <f>E41*27</f>
        <v>3219.75</v>
      </c>
    </row>
    <row r="42" spans="1:14" s="7" customFormat="1" ht="12.75" x14ac:dyDescent="0.2">
      <c r="A42" s="4">
        <v>42004</v>
      </c>
      <c r="B42" s="18">
        <v>30.54</v>
      </c>
      <c r="C42" s="19">
        <v>2058.9023788568802</v>
      </c>
      <c r="D42" s="11"/>
      <c r="E42" s="30">
        <f>SUM(B42:B45)</f>
        <v>118.83000000000001</v>
      </c>
      <c r="F42" s="11"/>
      <c r="G42" s="5">
        <f>E42*12</f>
        <v>1425.96</v>
      </c>
      <c r="H42" s="5">
        <f>E42*14</f>
        <v>1663.6200000000001</v>
      </c>
      <c r="I42" s="5">
        <f>E42*15</f>
        <v>1782.4500000000003</v>
      </c>
      <c r="J42" s="5">
        <f>E42*16</f>
        <v>1901.2800000000002</v>
      </c>
      <c r="K42" s="5">
        <f>E42*18</f>
        <v>2138.94</v>
      </c>
      <c r="L42" s="5">
        <f>E42*21</f>
        <v>2495.4300000000003</v>
      </c>
      <c r="M42" s="5">
        <f>E42*24</f>
        <v>2851.92</v>
      </c>
      <c r="N42" s="5">
        <f>E42*27</f>
        <v>3208.4100000000003</v>
      </c>
    </row>
    <row r="43" spans="1:14" s="7" customFormat="1" ht="12.75" x14ac:dyDescent="0.2">
      <c r="A43" s="4">
        <v>41912</v>
      </c>
      <c r="B43" s="18">
        <v>30.04</v>
      </c>
      <c r="C43" s="19">
        <v>1972.28514504996</v>
      </c>
      <c r="D43" s="11"/>
      <c r="E43" s="30">
        <f>SUM(B43:B46)</f>
        <v>116.91</v>
      </c>
      <c r="F43" s="11"/>
      <c r="G43" s="5">
        <f>E43*12</f>
        <v>1402.92</v>
      </c>
      <c r="H43" s="5">
        <f>E43*14</f>
        <v>1636.74</v>
      </c>
      <c r="I43" s="5">
        <f>E43*15</f>
        <v>1753.6499999999999</v>
      </c>
      <c r="J43" s="5">
        <f>E43*16</f>
        <v>1870.56</v>
      </c>
      <c r="K43" s="5">
        <f>E43*18</f>
        <v>2104.38</v>
      </c>
      <c r="L43" s="5">
        <f>E43*21</f>
        <v>2455.11</v>
      </c>
      <c r="M43" s="5">
        <f>E43*24</f>
        <v>2805.84</v>
      </c>
      <c r="N43" s="5">
        <f>E43*27</f>
        <v>3156.5699999999997</v>
      </c>
    </row>
    <row r="44" spans="1:14" s="7" customFormat="1" ht="12.75" x14ac:dyDescent="0.2">
      <c r="A44" s="4">
        <v>41820</v>
      </c>
      <c r="B44" s="18">
        <v>30.07</v>
      </c>
      <c r="C44" s="19">
        <v>1960.23124036383</v>
      </c>
      <c r="D44" s="11"/>
      <c r="E44" s="30">
        <f>SUM(B44:B47)</f>
        <v>114.5</v>
      </c>
      <c r="F44" s="11"/>
      <c r="G44" s="5">
        <f>E44*12</f>
        <v>1374</v>
      </c>
      <c r="H44" s="5">
        <f>E44*14</f>
        <v>1603</v>
      </c>
      <c r="I44" s="5">
        <f>E44*15</f>
        <v>1717.5</v>
      </c>
      <c r="J44" s="5">
        <f>E44*16</f>
        <v>1832</v>
      </c>
      <c r="K44" s="5">
        <f>E44*18</f>
        <v>2061</v>
      </c>
      <c r="L44" s="5">
        <f>E44*21</f>
        <v>2404.5</v>
      </c>
      <c r="M44" s="5">
        <f>E44*24</f>
        <v>2748</v>
      </c>
      <c r="N44" s="5">
        <f>E44*27</f>
        <v>3091.5</v>
      </c>
    </row>
    <row r="45" spans="1:14" s="7" customFormat="1" ht="12.75" x14ac:dyDescent="0.2">
      <c r="A45" s="4">
        <v>41729</v>
      </c>
      <c r="B45" s="18">
        <v>28.18</v>
      </c>
      <c r="C45" s="19">
        <v>1872.33517921728</v>
      </c>
      <c r="D45" s="11"/>
      <c r="E45" s="30">
        <f>SUM(B45:B48)</f>
        <v>111.82999999999998</v>
      </c>
      <c r="F45" s="11"/>
      <c r="G45" s="5">
        <f>E45*12</f>
        <v>1341.9599999999998</v>
      </c>
      <c r="H45" s="5">
        <f>E45*14</f>
        <v>1565.62</v>
      </c>
      <c r="I45" s="5">
        <f>E45*15</f>
        <v>1677.4499999999998</v>
      </c>
      <c r="J45" s="5">
        <f>E45*16</f>
        <v>1789.2799999999997</v>
      </c>
      <c r="K45" s="5">
        <f>E45*18</f>
        <v>2012.9399999999996</v>
      </c>
      <c r="L45" s="5">
        <f>E45*21</f>
        <v>2348.4299999999998</v>
      </c>
      <c r="M45" s="5">
        <f>E45*24</f>
        <v>2683.9199999999996</v>
      </c>
      <c r="N45" s="5">
        <f>E45*27</f>
        <v>3019.4099999999994</v>
      </c>
    </row>
    <row r="46" spans="1:14" s="7" customFormat="1" ht="12.75" x14ac:dyDescent="0.2">
      <c r="A46" s="4">
        <v>41639</v>
      </c>
      <c r="B46" s="18">
        <v>28.62</v>
      </c>
      <c r="C46" s="19">
        <v>1848.3565209419301</v>
      </c>
      <c r="D46" s="11"/>
      <c r="E46" s="30">
        <f>SUM(B46:B49)</f>
        <v>110.39</v>
      </c>
      <c r="F46" s="11"/>
      <c r="G46" s="5">
        <f>E46*12</f>
        <v>1324.68</v>
      </c>
      <c r="H46" s="5">
        <f>E46*14</f>
        <v>1545.46</v>
      </c>
      <c r="I46" s="5">
        <f>E46*15</f>
        <v>1655.85</v>
      </c>
      <c r="J46" s="5">
        <f>E46*16</f>
        <v>1766.24</v>
      </c>
      <c r="K46" s="5">
        <f>E46*18</f>
        <v>1987.02</v>
      </c>
      <c r="L46" s="5">
        <f>E46*21</f>
        <v>2318.19</v>
      </c>
      <c r="M46" s="5">
        <f>E46*24</f>
        <v>2649.36</v>
      </c>
      <c r="N46" s="5">
        <f>E46*27</f>
        <v>2980.53</v>
      </c>
    </row>
    <row r="47" spans="1:14" s="7" customFormat="1" ht="12.75" x14ac:dyDescent="0.2">
      <c r="A47" s="4">
        <v>41547</v>
      </c>
      <c r="B47" s="18">
        <v>27.63</v>
      </c>
      <c r="C47" s="19">
        <v>1681.54666211214</v>
      </c>
      <c r="D47" s="11"/>
      <c r="E47" s="30">
        <f>SUM(B47:B50)</f>
        <v>108.09</v>
      </c>
      <c r="F47" s="11"/>
      <c r="G47" s="5">
        <f>E47*12</f>
        <v>1297.08</v>
      </c>
      <c r="H47" s="5">
        <f>E47*14</f>
        <v>1513.26</v>
      </c>
      <c r="I47" s="5">
        <f>E47*15</f>
        <v>1621.3500000000001</v>
      </c>
      <c r="J47" s="5">
        <f>E47*16</f>
        <v>1729.44</v>
      </c>
      <c r="K47" s="5">
        <f>E47*18</f>
        <v>1945.6200000000001</v>
      </c>
      <c r="L47" s="5">
        <f>E47*21</f>
        <v>2269.89</v>
      </c>
      <c r="M47" s="5">
        <f>E47*24</f>
        <v>2594.16</v>
      </c>
      <c r="N47" s="5">
        <f>E47*27</f>
        <v>2918.4300000000003</v>
      </c>
    </row>
    <row r="48" spans="1:14" s="7" customFormat="1" ht="12.75" x14ac:dyDescent="0.2">
      <c r="A48" s="4">
        <v>41455</v>
      </c>
      <c r="B48" s="18">
        <v>27.4</v>
      </c>
      <c r="C48" s="19">
        <v>1606.27760773726</v>
      </c>
      <c r="D48" s="11"/>
      <c r="E48" s="30">
        <f>SUM(B48:B51)</f>
        <v>106.46000000000001</v>
      </c>
      <c r="F48" s="11"/>
      <c r="G48" s="5">
        <f>E48*12</f>
        <v>1277.52</v>
      </c>
      <c r="H48" s="5">
        <f>E48*14</f>
        <v>1490.44</v>
      </c>
      <c r="I48" s="5">
        <f>E48*15</f>
        <v>1596.9</v>
      </c>
      <c r="J48" s="5">
        <f>E48*16</f>
        <v>1703.3600000000001</v>
      </c>
      <c r="K48" s="5">
        <f>E48*18</f>
        <v>1916.2800000000002</v>
      </c>
      <c r="L48" s="5">
        <f>E48*21</f>
        <v>2235.6600000000003</v>
      </c>
      <c r="M48" s="5">
        <f>E48*24</f>
        <v>2555.04</v>
      </c>
      <c r="N48" s="5">
        <f>E48*27</f>
        <v>2874.42</v>
      </c>
    </row>
    <row r="49" spans="1:14" s="7" customFormat="1" ht="12.75" x14ac:dyDescent="0.2">
      <c r="A49" s="4">
        <v>41364</v>
      </c>
      <c r="B49" s="18">
        <v>26.74</v>
      </c>
      <c r="C49" s="19">
        <v>1569.18587246845</v>
      </c>
      <c r="D49" s="11"/>
      <c r="E49" s="30">
        <f>SUM(B49:B52)</f>
        <v>104.9</v>
      </c>
      <c r="F49" s="11"/>
      <c r="G49" s="5">
        <f>E49*12</f>
        <v>1258.8000000000002</v>
      </c>
      <c r="H49" s="5">
        <f>E49*14</f>
        <v>1468.6000000000001</v>
      </c>
      <c r="I49" s="5">
        <f>E49*15</f>
        <v>1573.5</v>
      </c>
      <c r="J49" s="5">
        <f>E49*16</f>
        <v>1678.4</v>
      </c>
      <c r="K49" s="5">
        <f>E49*18</f>
        <v>1888.2</v>
      </c>
      <c r="L49" s="5">
        <f>E49*21</f>
        <v>2202.9</v>
      </c>
      <c r="M49" s="5">
        <f>E49*24</f>
        <v>2517.6000000000004</v>
      </c>
      <c r="N49" s="5">
        <f>E49*27</f>
        <v>2832.3</v>
      </c>
    </row>
    <row r="50" spans="1:14" s="7" customFormat="1" ht="12.75" x14ac:dyDescent="0.2">
      <c r="A50" s="4">
        <v>41274</v>
      </c>
      <c r="B50" s="21">
        <v>26.32</v>
      </c>
      <c r="C50" s="19">
        <v>1426.18797808055</v>
      </c>
      <c r="D50" s="11"/>
      <c r="E50" s="30">
        <f>SUM(B50:B53)</f>
        <v>103.75999999999999</v>
      </c>
      <c r="F50" s="11"/>
      <c r="G50" s="5">
        <f>E50*12</f>
        <v>1245.1199999999999</v>
      </c>
      <c r="H50" s="5">
        <f>E50*14</f>
        <v>1452.6399999999999</v>
      </c>
      <c r="I50" s="5">
        <f>E50*15</f>
        <v>1556.3999999999999</v>
      </c>
      <c r="J50" s="5">
        <f>E50*16</f>
        <v>1660.1599999999999</v>
      </c>
      <c r="K50" s="5">
        <f>E50*18</f>
        <v>1867.6799999999998</v>
      </c>
      <c r="L50" s="5">
        <f>E50*21</f>
        <v>2178.96</v>
      </c>
      <c r="M50" s="5">
        <f>E50*24</f>
        <v>2490.2399999999998</v>
      </c>
      <c r="N50" s="5">
        <f>E50*27</f>
        <v>2801.5199999999995</v>
      </c>
    </row>
    <row r="51" spans="1:14" s="7" customFormat="1" ht="12.75" x14ac:dyDescent="0.2">
      <c r="A51" s="4">
        <v>41182</v>
      </c>
      <c r="B51" s="21">
        <v>26</v>
      </c>
      <c r="C51" s="19">
        <v>1440.67450263613</v>
      </c>
      <c r="D51" s="11"/>
      <c r="E51" s="30">
        <f>SUM(B51:B54)</f>
        <v>101.99</v>
      </c>
      <c r="F51" s="11"/>
      <c r="G51" s="5">
        <f>E51*12</f>
        <v>1223.8799999999999</v>
      </c>
      <c r="H51" s="5">
        <f>E51*14</f>
        <v>1427.86</v>
      </c>
      <c r="I51" s="5">
        <f>E51*15</f>
        <v>1529.85</v>
      </c>
      <c r="J51" s="5">
        <f>E51*16</f>
        <v>1631.84</v>
      </c>
      <c r="K51" s="5">
        <f>E51*18</f>
        <v>1835.82</v>
      </c>
      <c r="L51" s="5">
        <f>E51*21</f>
        <v>2141.79</v>
      </c>
      <c r="M51" s="5">
        <f>E51*24</f>
        <v>2447.7599999999998</v>
      </c>
      <c r="N51" s="5">
        <f>E51*27</f>
        <v>2753.73</v>
      </c>
    </row>
    <row r="52" spans="1:14" s="7" customFormat="1" ht="12.75" x14ac:dyDescent="0.2">
      <c r="A52" s="4">
        <v>41090</v>
      </c>
      <c r="B52" s="21">
        <v>25.84</v>
      </c>
      <c r="C52" s="19">
        <v>1362.1587454406599</v>
      </c>
      <c r="D52" s="11"/>
      <c r="E52" s="30">
        <f>SUM(B52:B55)</f>
        <v>101.63999999999999</v>
      </c>
      <c r="F52" s="11"/>
      <c r="G52" s="5">
        <f>E52*12</f>
        <v>1219.6799999999998</v>
      </c>
      <c r="H52" s="5">
        <f>E52*14</f>
        <v>1422.9599999999998</v>
      </c>
      <c r="I52" s="5">
        <f>E52*15</f>
        <v>1524.6</v>
      </c>
      <c r="J52" s="5">
        <f>E52*16</f>
        <v>1626.2399999999998</v>
      </c>
      <c r="K52" s="5">
        <f>E52*18</f>
        <v>1829.5199999999998</v>
      </c>
      <c r="L52" s="5">
        <f>E52*21</f>
        <v>2134.4399999999996</v>
      </c>
      <c r="M52" s="5">
        <f>E52*24</f>
        <v>2439.3599999999997</v>
      </c>
      <c r="N52" s="5">
        <f>E52*27</f>
        <v>2744.2799999999997</v>
      </c>
    </row>
    <row r="53" spans="1:14" s="6" customFormat="1" ht="12.75" x14ac:dyDescent="0.2">
      <c r="A53" s="4">
        <v>40999</v>
      </c>
      <c r="B53" s="21">
        <v>25.6</v>
      </c>
      <c r="C53" s="19">
        <v>1408.46786041941</v>
      </c>
      <c r="D53" s="11"/>
      <c r="E53" s="30">
        <f>SUM(B53:B56)</f>
        <v>99.940000000000012</v>
      </c>
      <c r="F53" s="11"/>
      <c r="G53" s="5">
        <f>E53*12</f>
        <v>1199.2800000000002</v>
      </c>
      <c r="H53" s="5">
        <f>E53*14</f>
        <v>1399.16</v>
      </c>
      <c r="I53" s="5">
        <f>E53*15</f>
        <v>1499.1000000000001</v>
      </c>
      <c r="J53" s="5">
        <f>E53*16</f>
        <v>1599.0400000000002</v>
      </c>
      <c r="K53" s="5">
        <f>E53*18</f>
        <v>1798.9200000000003</v>
      </c>
      <c r="L53" s="5">
        <f>E53*21</f>
        <v>2098.7400000000002</v>
      </c>
      <c r="M53" s="5">
        <f>E53*24</f>
        <v>2398.5600000000004</v>
      </c>
      <c r="N53" s="5">
        <f>E53*27</f>
        <v>2698.38</v>
      </c>
    </row>
    <row r="54" spans="1:14" s="6" customFormat="1" ht="12.75" x14ac:dyDescent="0.2">
      <c r="A54" s="4">
        <v>40908</v>
      </c>
      <c r="B54" s="18">
        <v>24.55</v>
      </c>
      <c r="C54" s="19">
        <v>1257.60480453436</v>
      </c>
      <c r="D54" s="11"/>
      <c r="E54" s="30">
        <f>SUM(B54:B57)</f>
        <v>97.84</v>
      </c>
      <c r="F54" s="11"/>
      <c r="G54" s="5">
        <f>E54*12</f>
        <v>1174.08</v>
      </c>
      <c r="H54" s="5">
        <f>E54*14</f>
        <v>1369.76</v>
      </c>
      <c r="I54" s="5">
        <f>E54*15</f>
        <v>1467.6000000000001</v>
      </c>
      <c r="J54" s="5">
        <f>E54*16</f>
        <v>1565.44</v>
      </c>
      <c r="K54" s="5">
        <f>E54*18</f>
        <v>1761.1200000000001</v>
      </c>
      <c r="L54" s="5">
        <f>E54*21</f>
        <v>2054.64</v>
      </c>
      <c r="M54" s="5">
        <f>E54*24</f>
        <v>2348.16</v>
      </c>
      <c r="N54" s="5">
        <f>E54*27</f>
        <v>2641.6800000000003</v>
      </c>
    </row>
    <row r="55" spans="1:14" s="7" customFormat="1" ht="12.75" x14ac:dyDescent="0.2">
      <c r="A55" s="4">
        <v>40816</v>
      </c>
      <c r="B55" s="18">
        <v>25.65</v>
      </c>
      <c r="C55" s="19">
        <v>1131.42036008329</v>
      </c>
      <c r="D55" s="11"/>
      <c r="E55" s="30">
        <f>SUM(B55:B58)</f>
        <v>95.839999999999989</v>
      </c>
      <c r="F55" s="11"/>
      <c r="G55" s="5">
        <f>E55*12</f>
        <v>1150.08</v>
      </c>
      <c r="H55" s="5">
        <f>E55*14</f>
        <v>1341.7599999999998</v>
      </c>
      <c r="I55" s="5">
        <f>E55*15</f>
        <v>1437.6</v>
      </c>
      <c r="J55" s="5">
        <f>E55*16</f>
        <v>1533.4399999999998</v>
      </c>
      <c r="K55" s="5">
        <f>E55*18</f>
        <v>1725.12</v>
      </c>
      <c r="L55" s="5">
        <f>E55*21</f>
        <v>2012.6399999999999</v>
      </c>
      <c r="M55" s="5">
        <f>E55*24</f>
        <v>2300.16</v>
      </c>
      <c r="N55" s="5">
        <f>E55*27</f>
        <v>2587.6799999999998</v>
      </c>
    </row>
    <row r="56" spans="1:14" s="7" customFormat="1" ht="12.75" x14ac:dyDescent="0.2">
      <c r="A56" s="4">
        <v>40724</v>
      </c>
      <c r="B56" s="18">
        <v>24.14</v>
      </c>
      <c r="C56" s="19">
        <v>1320.63904926284</v>
      </c>
      <c r="D56" s="11"/>
      <c r="E56" s="30">
        <f>SUM(B56:B59)</f>
        <v>91.94</v>
      </c>
      <c r="F56" s="11"/>
      <c r="G56" s="5">
        <f>E56*12</f>
        <v>1103.28</v>
      </c>
      <c r="H56" s="5">
        <f>E56*14</f>
        <v>1287.1599999999999</v>
      </c>
      <c r="I56" s="5">
        <f>E56*15</f>
        <v>1379.1</v>
      </c>
      <c r="J56" s="5">
        <f>E56*16</f>
        <v>1471.04</v>
      </c>
      <c r="K56" s="5">
        <f>E56*18</f>
        <v>1654.92</v>
      </c>
      <c r="L56" s="5">
        <f>E56*21</f>
        <v>1930.74</v>
      </c>
      <c r="M56" s="5">
        <f>E56*24</f>
        <v>2206.56</v>
      </c>
      <c r="N56" s="5">
        <f>E56*27</f>
        <v>2482.38</v>
      </c>
    </row>
    <row r="57" spans="1:14" s="7" customFormat="1" ht="12.75" x14ac:dyDescent="0.2">
      <c r="A57" s="4">
        <v>40633</v>
      </c>
      <c r="B57" s="18">
        <v>23.5</v>
      </c>
      <c r="C57" s="19">
        <v>1325.82671751112</v>
      </c>
      <c r="D57" s="11"/>
      <c r="E57" s="30">
        <f>SUM(B57:B60)</f>
        <v>89.28</v>
      </c>
      <c r="F57" s="11"/>
      <c r="G57" s="5">
        <f>E57*12</f>
        <v>1071.3600000000001</v>
      </c>
      <c r="H57" s="5">
        <f>E57*14</f>
        <v>1249.92</v>
      </c>
      <c r="I57" s="5">
        <f>E57*15</f>
        <v>1339.2</v>
      </c>
      <c r="J57" s="5">
        <f>E57*16</f>
        <v>1428.48</v>
      </c>
      <c r="K57" s="5">
        <f>E57*18</f>
        <v>1607.04</v>
      </c>
      <c r="L57" s="5">
        <f>E57*21</f>
        <v>1874.88</v>
      </c>
      <c r="M57" s="5">
        <f>E57*24</f>
        <v>2142.7200000000003</v>
      </c>
      <c r="N57" s="5">
        <f>E57*27</f>
        <v>2410.56</v>
      </c>
    </row>
    <row r="58" spans="1:14" s="6" customFormat="1" ht="12.75" x14ac:dyDescent="0.2">
      <c r="A58" s="4">
        <v>40543</v>
      </c>
      <c r="B58" s="18">
        <v>22.55</v>
      </c>
      <c r="C58" s="19">
        <v>1257.63598797798</v>
      </c>
      <c r="D58" s="11"/>
      <c r="E58" s="30">
        <f>SUM(B58:B61)</f>
        <v>85.490000000000009</v>
      </c>
      <c r="F58" s="11"/>
      <c r="G58" s="5">
        <f>E58*12</f>
        <v>1025.8800000000001</v>
      </c>
      <c r="H58" s="5">
        <f>E58*14</f>
        <v>1196.8600000000001</v>
      </c>
      <c r="I58" s="5">
        <f>E58*15</f>
        <v>1282.3500000000001</v>
      </c>
      <c r="J58" s="5">
        <f>E58*16</f>
        <v>1367.8400000000001</v>
      </c>
      <c r="K58" s="5">
        <f>E58*18</f>
        <v>1538.8200000000002</v>
      </c>
      <c r="L58" s="5">
        <f>E58*21</f>
        <v>1795.2900000000002</v>
      </c>
      <c r="M58" s="5">
        <f>E58*24</f>
        <v>2051.7600000000002</v>
      </c>
      <c r="N58" s="5">
        <f>E58*27</f>
        <v>2308.2300000000005</v>
      </c>
    </row>
    <row r="59" spans="1:14" s="6" customFormat="1" x14ac:dyDescent="0.25">
      <c r="A59" s="4">
        <v>40451</v>
      </c>
      <c r="B59" s="18">
        <v>21.75</v>
      </c>
      <c r="C59" s="22">
        <v>1141.20115690593</v>
      </c>
      <c r="D59" s="11"/>
      <c r="E59" s="30">
        <f>SUM(B59:B62)</f>
        <v>79.740000000000009</v>
      </c>
      <c r="F59" s="11"/>
      <c r="G59" s="5">
        <f>E59*12</f>
        <v>956.88000000000011</v>
      </c>
      <c r="H59" s="5">
        <f>E59*14</f>
        <v>1116.3600000000001</v>
      </c>
      <c r="I59" s="5">
        <f>E59*15</f>
        <v>1196.1000000000001</v>
      </c>
      <c r="J59" s="5">
        <f>E59*16</f>
        <v>1275.8400000000001</v>
      </c>
      <c r="K59" s="5">
        <f>E59*18</f>
        <v>1435.3200000000002</v>
      </c>
      <c r="L59" s="5">
        <f>E59*21</f>
        <v>1674.5400000000002</v>
      </c>
      <c r="M59" s="5">
        <f>E59*24</f>
        <v>1913.7600000000002</v>
      </c>
      <c r="N59" s="5">
        <f>E59*27</f>
        <v>2152.9800000000005</v>
      </c>
    </row>
    <row r="60" spans="1:14" s="6" customFormat="1" ht="12.75" x14ac:dyDescent="0.2">
      <c r="A60" s="4">
        <v>40359</v>
      </c>
      <c r="B60" s="18">
        <v>21.48</v>
      </c>
      <c r="C60" s="19">
        <v>1030.71008330308</v>
      </c>
      <c r="D60" s="11"/>
      <c r="E60" s="30">
        <f>SUM(B60:B63)</f>
        <v>74.349999999999994</v>
      </c>
      <c r="F60" s="11"/>
      <c r="G60" s="5">
        <f>E60*12</f>
        <v>892.19999999999993</v>
      </c>
      <c r="H60" s="5">
        <f>E60*14</f>
        <v>1040.8999999999999</v>
      </c>
      <c r="I60" s="5">
        <f>E60*15</f>
        <v>1115.25</v>
      </c>
      <c r="J60" s="5">
        <f>E60*16</f>
        <v>1189.5999999999999</v>
      </c>
      <c r="K60" s="5">
        <f>E60*18</f>
        <v>1338.3</v>
      </c>
      <c r="L60" s="5">
        <f>E60*21</f>
        <v>1561.35</v>
      </c>
      <c r="M60" s="5">
        <f>E60*24</f>
        <v>1784.3999999999999</v>
      </c>
      <c r="N60" s="5">
        <f>E60*27</f>
        <v>2007.4499999999998</v>
      </c>
    </row>
    <row r="61" spans="1:14" s="6" customFormat="1" ht="12.75" x14ac:dyDescent="0.2">
      <c r="A61" s="4">
        <v>40268</v>
      </c>
      <c r="B61" s="18">
        <v>19.71</v>
      </c>
      <c r="C61" s="19">
        <v>1169.43119269817</v>
      </c>
      <c r="D61" s="11"/>
      <c r="E61" s="30">
        <f>SUM(B61:B64)</f>
        <v>68.900000000000006</v>
      </c>
      <c r="F61" s="11"/>
      <c r="G61" s="5">
        <f>E61*12</f>
        <v>826.80000000000007</v>
      </c>
      <c r="H61" s="5">
        <f>E61*14</f>
        <v>964.60000000000014</v>
      </c>
      <c r="I61" s="5">
        <f>E61*15</f>
        <v>1033.5</v>
      </c>
      <c r="J61" s="5">
        <f>E61*16</f>
        <v>1102.4000000000001</v>
      </c>
      <c r="K61" s="5">
        <f>E61*18</f>
        <v>1240.2</v>
      </c>
      <c r="L61" s="5">
        <f>E61*21</f>
        <v>1446.9</v>
      </c>
      <c r="M61" s="5">
        <f>E61*24</f>
        <v>1653.6000000000001</v>
      </c>
      <c r="N61" s="5">
        <f>E61*27</f>
        <v>1860.3000000000002</v>
      </c>
    </row>
    <row r="62" spans="1:14" s="7" customFormat="1" x14ac:dyDescent="0.25">
      <c r="A62" s="4">
        <v>40178</v>
      </c>
      <c r="B62" s="23">
        <v>16.8</v>
      </c>
      <c r="C62" s="24">
        <v>1115.0999999999999</v>
      </c>
      <c r="D62" s="11"/>
      <c r="E62" s="30">
        <f>SUM(B62:B65)</f>
        <v>62.019999999999996</v>
      </c>
      <c r="F62" s="11"/>
      <c r="G62" s="5">
        <f>E62*12</f>
        <v>744.24</v>
      </c>
      <c r="H62" s="5">
        <f>E62*14</f>
        <v>868.28</v>
      </c>
      <c r="I62" s="5">
        <f>E62*15</f>
        <v>930.3</v>
      </c>
      <c r="J62" s="5">
        <f>E62*16</f>
        <v>992.31999999999994</v>
      </c>
      <c r="K62" s="5">
        <f>E62*18</f>
        <v>1116.3599999999999</v>
      </c>
      <c r="L62" s="5">
        <f>E62*21</f>
        <v>1302.4199999999998</v>
      </c>
      <c r="M62" s="5">
        <f>E62*24</f>
        <v>1488.48</v>
      </c>
      <c r="N62" s="5">
        <f>E62*27</f>
        <v>1674.54</v>
      </c>
    </row>
    <row r="63" spans="1:14" s="6" customFormat="1" ht="12.75" x14ac:dyDescent="0.2">
      <c r="A63" s="4">
        <v>40086</v>
      </c>
      <c r="B63" s="25">
        <v>16.36</v>
      </c>
      <c r="C63" s="19">
        <v>1057.0786000000001</v>
      </c>
      <c r="D63" s="11"/>
      <c r="E63" s="30">
        <f>SUM(B63:B66)</f>
        <v>50.839999999999996</v>
      </c>
      <c r="F63" s="11"/>
      <c r="G63" s="5">
        <f>E63*12</f>
        <v>610.07999999999993</v>
      </c>
      <c r="H63" s="5">
        <f>E63*14</f>
        <v>711.76</v>
      </c>
      <c r="I63" s="5">
        <f>E63*15</f>
        <v>762.59999999999991</v>
      </c>
      <c r="J63" s="5">
        <f>E63*16</f>
        <v>813.43999999999994</v>
      </c>
      <c r="K63" s="5">
        <f>E63*18</f>
        <v>915.11999999999989</v>
      </c>
      <c r="L63" s="5">
        <f>E63*21</f>
        <v>1067.6399999999999</v>
      </c>
      <c r="M63" s="5">
        <f>E63*24</f>
        <v>1220.1599999999999</v>
      </c>
      <c r="N63" s="5">
        <f>E63*27</f>
        <v>1372.6799999999998</v>
      </c>
    </row>
    <row r="64" spans="1:14" s="6" customFormat="1" ht="12.75" x14ac:dyDescent="0.2">
      <c r="A64" s="4">
        <v>39994</v>
      </c>
      <c r="B64" s="18">
        <v>16.03</v>
      </c>
      <c r="C64" s="19">
        <v>919.32</v>
      </c>
      <c r="D64" s="11"/>
      <c r="E64" s="30">
        <f>SUM(B64:B67)</f>
        <v>51.97</v>
      </c>
      <c r="F64" s="11"/>
      <c r="G64" s="5">
        <f>E64*12</f>
        <v>623.64</v>
      </c>
      <c r="H64" s="5">
        <f>E64*14</f>
        <v>727.57999999999993</v>
      </c>
      <c r="I64" s="5">
        <f>E64*15</f>
        <v>779.55</v>
      </c>
      <c r="J64" s="5">
        <f>E64*16</f>
        <v>831.52</v>
      </c>
      <c r="K64" s="5">
        <f>E64*18</f>
        <v>935.46</v>
      </c>
      <c r="L64" s="5">
        <f>E64*21</f>
        <v>1091.3699999999999</v>
      </c>
      <c r="M64" s="5">
        <f>E64*24</f>
        <v>1247.28</v>
      </c>
      <c r="N64" s="5">
        <f>E64*27</f>
        <v>1403.19</v>
      </c>
    </row>
    <row r="65" spans="1:14" s="6" customFormat="1" ht="12.75" x14ac:dyDescent="0.2">
      <c r="A65" s="4">
        <v>39903</v>
      </c>
      <c r="B65" s="18">
        <v>12.83</v>
      </c>
      <c r="C65" s="19">
        <v>797.86699999999996</v>
      </c>
      <c r="D65" s="11"/>
      <c r="E65" s="30">
        <f>SUM(B65:B68)</f>
        <v>55.72</v>
      </c>
      <c r="F65" s="11"/>
      <c r="G65" s="5">
        <f>E65*12</f>
        <v>668.64</v>
      </c>
      <c r="H65" s="5">
        <f>E65*14</f>
        <v>780.07999999999993</v>
      </c>
      <c r="I65" s="5">
        <f>E65*15</f>
        <v>835.8</v>
      </c>
      <c r="J65" s="5">
        <f>E65*16</f>
        <v>891.52</v>
      </c>
      <c r="K65" s="5">
        <f>E65*18</f>
        <v>1002.96</v>
      </c>
      <c r="L65" s="5">
        <f>E65*21</f>
        <v>1170.1199999999999</v>
      </c>
      <c r="M65" s="5">
        <f>E65*24</f>
        <v>1337.28</v>
      </c>
      <c r="N65" s="5">
        <f>E65*27</f>
        <v>1504.44</v>
      </c>
    </row>
    <row r="66" spans="1:14" s="8" customFormat="1" x14ac:dyDescent="0.25">
      <c r="A66" s="4">
        <v>39813</v>
      </c>
      <c r="B66" s="26">
        <v>5.62</v>
      </c>
      <c r="C66" s="22">
        <v>903.25</v>
      </c>
      <c r="D66" s="11"/>
      <c r="E66" s="30">
        <f>SUM(B66:B69)</f>
        <v>61.85</v>
      </c>
      <c r="F66" s="11"/>
      <c r="G66" s="5">
        <f>E66*12</f>
        <v>742.2</v>
      </c>
      <c r="H66" s="5">
        <f>E66*14</f>
        <v>865.9</v>
      </c>
      <c r="I66" s="5">
        <f>E66*15</f>
        <v>927.75</v>
      </c>
      <c r="J66" s="5">
        <f>E66*16</f>
        <v>989.6</v>
      </c>
      <c r="K66" s="5">
        <f>E66*18</f>
        <v>1113.3</v>
      </c>
      <c r="L66" s="5">
        <f>E66*21</f>
        <v>1298.8500000000001</v>
      </c>
      <c r="M66" s="5">
        <f>E66*24</f>
        <v>1484.4</v>
      </c>
      <c r="N66" s="5">
        <f>E66*27</f>
        <v>1669.95</v>
      </c>
    </row>
    <row r="67" spans="1:14" s="8" customFormat="1" x14ac:dyDescent="0.25">
      <c r="A67" s="4">
        <v>39721</v>
      </c>
      <c r="B67" s="27">
        <v>17.489999999999998</v>
      </c>
      <c r="C67" s="22">
        <v>1166.361418</v>
      </c>
      <c r="D67" s="11"/>
      <c r="E67" s="30">
        <f>SUM(B67:B69)</f>
        <v>56.23</v>
      </c>
      <c r="F67" s="11"/>
      <c r="G67" s="5">
        <f>E67*12</f>
        <v>674.76</v>
      </c>
      <c r="H67" s="5">
        <f>E67*14</f>
        <v>787.21999999999991</v>
      </c>
      <c r="I67" s="5">
        <f>E67*15</f>
        <v>843.44999999999993</v>
      </c>
      <c r="J67" s="5">
        <f>E67*16</f>
        <v>899.68</v>
      </c>
      <c r="K67" s="5">
        <f>E67*18</f>
        <v>1012.14</v>
      </c>
      <c r="L67" s="5">
        <f>E67*21</f>
        <v>1180.83</v>
      </c>
      <c r="M67" s="5">
        <f>E67*24</f>
        <v>1349.52</v>
      </c>
      <c r="N67" s="5">
        <f>E67*27</f>
        <v>1518.2099999999998</v>
      </c>
    </row>
    <row r="68" spans="1:14" s="8" customFormat="1" x14ac:dyDescent="0.25">
      <c r="A68" s="4">
        <v>39629</v>
      </c>
      <c r="B68" s="27">
        <v>19.78</v>
      </c>
      <c r="C68" s="22">
        <v>1280.001</v>
      </c>
      <c r="D68" s="11"/>
      <c r="E68" s="30">
        <f>SUM(B68:B69)</f>
        <v>38.74</v>
      </c>
      <c r="F68" s="11"/>
      <c r="G68" s="5">
        <f>E68*12</f>
        <v>464.88</v>
      </c>
      <c r="H68" s="5">
        <f>E68*14</f>
        <v>542.36</v>
      </c>
      <c r="I68" s="5">
        <f>E68*15</f>
        <v>581.1</v>
      </c>
      <c r="J68" s="5">
        <f>E68*16</f>
        <v>619.84</v>
      </c>
      <c r="K68" s="5">
        <f>E68*18</f>
        <v>697.32</v>
      </c>
      <c r="L68" s="5">
        <f>E68*21</f>
        <v>813.54000000000008</v>
      </c>
      <c r="M68" s="5">
        <f>E68*24</f>
        <v>929.76</v>
      </c>
      <c r="N68" s="5">
        <f>E68*27</f>
        <v>1045.98</v>
      </c>
    </row>
    <row r="69" spans="1:14" s="8" customFormat="1" x14ac:dyDescent="0.25">
      <c r="A69" s="4">
        <v>39538</v>
      </c>
      <c r="B69" s="26">
        <v>18.96</v>
      </c>
      <c r="C69" s="22">
        <v>1322.703</v>
      </c>
      <c r="D69" s="11"/>
      <c r="E69" s="30">
        <f>SUM(B69:B69)</f>
        <v>18.96</v>
      </c>
      <c r="F69" s="11"/>
      <c r="G69" s="5">
        <f>E69*12</f>
        <v>227.52</v>
      </c>
      <c r="H69" s="5">
        <f>E69*14</f>
        <v>265.44</v>
      </c>
      <c r="I69" s="5">
        <f>E69*15</f>
        <v>284.40000000000003</v>
      </c>
      <c r="J69" s="5">
        <f>E69*16</f>
        <v>303.36</v>
      </c>
      <c r="K69" s="5">
        <f>E69*18</f>
        <v>341.28000000000003</v>
      </c>
      <c r="L69" s="5">
        <f>E69*21</f>
        <v>398.16</v>
      </c>
      <c r="M69" s="5">
        <f>E69*24</f>
        <v>455.04</v>
      </c>
      <c r="N69" s="5">
        <f>E69*27</f>
        <v>511.92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24BF8-0F3C-4D9B-BEB3-E1F6CD5545CA}">
  <dimension ref="A2:AC38"/>
  <sheetViews>
    <sheetView workbookViewId="0">
      <selection activeCell="L42" sqref="L42"/>
    </sheetView>
  </sheetViews>
  <sheetFormatPr defaultRowHeight="15" x14ac:dyDescent="0.25"/>
  <sheetData>
    <row r="2" spans="1:29" x14ac:dyDescent="0.25">
      <c r="A2" s="2" t="s">
        <v>11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spans="1:29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</row>
    <row r="6" spans="1:29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</row>
    <row r="7" spans="1:29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</row>
    <row r="8" spans="1:29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</row>
    <row r="9" spans="1:29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</row>
    <row r="10" spans="1:29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</row>
    <row r="11" spans="1:29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</row>
    <row r="12" spans="1:29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</row>
    <row r="13" spans="1:29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</row>
    <row r="14" spans="1:29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</row>
    <row r="15" spans="1:29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</row>
    <row r="16" spans="1:29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</row>
    <row r="17" spans="1:29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</row>
    <row r="18" spans="1:29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</row>
    <row r="19" spans="1:29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</row>
    <row r="20" spans="1:29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</row>
    <row r="21" spans="1:29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</row>
    <row r="22" spans="1:29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</row>
    <row r="23" spans="1:29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</row>
    <row r="24" spans="1:29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</row>
    <row r="25" spans="1:29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</row>
    <row r="26" spans="1:29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</row>
    <row r="27" spans="1:29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</row>
    <row r="28" spans="1:29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</row>
    <row r="29" spans="1:29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</row>
    <row r="30" spans="1:29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</row>
    <row r="31" spans="1:29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</row>
    <row r="32" spans="1:29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29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</row>
    <row r="34" spans="1:2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</row>
    <row r="35" spans="1:29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</row>
    <row r="36" spans="1:29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</row>
    <row r="37" spans="1:29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</row>
    <row r="38" spans="1:2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</row>
  </sheetData>
  <mergeCells count="1">
    <mergeCell ref="A2:AC3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Chart-Quarterly</vt:lpstr>
      <vt:lpstr>Earnings-Yearly</vt:lpstr>
      <vt:lpstr>Earnings-Quarterly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Sundeep Chadha</cp:lastModifiedBy>
  <dcterms:created xsi:type="dcterms:W3CDTF">2015-06-05T18:17:20Z</dcterms:created>
  <dcterms:modified xsi:type="dcterms:W3CDTF">2022-10-18T23:14:39Z</dcterms:modified>
</cp:coreProperties>
</file>