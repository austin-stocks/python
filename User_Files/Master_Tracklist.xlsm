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620CB718-1F28-4C2B-86ED-06A5E4146E12}" xr6:coauthVersionLast="47" xr6:coauthVersionMax="47" xr10:uidLastSave="{00000000-0000-0000-0000-000000000000}"/>
  <bookViews>
    <workbookView xWindow="-120" yWindow="-120" windowWidth="29040" windowHeight="15720" xr2:uid="{00000000-000D-0000-FFFF-FFFF00000000}"/>
  </bookViews>
  <sheets>
    <sheet name="Main" sheetId="1" r:id="rId1"/>
    <sheet name="Sheet1" sheetId="39" r:id="rId2"/>
    <sheet name="Useful_Notes" sheetId="16" r:id="rId3"/>
    <sheet name="Sources" sheetId="37" r:id="rId4"/>
    <sheet name="Market_Notes" sheetId="36" r:id="rId5"/>
    <sheet name="Linovia-TopShelf" sheetId="42" r:id="rId6"/>
    <sheet name="Potentials" sheetId="41" r:id="rId7"/>
    <sheet name="MOMO List" sheetId="13" r:id="rId8"/>
    <sheet name="TmpWatchList" sheetId="40" r:id="rId9"/>
    <sheet name="WatchList" sheetId="26" r:id="rId10"/>
    <sheet name="Already_Analyzed" sheetId="38" r:id="rId11"/>
    <sheet name="Initial_WatchList" sheetId="25" r:id="rId12"/>
    <sheet name="ETFs" sheetId="34" r:id="rId13"/>
    <sheet name="Thematic ETF" sheetId="35" r:id="rId14"/>
    <sheet name="Potentials-LGCap500" sheetId="32" r:id="rId15"/>
    <sheet name="Potentials-MidCap400" sheetId="24" r:id="rId16"/>
    <sheet name="Potentials-SmallCap600" sheetId="23" r:id="rId17"/>
    <sheet name="ARKF-Holdings" sheetId="31" r:id="rId18"/>
    <sheet name="ARKG-Holdings" sheetId="30" r:id="rId19"/>
    <sheet name="ARKK-Holdings" sheetId="27" r:id="rId20"/>
    <sheet name="ARKQ-Holdings" sheetId="28" r:id="rId21"/>
    <sheet name="ARKW-Holdings" sheetId="29" r:id="rId22"/>
    <sheet name="NDAQ100" sheetId="18" r:id="rId23"/>
    <sheet name="S&amp;P500" sheetId="14" r:id="rId24"/>
    <sheet name="S&amp;PMidCap400" sheetId="15" r:id="rId25"/>
    <sheet name="S&amp;PSmallCap600" sheetId="17" r:id="rId26"/>
    <sheet name="Not_in_S&amp;P1500" sheetId="19" r:id="rId27"/>
    <sheet name="Ann" sheetId="22" r:id="rId28"/>
    <sheet name="Sundeep" sheetId="21" r:id="rId29"/>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<sst xmlns="http://schemas.openxmlformats.org/spreadsheetml/2006/main" count="27305" uniqueCount="7232">
  <si>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</si>
  <si>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</si>
  <si>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</si>
  <si>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</si>
  <si>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</si>
  <si>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</si>
  <si>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</si>
  <si>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</si>
  <si>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</si>
  <si>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</si>
  <si>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</si>
  <si>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</si>
  <si>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</si>
  <si>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</si>
  <si>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</si>
  <si>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</si>
  <si>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</si>
  <si>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</si>
  <si>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</si>
  <si>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</si>
  <si>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</si>
  <si>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</si>
  <si>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</si>
  <si>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</si>
  <si>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</si>
  <si>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</si>
  <si>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</si>
  <si>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</si>
  <si>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</si>
  <si>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</si>
  <si>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</si>
  <si>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</si>
  <si>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</si>
  <si>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</si>
  <si>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</si>
  <si>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</si>
  <si>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</si>
  <si>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</si>
  <si>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</si>
  <si>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</si>
  <si>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</si>
  <si>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</si>
  <si>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</si>
  <si>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</si>
  <si>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</si>
  <si>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</si>
  <si>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</si>
  <si>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</si>
  <si>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</si>
  <si>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</si>
  <si>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</si>
  <si>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</si>
  <si>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</si>
  <si>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</si>
  <si>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</si>
  <si>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</si>
  <si>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</si>
  <si>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</si>
  <si>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</si>
  <si>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</si>
  <si>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</si>
  <si>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</si>
  <si>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</si>
  <si>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</si>
  <si>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</si>
  <si>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</si>
  <si>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</si>
  <si>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</si>
  <si>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</si>
  <si>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</si>
  <si>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</si>
  <si>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</si>
  <si>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</si>
  <si>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</si>
  <si>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</si>
  <si>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</si>
  <si>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</si>
  <si>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</si>
  <si>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</si>
  <si>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</si>
  <si>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</si>
  <si>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</si>
  <si>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</si>
  <si>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</si>
  <si>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</si>
  <si>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</si>
  <si>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</si>
  <si>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</si>
  <si>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</si>
  <si>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</si>
  <si>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</si>
  <si>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</si>
  <si>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</si>
  <si>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</si>
  <si>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</si>
  <si>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</si>
  <si>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</si>
  <si>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</si>
  <si>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</si>
  <si>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</si>
  <si>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</si>
  <si>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</si>
  <si>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</si>
  <si>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</si>
  <si>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</si>
  <si>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</si>
  <si>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</si>
  <si>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</si>
  <si>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</si>
  <si>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</si>
  <si>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</si>
  <si>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</si>
  <si>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</si>
  <si>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</si>
  <si>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</si>
  <si>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</si>
  <si>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</si>
  <si>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</si>
  <si>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</si>
  <si>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</si>
  <si>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</si>
  <si>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</si>
  <si>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</si>
  <si>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</si>
  <si>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</si>
  <si>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</si>
  <si>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</si>
  <si>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</si>
  <si>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</si>
  <si>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</si>
  <si>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</si>
  <si>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</si>
  <si>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</si>
  <si>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</si>
  <si>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</si>
  <si>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</si>
  <si>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</si>
  <si>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</si>
  <si>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</si>
  <si>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</si>
  <si>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</si>
  <si>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</si>
  <si>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</si>
  <si>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</si>
  <si>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</si>
  <si>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</si>
  <si>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</si>
  <si>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</si>
  <si>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</si>
  <si>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</si>
  <si>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</si>
  <si>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</si>
  <si>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</si>
  <si>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</si>
  <si>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</si>
  <si>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</si>
  <si>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</si>
  <si>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</si>
  <si>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</si>
  <si>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</si>
  <si>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</si>
  <si>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</si>
  <si>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</si>
  <si>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</si>
  <si>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</si>
  <si>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</si>
  <si>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</si>
  <si>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</si>
  <si>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</si>
  <si>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</si>
  <si>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</si>
  <si>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</si>
  <si>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</si>
  <si>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</si>
  <si>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</si>
  <si>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</si>
  <si>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</si>
  <si>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</si>
  <si>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</si>
  <si>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</si>
  <si>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</si>
  <si>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</si>
  <si>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</si>
  <si>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</si>
  <si>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</si>
  <si>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</si>
  <si>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</si>
  <si>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</si>
  <si>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</si>
  <si>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</si>
  <si>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</si>
  <si>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</si>
  <si>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</si>
  <si>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</si>
  <si>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</si>
  <si>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</si>
  <si>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</si>
  <si>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</si>
  <si>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</si>
  <si>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</si>
  <si>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</si>
  <si>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</si>
  <si>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</si>
  <si>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</si>
  <si>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</si>
  <si>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</si>
  <si>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</si>
  <si>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</si>
  <si>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</si>
  <si>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</si>
  <si>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</si>
  <si>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</si>
  <si>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</si>
  <si>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</si>
  <si>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</si>
  <si>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</si>
  <si>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</si>
  <si>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</si>
  <si>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</si>
  <si>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</si>
  <si>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</si>
  <si>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</si>
  <si>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</si>
  <si>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</si>
  <si>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</si>
  <si>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</si>
  <si>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</si>
  <si>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</si>
  <si>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</si>
  <si>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</si>
  <si>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</si>
  <si>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</si>
  <si>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</si>
  <si>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</si>
  <si>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</si>
  <si>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</si>
  <si>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</si>
  <si>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</si>
  <si>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</si>
  <si>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</si>
  <si>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</si>
  <si>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</si>
  <si>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</si>
  <si>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</si>
  <si>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</si>
  <si>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</si>
  <si>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</si>
  <si>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</si>
  <si>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</si>
  <si>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</si>
  <si>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</si>
  <si>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</si>
  <si>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</si>
  <si>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</si>
  <si>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</si>
  <si>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</si>
  <si>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</si>
  <si>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</si>
  <si>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</si>
  <si>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</si>
  <si>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</si>
  <si>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</si>
  <si>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</si>
  <si>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</si>
  <si>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</si>
  <si>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</si>
  <si>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</si>
  <si>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</si>
  <si>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</si>
  <si>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</si>
  <si>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</si>
  <si>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</si>
  <si>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</si>
  <si>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</si>
  <si>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</si>
  <si>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</si>
  <si>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</si>
  <si>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</si>
  <si>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</si>
  <si>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</si>
  <si>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</si>
  <si>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</si>
  <si>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</si>
  <si>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</si>
  <si>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</si>
  <si>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</si>
  <si>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</si>
  <si>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</si>
  <si>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</si>
  <si>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</si>
  <si>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</si>
  <si>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</si>
  <si>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</si>
  <si>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</si>
  <si>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</si>
  <si>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</si>
  <si>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</si>
  <si>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</si>
  <si>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</si>
  <si>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</si>
  <si>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</si>
  <si>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</si>
  <si>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</si>
  <si>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</si>
  <si>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</si>
  <si>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</si>
  <si>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</si>
  <si>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</si>
  <si>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</si>
  <si>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</si>
  <si>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</si>
  <si>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</si>
  <si>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</si>
  <si>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</si>
  <si>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</si>
  <si>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</si>
  <si>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</si>
  <si>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</si>
  <si>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</si>
  <si>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</si>
  <si>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</si>
  <si>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</si>
  <si>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</si>
  <si>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</si>
  <si>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</si>
  <si>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</si>
  <si>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</si>
  <si>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</si>
  <si>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</si>
  <si>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</si>
  <si>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</si>
  <si>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</si>
  <si>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</si>
  <si>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</si>
  <si>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</si>
  <si>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</si>
  <si>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</si>
  <si>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</si>
  <si>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</si>
  <si>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</si>
  <si>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</si>
  <si>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</si>
  <si>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</si>
  <si>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</si>
  <si>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</si>
  <si>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</si>
  <si>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</si>
  <si>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</si>
  <si>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</si>
  <si>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</si>
  <si>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</si>
  <si>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</si>
  <si>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</si>
  <si>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</si>
  <si>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</si>
  <si>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</si>
  <si>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</si>
  <si>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</si>
  <si>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</si>
  <si>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</si>
  <si>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</si>
  <si>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</si>
  <si>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</si>
  <si>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</si>
  <si>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</si>
  <si>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</si>
  <si>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</si>
  <si>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</si>
  <si>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</si>
  <si>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</si>
  <si>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</si>
  <si>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</si>
  <si>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</si>
  <si>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</si>
  <si>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</si>
  <si>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</si>
  <si>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</si>
  <si>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</si>
  <si>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</si>
  <si>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</si>
  <si>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</si>
  <si>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</si>
  <si>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</si>
  <si>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</si>
  <si>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</si>
  <si>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</si>
  <si>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</si>
  <si>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</si>
  <si>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</si>
  <si>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</si>
  <si>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</si>
  <si>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</si>
  <si>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</si>
  <si>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</si>
  <si>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</si>
  <si>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</si>
  <si>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</si>
  <si>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</si>
  <si>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</si>
  <si>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</si>
  <si>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</si>
  <si>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</si>
  <si>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</si>
  <si>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</si>
  <si>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</si>
  <si>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</si>
  <si>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</si>
  <si>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</si>
  <si>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</si>
  <si>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</si>
  <si>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</si>
  <si>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</si>
  <si>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</si>
  <si>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</si>
  <si>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</si>
  <si>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</si>
  <si>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</si>
  <si>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</si>
  <si>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</si>
  <si>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</si>
  <si>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</si>
  <si>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</si>
  <si>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</si>
  <si>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</si>
  <si>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</si>
  <si>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</si>
  <si>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</si>
  <si>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</si>
  <si>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</si>
  <si>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</si>
  <si>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</si>
  <si>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</si>
  <si>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</si>
  <si>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</si>
  <si>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</si>
  <si>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</si>
  <si>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</si>
  <si>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</si>
  <si>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</si>
  <si>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</si>
  <si>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</si>
  <si>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</si>
  <si>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</si>
  <si>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</si>
  <si>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</si>
  <si>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</si>
  <si>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</si>
  <si>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</si>
  <si>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</si>
  <si>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</si>
  <si>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</si>
  <si>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</si>
  <si>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</si>
  <si>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</si>
  <si>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</si>
  <si>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</si>
  <si>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</si>
  <si>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</si>
  <si>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</si>
  <si>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</si>
  <si>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</si>
  <si>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</si>
  <si>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</si>
  <si>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</si>
  <si>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</si>
  <si>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</si>
  <si>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</si>
  <si>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</si>
  <si>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</si>
  <si>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</si>
  <si>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</si>
  <si>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</si>
  <si>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</si>
  <si>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</si>
  <si>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</si>
  <si>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</si>
  <si>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</si>
  <si>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</si>
  <si>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</si>
  <si>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</si>
  <si>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</si>
  <si>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</si>
  <si>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</si>
  <si>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</si>
  <si>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</si>
  <si>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</si>
  <si>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</si>
  <si>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</si>
  <si>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</si>
  <si>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</si>
  <si>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</si>
  <si>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</si>
  <si>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</si>
  <si>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</si>
  <si>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</si>
  <si>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</si>
  <si>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</si>
  <si>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</si>
  <si>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</si>
  <si>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</si>
  <si>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</si>
  <si>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</si>
  <si>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</si>
  <si>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</si>
  <si>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</si>
  <si>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</si>
  <si>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</si>
  <si>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</si>
  <si>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</si>
  <si>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</si>
  <si>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</si>
  <si>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</si>
  <si>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</si>
  <si>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</si>
  <si>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</si>
  <si>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</si>
  <si>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</si>
  <si>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</si>
  <si>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</si>
  <si>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</si>
  <si>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</si>
  <si>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</si>
  <si>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</si>
  <si>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</si>
  <si>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</si>
  <si>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</si>
  <si>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</si>
  <si>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</si>
  <si>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</si>
  <si>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</si>
  <si>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</si>
  <si>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</si>
  <si>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</si>
  <si>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</si>
  <si>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</si>
  <si>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</si>
  <si>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</si>
  <si>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</si>
  <si>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</si>
  <si>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</si>
  <si>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</si>
  <si>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</si>
  <si>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</si>
  <si>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</si>
  <si>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</si>
  <si>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</si>
  <si>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</si>
  <si>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</si>
  <si>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</si>
  <si>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</si>
  <si>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</si>
  <si>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</si>
  <si>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</si>
  <si>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</si>
  <si>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</si>
  <si>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</si>
  <si>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</si>
  <si>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</si>
  <si>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</si>
  <si>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</si>
  <si>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</si>
  <si>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</si>
  <si>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</si>
  <si>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</si>
  <si>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</si>
  <si>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</si>
  <si>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</si>
  <si>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</si>
  <si>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</si>
  <si>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</si>
  <si>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</si>
  <si>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</si>
  <si>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</si>
  <si>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</si>
  <si>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</si>
  <si>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</si>
  <si>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</si>
  <si>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</si>
  <si>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</si>
  <si>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</si>
  <si>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</si>
  <si>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</si>
  <si>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</si>
  <si>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</si>
  <si>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</si>
  <si>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</si>
  <si>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</si>
  <si>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</si>
  <si>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</si>
  <si>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</si>
  <si>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</si>
  <si>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</si>
  <si>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</si>
  <si>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</si>
  <si>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</si>
  <si>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</si>
  <si>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</si>
  <si>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</si>
  <si>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</si>
  <si>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</si>
  <si>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</si>
  <si>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</si>
  <si>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</si>
  <si>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</si>
  <si>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</si>
  <si>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</si>
  <si>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</si>
  <si>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</si>
  <si>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</si>
  <si>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</si>
  <si>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</si>
  <si>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</si>
  <si>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</si>
  <si>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</si>
  <si>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</si>
  <si>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</si>
  <si>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</si>
  <si>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</si>
  <si>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</si>
  <si>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</si>
  <si>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</si>
  <si>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</si>
  <si>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</si>
  <si>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</si>
  <si>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</si>
  <si>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</si>
  <si>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</si>
  <si>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</si>
  <si>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</si>
  <si>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</si>
  <si>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</si>
  <si>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</si>
  <si>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</si>
  <si>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</si>
  <si>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</si>
  <si>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</si>
  <si>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</si>
  <si>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</si>
  <si>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</si>
  <si>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</si>
  <si>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</si>
  <si>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</si>
  <si>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</si>
  <si>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</si>
  <si>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</si>
  <si>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</si>
  <si>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</si>
  <si>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</si>
  <si>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</si>
  <si>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</si>
  <si>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</si>
  <si>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</si>
  <si>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</si>
  <si>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</si>
  <si>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</si>
  <si>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</si>
  <si>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</si>
  <si>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</si>
  <si>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</si>
  <si>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</si>
  <si>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</si>
  <si>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</si>
  <si>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</si>
  <si>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</si>
  <si>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</si>
  <si>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</si>
  <si>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</si>
  <si>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</si>
  <si>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</si>
  <si>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</si>
  <si>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</si>
  <si>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</si>
  <si>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</si>
  <si>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</si>
  <si>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</si>
  <si>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</si>
  <si>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</si>
  <si>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</si>
  <si>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</si>
  <si>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</si>
  <si>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</si>
  <si>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</si>
  <si>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</si>
  <si>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</si>
  <si>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</si>
  <si>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</si>
  <si>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</si>
  <si>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</si>
  <si>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</si>
  <si>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</si>
  <si>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</si>
  <si>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</si>
  <si>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</si>
  <si>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</si>
  <si>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</si>
  <si>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</si>
  <si>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</si>
  <si>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</si>
  <si>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</si>
  <si>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</si>
  <si>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</si>
  <si>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</si>
  <si>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</si>
  <si>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</si>
  <si>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</si>
  <si>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</si>
  <si>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</si>
  <si>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</si>
  <si>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</si>
  <si>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</si>
  <si>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</si>
  <si>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</si>
  <si>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</si>
  <si>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</si>
  <si>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</si>
  <si>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</si>
  <si>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</si>
  <si>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</si>
  <si>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</si>
  <si>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</si>
  <si>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</si>
  <si>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</si>
  <si>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</si>
  <si>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</si>
  <si>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</si>
  <si>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</si>
  <si>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</si>
  <si>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</si>
  <si>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</si>
  <si>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</si>
  <si>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</si>
  <si>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</si>
  <si>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</si>
  <si>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</si>
  <si>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</si>
  <si>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</si>
  <si>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</si>
  <si>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</si>
  <si>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</si>
  <si>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</si>
  <si>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</si>
  <si>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</si>
  <si>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</si>
  <si>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</si>
  <si>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</si>
  <si>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</si>
  <si>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</si>
  <si>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</si>
  <si>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</si>
  <si>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</si>
  <si>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</si>
  <si>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</si>
  <si>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</si>
  <si>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</si>
  <si>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</si>
  <si>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</si>
  <si>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</si>
  <si>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</si>
  <si>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</si>
  <si>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</si>
  <si>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</si>
  <si>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</si>
  <si>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</si>
  <si>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</si>
  <si>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</si>
  <si>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</si>
  <si>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</si>
  <si>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</si>
  <si>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</si>
  <si>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</si>
  <si>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</si>
  <si>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</si>
  <si>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</si>
  <si>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</si>
  <si>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</si>
  <si>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</si>
  <si>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</si>
  <si>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</si>
  <si>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</si>
  <si>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</si>
  <si>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</si>
  <si>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</si>
  <si>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</si>
  <si>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</si>
  <si>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</si>
  <si>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</si>
  <si>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</si>
  <si>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</si>
  <si>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</si>
  <si>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</si>
  <si>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</si>
  <si>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</si>
  <si>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</si>
  <si>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</si>
  <si>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</si>
  <si>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</si>
  <si>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</si>
  <si>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</si>
  <si>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</si>
  <si>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</si>
  <si>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</si>
  <si>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</si>
  <si>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</si>
  <si>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</si>
  <si>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</si>
  <si>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</si>
  <si>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</si>
  <si>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</si>
  <si>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</si>
  <si>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</si>
  <si>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</si>
  <si>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</si>
  <si>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</si>
  <si>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</si>
  <si>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</si>
  <si>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</si>
  <si>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</si>
  <si>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</si>
  <si>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</si>
  <si>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</si>
  <si>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</si>
  <si>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</si>
  <si>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</si>
  <si>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</si>
  <si>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</si>
  <si>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</si>
  <si>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</si>
  <si>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</si>
  <si>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</si>
  <si>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</si>
  <si>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</si>
  <si>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</si>
  <si>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</si>
  <si>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</si>
  <si>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</si>
  <si>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</si>
  <si>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</si>
  <si>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</si>
  <si>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</si>
  <si>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</si>
  <si>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</si>
  <si>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</si>
  <si>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</si>
  <si>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</si>
  <si>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</si>
  <si>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</si>
  <si>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</si>
  <si>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</si>
  <si>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</si>
  <si>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</si>
  <si>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</si>
  <si>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</si>
  <si>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</si>
  <si>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</si>
  <si>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</si>
  <si>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</si>
  <si>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</si>
  <si>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</si>
  <si>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</si>
  <si>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</si>
  <si>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</si>
  <si>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</si>
  <si>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</si>
  <si>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</si>
  <si>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</si>
  <si>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</si>
  <si>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</si>
  <si>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</si>
  <si>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</si>
  <si>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</si>
  <si>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</si>
  <si>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</si>
  <si>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</si>
  <si>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</si>
  <si>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</si>
  <si>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</si>
  <si>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</si>
  <si>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</si>
  <si>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</si>
  <si>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</si>
  <si>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</si>
  <si>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</si>
  <si>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</si>
  <si>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</si>
  <si>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</si>
  <si>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</si>
  <si>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</si>
  <si>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</si>
  <si>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</si>
  <si>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</si>
  <si>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</si>
  <si>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</si>
  <si>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</si>
  <si>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</si>
  <si>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</si>
  <si>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</si>
  <si>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</si>
  <si>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</si>
  <si>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</si>
  <si>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</si>
  <si>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</si>
  <si>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</si>
  <si>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</si>
  <si>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</si>
  <si>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</si>
  <si>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</si>
  <si>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</si>
  <si>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</si>
  <si>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</si>
  <si>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</si>
  <si>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</si>
  <si>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</si>
  <si>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</si>
  <si>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</si>
  <si>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</si>
  <si>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</si>
  <si>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</si>
  <si>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</si>
  <si>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</si>
  <si>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</si>
  <si>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</si>
  <si>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</si>
  <si>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</si>
  <si>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</si>
  <si>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</si>
  <si>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</si>
  <si>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</si>
  <si>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</si>
  <si>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</si>
  <si>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</si>
  <si>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</si>
  <si>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</si>
  <si>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</si>
  <si>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</si>
  <si>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</si>
  <si>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</si>
  <si>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</si>
  <si>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</si>
  <si>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</si>
  <si>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</si>
  <si>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</si>
  <si>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</si>
  <si>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</si>
  <si>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</si>
  <si>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</si>
  <si>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</si>
  <si>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</si>
  <si>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</si>
  <si>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</si>
  <si>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</si>
  <si>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</si>
  <si>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</si>
  <si>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</si>
  <si>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</si>
  <si>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</si>
  <si>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</si>
  <si>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</si>
  <si>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</si>
  <si>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</si>
  <si>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</si>
  <si>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</si>
  <si>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</si>
  <si>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</si>
  <si>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</si>
  <si>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</si>
  <si>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</si>
  <si>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</si>
  <si>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</si>
  <si>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</si>
  <si>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</si>
  <si>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</si>
  <si>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</si>
  <si>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</si>
  <si>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</si>
  <si>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</si>
  <si>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</si>
  <si>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</si>
  <si>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</si>
  <si>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</si>
  <si>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</si>
  <si>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</si>
  <si>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</si>
  <si>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</si>
  <si>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</si>
  <si>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</si>
  <si>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</si>
  <si>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</si>
  <si>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</si>
  <si>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</si>
  <si>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</si>
  <si>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</si>
  <si>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</si>
  <si>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</si>
  <si>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</si>
  <si>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</si>
  <si>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</si>
  <si>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</si>
  <si>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</si>
  <si>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</si>
  <si>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</si>
  <si>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</si>
  <si>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</si>
  <si>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</si>
  <si>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</si>
  <si>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</si>
  <si>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</si>
  <si>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</si>
  <si>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</si>
  <si>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</si>
  <si>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</si>
  <si>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</si>
  <si>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</si>
  <si>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</si>
  <si>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</si>
  <si>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</si>
  <si>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</si>
  <si>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</si>
  <si>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</si>
  <si>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</si>
  <si>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</si>
  <si>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</si>
  <si>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</si>
  <si>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</si>
  <si>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</si>
  <si>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</si>
  <si>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</si>
  <si>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</si>
  <si>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</si>
  <si>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</si>
  <si>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</si>
  <si>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</si>
  <si>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</si>
  <si>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</si>
  <si>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</si>
  <si>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</si>
  <si>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</si>
  <si>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</si>
  <si>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</si>
  <si>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</si>
  <si>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</si>
  <si>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</si>
  <si>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</si>
  <si>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</si>
  <si>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</si>
  <si>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</si>
  <si>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</si>
  <si>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</si>
  <si>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</si>
  <si>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</si>
  <si>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</si>
  <si>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</si>
  <si>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</si>
  <si>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</si>
  <si>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</si>
  <si>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</si>
  <si>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</si>
  <si>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</si>
  <si>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</si>
  <si>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</si>
  <si>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</si>
  <si>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</si>
  <si>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</si>
  <si>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</si>
  <si>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</si>
  <si>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</si>
  <si>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</si>
  <si>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</si>
  <si>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</si>
  <si>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</si>
  <si>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</si>
  <si>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</si>
  <si>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</si>
  <si>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</si>
  <si>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</si>
  <si>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</si>
  <si>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</si>
  <si>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</si>
  <si>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</si>
  <si>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</si>
  <si>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</si>
  <si>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</si>
  <si>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</si>
  <si>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</si>
  <si>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</si>
  <si>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</si>
  <si>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</si>
  <si>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</si>
  <si>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</si>
  <si>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</si>
  <si>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</si>
  <si>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</si>
  <si>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</si>
  <si>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</si>
  <si>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</si>
  <si>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</si>
  <si>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</si>
  <si>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</si>
  <si>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</si>
  <si>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</si>
  <si>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</si>
  <si>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</si>
  <si>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</si>
  <si>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</si>
  <si>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</si>
  <si>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</si>
  <si>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</si>
  <si>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</si>
  <si>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</si>
  <si>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</si>
  <si>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</si>
  <si>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</si>
  <si>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</si>
  <si>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</si>
  <si>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</si>
  <si>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</si>
  <si>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</si>
  <si>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</si>
  <si>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</si>
  <si>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</si>
  <si>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</si>
  <si>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</si>
  <si>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</si>
  <si>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</si>
  <si>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</si>
  <si>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</si>
  <si>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</si>
  <si>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</si>
  <si>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</si>
  <si>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</si>
  <si>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</si>
  <si>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</si>
  <si>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</si>
  <si>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</si>
  <si>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</si>
  <si>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</si>
  <si>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</si>
  <si>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</si>
  <si>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</si>
  <si>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</si>
  <si>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</si>
  <si>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</si>
  <si>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</si>
  <si>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</si>
  <si>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</si>
  <si>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</si>
  <si>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</si>
  <si>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</si>
  <si>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</si>
  <si>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</si>
  <si>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</si>
  <si>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</si>
  <si>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</si>
  <si>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</si>
  <si>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</si>
  <si>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</si>
  <si>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</si>
  <si>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</si>
  <si>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</si>
  <si>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</si>
  <si>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</si>
  <si>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</si>
  <si>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</si>
  <si>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</si>
  <si>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</si>
  <si>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</si>
  <si>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</si>
  <si>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</si>
  <si>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</si>
  <si>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</si>
  <si>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</si>
  <si>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</si>
  <si>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</si>
  <si>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</si>
  <si>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</si>
  <si>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</si>
  <si>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</si>
  <si>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</si>
  <si>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</si>
  <si>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</si>
  <si>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</si>
  <si>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</si>
  <si>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</si>
  <si>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</si>
  <si>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</si>
  <si>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</si>
  <si>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</si>
  <si>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</si>
  <si>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</si>
  <si>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</si>
  <si>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</si>
  <si>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</si>
  <si>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</si>
  <si>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</si>
  <si>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</si>
  <si>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</si>
  <si>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</si>
  <si>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</si>
  <si>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</si>
  <si>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</si>
  <si>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</si>
  <si>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</si>
  <si>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</si>
  <si>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</si>
  <si>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</si>
  <si>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</si>
  <si>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</si>
  <si>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</si>
  <si>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</si>
  <si>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</si>
  <si>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</si>
  <si>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</si>
  <si>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</si>
  <si>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</si>
  <si>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</si>
  <si>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</si>
  <si>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</si>
  <si>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</si>
  <si>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</si>
  <si>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</si>
  <si>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</si>
  <si>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</si>
  <si>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</si>
  <si>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</si>
  <si>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</si>
  <si>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</si>
  <si>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</si>
  <si>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</si>
  <si>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</si>
  <si>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</si>
  <si>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</si>
  <si>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</si>
  <si>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</si>
  <si>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</si>
  <si>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</si>
  <si>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</si>
  <si>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</si>
  <si>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</si>
  <si>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</si>
  <si>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</si>
  <si>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</si>
  <si>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</si>
  <si>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</si>
  <si>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</si>
  <si>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</si>
  <si>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</si>
  <si>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</si>
  <si>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</si>
  <si>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</si>
  <si>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</si>
  <si>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</si>
  <si>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</si>
  <si>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</si>
  <si>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</si>
  <si>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</si>
  <si>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</si>
  <si>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</si>
  <si>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</si>
  <si>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</si>
  <si>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</si>
  <si>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</si>
  <si>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</si>
  <si>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</si>
  <si>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</si>
  <si>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</si>
  <si>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</si>
  <si>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</si>
  <si>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</si>
  <si>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</si>
  <si>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</si>
  <si>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</si>
  <si>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</si>
  <si>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</si>
  <si>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</si>
  <si>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</si>
  <si>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</si>
  <si>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</si>
  <si>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</si>
  <si>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</si>
  <si>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</si>
  <si>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</si>
  <si>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</si>
  <si>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</si>
  <si>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</si>
  <si>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</si>
  <si>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</si>
  <si>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</si>
  <si>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</si>
  <si>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</si>
  <si>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</si>
  <si>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</si>
  <si>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</si>
  <si>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</si>
  <si>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</si>
  <si>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</si>
  <si>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</si>
  <si>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</si>
  <si>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</si>
  <si>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</si>
  <si>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</si>
  <si>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</si>
  <si>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</si>
  <si>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</si>
  <si>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</si>
  <si>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</si>
  <si>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</si>
  <si>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</si>
  <si>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</si>
  <si>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</si>
  <si>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</si>
  <si>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</si>
  <si>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</si>
  <si>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</si>
  <si>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</si>
  <si>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</si>
  <si>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</si>
  <si>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</si>
  <si>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</si>
  <si>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</si>
  <si>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</si>
  <si>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</si>
  <si>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</si>
  <si>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</si>
  <si>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</si>
  <si>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</si>
  <si>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</si>
  <si>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</si>
  <si>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</si>
  <si>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</si>
  <si>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</si>
  <si>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</si>
  <si>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</si>
  <si>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</si>
  <si>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</si>
  <si>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</si>
  <si>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</si>
  <si>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</si>
  <si>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</si>
  <si>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</si>
  <si>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</si>
  <si>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</si>
  <si>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</si>
  <si>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</si>
  <si>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</si>
  <si>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</si>
  <si>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</si>
  <si>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</si>
  <si>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</si>
  <si>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</si>
  <si>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</si>
  <si>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</si>
  <si>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</si>
  <si>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</si>
  <si>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</si>
  <si>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</si>
  <si>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</si>
  <si>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</si>
  <si>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</si>
  <si>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</si>
  <si>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</si>
  <si>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</si>
  <si>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</si>
  <si>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</si>
  <si>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</si>
  <si>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</si>
  <si>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</si>
  <si>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</si>
  <si>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</si>
  <si>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</si>
  <si>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</si>
  <si>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</si>
  <si>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</si>
  <si>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</si>
  <si>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</si>
  <si>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</si>
  <si>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</si>
  <si>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</si>
  <si>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</si>
  <si>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</si>
  <si>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</si>
  <si>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</si>
  <si>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</si>
  <si>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</si>
  <si>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</si>
  <si>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</si>
  <si>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</si>
  <si>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</si>
  <si>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</si>
  <si>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</si>
  <si>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</si>
  <si>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</si>
  <si>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</si>
  <si>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</si>
  <si>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</si>
  <si>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</si>
  <si>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</si>
  <si>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</si>
  <si>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</si>
  <si>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</si>
  <si>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</si>
  <si>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</si>
  <si>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</si>
  <si>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</si>
  <si>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</si>
  <si>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</si>
  <si>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</si>
  <si>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</si>
  <si>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</si>
  <si>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</si>
  <si>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</si>
  <si>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</si>
  <si>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</si>
  <si>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</si>
  <si>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</si>
  <si>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</si>
  <si>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</si>
  <si>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</si>
  <si>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</si>
  <si>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</si>
  <si>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</si>
  <si>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</si>
  <si>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</si>
  <si>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</si>
  <si>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</si>
  <si>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</si>
  <si>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</si>
  <si>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</si>
  <si>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</si>
  <si>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</si>
  <si>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</si>
  <si>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</si>
  <si>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</si>
  <si>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</si>
  <si>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</si>
  <si>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</si>
  <si>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</si>
  <si>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</si>
  <si>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</si>
  <si>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</si>
  <si>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</si>
  <si>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</si>
  <si>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</si>
  <si>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</si>
  <si>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</si>
  <si>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</si>
  <si>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</si>
  <si>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</si>
  <si>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</si>
  <si>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</si>
  <si>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</si>
  <si>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</si>
  <si>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</si>
  <si>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</si>
  <si>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</si>
  <si>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</si>
  <si>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</si>
  <si>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</si>
  <si>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</si>
  <si>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</si>
  <si>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</si>
  <si>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</si>
  <si>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</si>
  <si>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</si>
  <si>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</si>
  <si>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</si>
  <si>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</si>
  <si>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</si>
  <si>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</si>
  <si>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</si>
  <si>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</si>
  <si>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</si>
  <si>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</si>
  <si>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</si>
  <si>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</si>
  <si>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</si>
  <si>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</si>
  <si>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</si>
  <si>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</si>
  <si>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</si>
  <si>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</si>
  <si>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</si>
  <si>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</si>
  <si>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</si>
  <si>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</si>
  <si>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</si>
  <si>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</si>
  <si>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</si>
  <si>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</si>
  <si>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</si>
  <si>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</si>
  <si>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</si>
  <si>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</si>
  <si>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</si>
  <si>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</si>
  <si>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</si>
  <si>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</si>
  <si>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</si>
  <si>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</si>
  <si>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</si>
  <si>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</si>
  <si>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</si>
  <si>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</si>
  <si>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</si>
  <si>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</si>
  <si>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</si>
  <si>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</si>
  <si>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</si>
  <si>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</si>
  <si>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</si>
  <si>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</si>
  <si>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</si>
  <si>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</si>
  <si>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</si>
  <si>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</si>
  <si>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</si>
  <si>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</si>
  <si>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</si>
  <si>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</si>
  <si>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</si>
  <si>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</si>
  <si>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</si>
  <si>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</si>
  <si>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</si>
  <si>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</si>
  <si>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</si>
  <si>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</si>
  <si>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</si>
  <si>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</si>
  <si>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</si>
  <si>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</si>
  <si>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</si>
  <si>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</si>
  <si>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</si>
  <si>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</si>
  <si>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</si>
  <si>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</si>
  <si>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</si>
  <si>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</si>
  <si>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</si>
  <si>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</si>
  <si>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</si>
  <si>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</si>
  <si>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</si>
  <si>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</si>
  <si>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</si>
  <si>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</si>
  <si>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</si>
  <si>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</si>
  <si>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</si>
  <si>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</si>
  <si>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</si>
  <si>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</si>
  <si>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</si>
  <si>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</si>
  <si>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</si>
  <si>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</si>
  <si>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</si>
  <si>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</si>
  <si>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</si>
  <si>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</si>
  <si>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</si>
  <si>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</si>
  <si>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</si>
  <si>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</si>
  <si>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</si>
  <si>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</si>
  <si>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</si>
  <si>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</si>
  <si>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</si>
  <si>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</si>
  <si>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</si>
  <si>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</si>
  <si>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</si>
  <si>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</si>
  <si>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</si>
  <si>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</si>
  <si>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</si>
  <si>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</si>
  <si>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</si>
  <si>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</si>
  <si>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</si>
  <si>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</si>
  <si>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</si>
  <si>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</si>
  <si>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</si>
  <si>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</si>
  <si>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</si>
  <si>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</si>
  <si>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</si>
  <si>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</si>
  <si>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</si>
  <si>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</si>
  <si>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</si>
  <si>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</si>
  <si>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</si>
  <si>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</si>
  <si>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</si>
  <si>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</si>
  <si>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</si>
  <si>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</si>
  <si>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</si>
  <si>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</si>
  <si>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</si>
  <si>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</si>
  <si>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</si>
  <si>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</si>
  <si>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</si>
  <si>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</si>
  <si>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</si>
  <si>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</si>
  <si>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</si>
  <si>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</si>
  <si>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</si>
  <si>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</si>
  <si>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</si>
  <si>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</si>
  <si>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</si>
  <si>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</si>
  <si>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</si>
  <si>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</si>
  <si>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</si>
  <si>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</si>
  <si>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</si>
  <si>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</si>
  <si>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</si>
  <si>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</si>
  <si>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</si>
  <si>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</si>
  <si>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</si>
  <si>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</si>
  <si>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</si>
  <si>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</si>
  <si>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</si>
  <si>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</si>
  <si>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</si>
  <si>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</si>
  <si>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</si>
  <si>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</si>
  <si>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</si>
  <si>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</si>
  <si>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</si>
  <si>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</si>
  <si>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</si>
  <si>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</si>
  <si>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</si>
  <si>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</si>
  <si>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</si>
  <si>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</si>
  <si>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</si>
  <si>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</si>
  <si>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</si>
  <si>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</si>
  <si>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</si>
  <si>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</si>
  <si>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</si>
  <si>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</si>
  <si>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</si>
  <si>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</si>
  <si>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</si>
  <si>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</si>
  <si>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</si>
  <si>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</si>
  <si>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</si>
  <si>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</si>
  <si>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</si>
  <si>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</si>
  <si>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</si>
  <si>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</si>
  <si>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</si>
  <si>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</si>
  <si>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</si>
  <si>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</si>
  <si>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</si>
  <si>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</si>
  <si>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</si>
  <si>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</si>
  <si>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</si>
  <si>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</si>
  <si>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</si>
  <si>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</si>
  <si>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</si>
  <si>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</si>
  <si>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</si>
  <si>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</si>
  <si>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</si>
  <si>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</si>
  <si>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</si>
  <si>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</si>
  <si>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</si>
  <si>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</si>
  <si>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</si>
  <si>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</si>
  <si>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</si>
  <si>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</si>
  <si>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</si>
  <si>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</si>
  <si>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</si>
  <si>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</si>
  <si>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</si>
  <si>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</si>
  <si>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</si>
  <si>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</si>
  <si>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</si>
  <si>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</si>
  <si>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</si>
  <si>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</si>
  <si>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</si>
  <si>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</si>
  <si>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</si>
  <si>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</si>
  <si>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</si>
  <si>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</si>
  <si>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</si>
  <si>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</si>
  <si>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</si>
  <si>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</si>
  <si>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</si>
  <si>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</si>
  <si>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</si>
  <si>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</si>
  <si>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</si>
  <si>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</si>
  <si>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</si>
  <si>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</si>
  <si>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</si>
  <si>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</si>
  <si>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</si>
  <si>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</si>
  <si>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</si>
  <si>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</si>
  <si>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</si>
  <si>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</si>
  <si>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</si>
  <si>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</si>
  <si>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</si>
  <si>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</si>
  <si>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</si>
  <si>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</si>
  <si>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</si>
  <si>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</si>
  <si>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</si>
  <si>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</si>
  <si>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</si>
  <si>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</si>
  <si>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</si>
  <si>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</si>
  <si>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</si>
  <si>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</si>
  <si>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</si>
  <si>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</si>
  <si>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</si>
  <si>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</si>
  <si>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</si>
  <si>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</si>
  <si>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</si>
  <si>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</si>
  <si>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</si>
  <si>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</si>
  <si>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</si>
  <si>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</si>
  <si>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</si>
  <si>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</si>
  <si>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</si>
  <si>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</si>
  <si>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</si>
  <si>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</si>
  <si>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</si>
  <si>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</si>
  <si>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</si>
  <si>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</si>
  <si>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</si>
  <si>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</si>
  <si>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</si>
  <si>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</si>
  <si>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</si>
  <si>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</si>
  <si>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</si>
  <si>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</si>
  <si>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</si>
  <si>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</si>
  <si>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</si>
  <si>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</si>
  <si>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</si>
  <si>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</si>
  <si>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</si>
  <si>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</si>
  <si>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</si>
  <si>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</si>
  <si>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</si>
  <si>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</si>
  <si>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</si>
  <si>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</si>
  <si>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</si>
  <si>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</si>
  <si>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</si>
  <si>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</si>
  <si>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</si>
  <si>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</si>
  <si>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</si>
  <si>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</si>
  <si>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</si>
  <si>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</si>
  <si>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</si>
  <si>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</si>
  <si>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</si>
  <si>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</si>
  <si>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</si>
  <si>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</si>
  <si>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</si>
  <si>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</si>
  <si>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</si>
  <si>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</si>
  <si>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</si>
  <si>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</si>
  <si>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</si>
  <si>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</si>
  <si>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</si>
  <si>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</si>
  <si>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</si>
  <si>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</si>
  <si>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</si>
  <si>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</si>
  <si>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</si>
  <si>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</si>
  <si>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</si>
  <si>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</si>
  <si>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</si>
  <si>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</si>
  <si>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</si>
  <si>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</si>
  <si>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</si>
  <si>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</si>
  <si>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</si>
  <si>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</si>
  <si>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</si>
  <si>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</si>
  <si>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</si>
  <si>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</si>
  <si>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</si>
  <si>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</si>
  <si>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</si>
  <si>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</si>
  <si>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</si>
  <si>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</si>
  <si>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</si>
  <si>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</si>
  <si>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</si>
  <si>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</si>
  <si>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</si>
  <si>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</si>
  <si>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</si>
  <si>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</si>
  <si>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</si>
  <si>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</si>
  <si>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</si>
  <si>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</si>
  <si>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</si>
  <si>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</si>
  <si>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</si>
  <si>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</si>
  <si>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</si>
  <si>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</si>
  <si>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</si>
  <si>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</si>
  <si>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</si>
  <si>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</si>
  <si>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</si>
  <si>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</si>
  <si>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</si>
  <si>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</si>
  <si>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</si>
  <si>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</si>
  <si>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</si>
  <si>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</si>
  <si>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</si>
  <si>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</si>
  <si>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</si>
  <si>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</si>
  <si>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</si>
  <si>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</si>
  <si>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</si>
  <si>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</si>
  <si>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</si>
  <si>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</si>
  <si>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</si>
  <si>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</si>
  <si>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</si>
  <si>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</si>
  <si>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</si>
  <si>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</si>
  <si>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</si>
  <si>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</si>
  <si>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</si>
  <si>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</si>
  <si>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</si>
  <si>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</si>
  <si>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</si>
  <si>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</si>
  <si>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</si>
  <si>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</si>
  <si>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</si>
  <si>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</si>
  <si>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</si>
  <si>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</si>
  <si>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</si>
  <si>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</si>
  <si>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</si>
  <si>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</si>
  <si>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</si>
  <si>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</si>
  <si>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</si>
  <si>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</si>
  <si>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</si>
  <si>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</si>
  <si>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</si>
  <si>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</si>
  <si>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</si>
  <si>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</si>
  <si>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</si>
  <si>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</si>
  <si>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</si>
  <si>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</si>
  <si>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</si>
  <si>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</si>
  <si>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</si>
  <si>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</si>
  <si>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</si>
  <si>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</si>
  <si>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</si>
  <si>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</si>
  <si>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</si>
  <si>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</si>
  <si>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</si>
  <si>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</si>
  <si>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</si>
  <si>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</si>
  <si>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</si>
  <si>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</si>
  <si>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</si>
  <si>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</si>
  <si>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</si>
  <si>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</si>
  <si>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</si>
  <si>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</si>
  <si>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</si>
  <si>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</si>
  <si>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</si>
  <si>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</si>
  <si>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</si>
  <si>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</si>
  <si>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</si>
  <si>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</si>
  <si>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</si>
  <si>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</si>
  <si>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</si>
  <si>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</si>
  <si>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</si>
  <si>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</si>
  <si>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</si>
  <si>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</si>
  <si>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</si>
  <si>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</si>
  <si>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</si>
  <si>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</si>
  <si>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</si>
  <si>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</si>
  <si>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</si>
  <si>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</si>
  <si>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</si>
  <si>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</si>
  <si>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</si>
  <si>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</si>
  <si>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</si>
  <si>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</si>
  <si>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</si>
  <si>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</si>
  <si>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</si>
  <si>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</si>
  <si>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</si>
  <si>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</si>
  <si>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</si>
  <si>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</si>
  <si>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</si>
  <si>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</si>
  <si>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</si>
  <si>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</si>
  <si>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</si>
  <si>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</si>
  <si>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</si>
  <si>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</si>
  <si>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</si>
  <si>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</si>
  <si>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</si>
  <si>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</si>
  <si>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</si>
  <si>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</si>
  <si>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</si>
  <si>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</si>
  <si>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</si>
  <si>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</si>
  <si>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</si>
  <si>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</si>
  <si>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</si>
  <si>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</si>
  <si>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</si>
  <si>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</si>
  <si>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</si>
  <si>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</si>
  <si>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</si>
  <si>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</si>
  <si>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</si>
  <si>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</si>
  <si>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</si>
  <si>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</si>
  <si>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</si>
  <si>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</si>
  <si>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</si>
  <si>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</si>
  <si>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</si>
  <si>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</si>
  <si>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</si>
  <si>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</si>
  <si>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</si>
  <si>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</si>
  <si>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</si>
  <si>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</si>
  <si>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</si>
  <si>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</si>
  <si>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</si>
  <si>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</si>
  <si>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</si>
  <si>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</si>
  <si>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</si>
  <si>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</si>
  <si>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</si>
  <si>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</si>
  <si>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</si>
  <si>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</si>
  <si>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</si>
  <si>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</si>
  <si>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</si>
  <si>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</si>
  <si>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</si>
  <si>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</si>
  <si>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</si>
  <si>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</si>
  <si>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</si>
  <si>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</si>
  <si>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</si>
  <si>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</si>
  <si>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</si>
  <si>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</si>
  <si>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</si>
  <si>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</si>
  <si>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</si>
  <si>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</si>
  <si>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</si>
  <si>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</si>
  <si>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</si>
  <si>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</si>
  <si>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</si>
  <si>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</si>
  <si>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</si>
  <si>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</si>
  <si>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</si>
  <si>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</si>
  <si>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</si>
  <si>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</si>
  <si>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</si>
  <si>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</si>
  <si>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</si>
  <si>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</si>
  <si>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</si>
  <si>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</si>
  <si>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</si>
  <si>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</si>
  <si>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</si>
  <si>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</si>
  <si>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</si>
  <si>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</si>
  <si>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</si>
  <si>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</si>
  <si>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</si>
  <si>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</si>
  <si>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</si>
  <si>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</si>
  <si>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</si>
  <si>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</si>
  <si>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</si>
  <si>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</si>
  <si>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</si>
  <si>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</si>
  <si>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</si>
  <si>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</si>
  <si>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</si>
  <si>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</si>
  <si>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</si>
  <si>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</si>
  <si>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</si>
  <si>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</si>
  <si>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</si>
  <si>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</si>
  <si>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</si>
  <si>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</si>
  <si>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</si>
  <si>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</si>
  <si>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</si>
  <si>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</si>
  <si>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</si>
  <si>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</si>
  <si>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</si>
  <si>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</si>
  <si>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</si>
  <si>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</si>
  <si>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</si>
  <si>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</si>
  <si>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</si>
  <si>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</si>
  <si>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</si>
  <si>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</si>
  <si>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</si>
  <si>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</si>
  <si>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</si>
  <si>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</si>
  <si>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</si>
  <si>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</si>
  <si>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</si>
  <si>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</si>
  <si>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</si>
  <si>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</si>
  <si>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</si>
  <si>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</si>
  <si>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</si>
  <si>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</si>
  <si>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</si>
  <si>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</si>
  <si>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</si>
  <si>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</si>
  <si>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</si>
  <si>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</si>
  <si>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</si>
  <si>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</si>
  <si>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</si>
  <si>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</si>
  <si>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</si>
  <si>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</si>
  <si>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</si>
  <si>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</si>
  <si>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</si>
  <si>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</si>
  <si>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</si>
  <si>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</si>
  <si>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</si>
  <si>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</si>
  <si>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</si>
  <si>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</si>
  <si>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</si>
  <si>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</si>
  <si>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</si>
  <si>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</si>
  <si>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</si>
  <si>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</si>
  <si>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</si>
  <si>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</si>
  <si>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</si>
  <si>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</si>
  <si>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</si>
  <si>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</si>
  <si>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</si>
  <si>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</si>
  <si>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</si>
  <si>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</si>
  <si>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</si>
  <si>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</si>
  <si>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</si>
  <si>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</si>
  <si>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</si>
  <si>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</si>
  <si>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</si>
  <si>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</si>
  <si>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</si>
  <si>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</si>
  <si>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</si>
  <si>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</si>
  <si>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</si>
  <si>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</si>
  <si>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</si>
  <si>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</si>
  <si>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</si>
  <si>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</si>
  <si>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</si>
  <si>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</si>
  <si>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</si>
  <si>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</si>
  <si>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</si>
  <si>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</si>
  <si>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</si>
  <si>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</si>
  <si>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</si>
  <si>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</si>
  <si>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</si>
  <si>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</si>
  <si>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</si>
  <si>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</si>
  <si>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</si>
  <si>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</si>
  <si>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</si>
  <si>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</si>
  <si>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</si>
  <si>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</si>
  <si>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</si>
  <si>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</si>
  <si>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</si>
  <si>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</si>
  <si>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</si>
  <si>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</si>
  <si>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</si>
  <si>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</si>
  <si>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</si>
  <si>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</si>
  <si>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</si>
  <si>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</si>
  <si>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</si>
  <si>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</si>
  <si>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</si>
  <si>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</si>
  <si>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</si>
  <si>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</si>
  <si>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</si>
  <si>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</si>
  <si>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</si>
  <si>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</si>
  <si>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</si>
  <si>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</si>
  <si>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</si>
  <si>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</si>
  <si>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</si>
  <si>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</si>
  <si>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</si>
  <si>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</si>
  <si>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</si>
  <si>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</si>
  <si>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</si>
  <si>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</si>
  <si>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</si>
  <si>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</si>
  <si>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</si>
  <si>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</si>
  <si>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</si>
  <si>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</si>
  <si>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</si>
  <si>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</si>
  <si>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</si>
  <si>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</si>
  <si>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</si>
  <si>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</si>
  <si>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</si>
  <si>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</si>
  <si>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</si>
  <si>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</si>
  <si>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</si>
  <si>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</si>
  <si>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</si>
  <si>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</si>
  <si>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</si>
  <si>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</si>
  <si>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</si>
  <si>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</si>
  <si>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</si>
  <si>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</si>
  <si>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</si>
  <si>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</si>
  <si>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</si>
  <si>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</si>
  <si>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</si>
  <si>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</si>
  <si>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</si>
  <si>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</si>
  <si>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</si>
  <si>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</si>
  <si>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</si>
  <si>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</si>
  <si>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</si>
  <si>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</si>
  <si>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</si>
  <si>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</si>
  <si>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</si>
  <si>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</si>
  <si>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</si>
  <si>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</si>
  <si>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</si>
  <si>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</si>
  <si>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</si>
  <si>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</si>
  <si>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</si>
  <si>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</si>
  <si>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</si>
  <si>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</si>
  <si>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</si>
  <si>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</si>
  <si>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</si>
  <si>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</si>
  <si>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</si>
  <si>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</si>
  <si>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</si>
  <si>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</si>
  <si>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</si>
  <si>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</si>
  <si>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</si>
  <si>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</si>
  <si>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</si>
  <si>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</si>
  <si>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</si>
  <si>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</si>
  <si>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</si>
  <si>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</si>
  <si>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</si>
  <si>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</si>
  <si>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</si>
  <si>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</si>
  <si>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</si>
  <si>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</si>
  <si>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</si>
  <si>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</si>
  <si>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</si>
  <si>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</si>
  <si>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</si>
  <si>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</si>
  <si>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</si>
  <si>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</si>
  <si>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</si>
  <si>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</si>
  <si>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</si>
  <si>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</si>
  <si>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</si>
  <si>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</si>
  <si>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</si>
  <si>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</si>
  <si>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</si>
  <si>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</si>
  <si>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</si>
  <si>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</si>
  <si>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</si>
  <si>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</si>
  <si>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</si>
  <si>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</si>
  <si>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</si>
  <si>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</si>
  <si>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</si>
  <si>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</si>
  <si>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</si>
  <si>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</si>
  <si>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</si>
  <si>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</si>
  <si>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</si>
  <si>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</si>
  <si>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</si>
  <si>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</si>
  <si>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</si>
  <si>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</si>
  <si>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</si>
  <si>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</si>
  <si>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</si>
  <si>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</si>
  <si>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</si>
  <si>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</si>
  <si>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</si>
  <si>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</si>
  <si>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</si>
  <si>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</si>
  <si>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</si>
  <si>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</si>
  <si>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</si>
  <si>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</si>
  <si>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</si>
  <si>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</si>
  <si>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</si>
  <si>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</si>
  <si>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</si>
  <si>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</si>
  <si>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</si>
  <si>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</si>
  <si>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</si>
  <si>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</si>
  <si>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</si>
  <si>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</si>
  <si>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</si>
  <si>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</si>
  <si>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</si>
  <si>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</si>
  <si>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</si>
  <si>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</si>
  <si>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</si>
  <si>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</si>
  <si>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</si>
  <si>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</si>
  <si>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</si>
  <si>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</si>
  <si>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</si>
  <si>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</si>
  <si>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</si>
  <si>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</si>
  <si>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</si>
  <si>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</si>
  <si>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</si>
  <si>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</si>
  <si>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</si>
  <si>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</si>
  <si>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</si>
  <si>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</si>
  <si>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</si>
  <si>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</si>
  <si>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</si>
  <si>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</si>
  <si>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</si>
  <si>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</si>
  <si>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</si>
  <si>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</si>
  <si>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</si>
  <si>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</si>
  <si>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</si>
  <si>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</si>
  <si>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</si>
  <si>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</si>
  <si>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</si>
  <si>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</si>
  <si>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</si>
  <si>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</si>
  <si>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</si>
  <si>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</si>
  <si>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</si>
  <si>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</si>
  <si>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</si>
  <si>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</si>
  <si>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</si>
  <si>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</si>
  <si>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</si>
  <si>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</si>
  <si>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</si>
  <si>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</si>
  <si>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</si>
  <si>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</si>
  <si>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</si>
  <si>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</si>
  <si>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</si>
  <si>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</si>
  <si>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</si>
  <si>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</si>
  <si>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</si>
  <si>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</si>
  <si>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</si>
  <si>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</si>
  <si>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</si>
  <si>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</si>
  <si>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</si>
  <si>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</si>
  <si>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</si>
  <si>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</si>
  <si>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</si>
  <si>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</si>
  <si>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</si>
  <si>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</si>
  <si>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</si>
  <si>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</si>
  <si>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</si>
  <si>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</si>
  <si>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</si>
  <si>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</si>
  <si>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</si>
  <si>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</si>
  <si>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</si>
  <si>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</si>
  <si>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</si>
  <si>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</si>
  <si>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</si>
  <si>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</si>
  <si>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</si>
  <si>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</si>
  <si>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</si>
  <si>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</si>
  <si>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</si>
  <si>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</si>
  <si>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</si>
  <si>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</si>
  <si>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</si>
  <si>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</si>
  <si>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</si>
  <si>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</si>
  <si>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</si>
  <si>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</si>
  <si>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</si>
  <si>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</si>
  <si>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</si>
  <si>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</si>
  <si>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</si>
  <si>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</si>
  <si>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</si>
  <si>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</si>
  <si>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</si>
  <si>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</si>
  <si>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</si>
  <si>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</si>
  <si>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</si>
  <si>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</si>
  <si>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</si>
  <si>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</si>
  <si>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</si>
  <si>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</si>
  <si>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</si>
  <si>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</si>
  <si>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</si>
  <si>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</si>
  <si>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</si>
  <si>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</si>
  <si>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</si>
  <si>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</si>
  <si>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</si>
  <si>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</si>
  <si>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</si>
  <si>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</si>
  <si>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</si>
  <si>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</si>
  <si>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</si>
  <si>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</si>
  <si>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</si>
  <si>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</si>
  <si>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</si>
  <si>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</si>
  <si>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</si>
  <si>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</si>
  <si>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</si>
  <si>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</si>
  <si>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</si>
  <si>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</si>
  <si>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</si>
  <si>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</si>
  <si>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</si>
  <si>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</si>
  <si>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</si>
  <si>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</si>
  <si>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</si>
  <si>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</si>
  <si>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</si>
  <si>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</si>
  <si>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</si>
  <si>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</si>
  <si>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</si>
  <si>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</si>
  <si>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</si>
  <si>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</si>
  <si>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</si>
  <si>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</si>
  <si>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</si>
  <si>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</si>
  <si>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</si>
  <si>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</si>
  <si>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</si>
  <si>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</si>
  <si>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</si>
  <si>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</si>
  <si>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</si>
  <si>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</si>
  <si>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</si>
  <si>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</si>
  <si>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</si>
  <si>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</si>
  <si>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</si>
  <si>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</si>
  <si>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</si>
  <si>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</si>
  <si>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</si>
  <si>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</si>
  <si>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</si>
  <si>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</si>
  <si>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</si>
  <si>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</si>
  <si>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</si>
  <si>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</si>
  <si>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</si>
  <si>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</si>
  <si>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</si>
  <si>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</si>
  <si>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</si>
  <si>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</si>
  <si>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</si>
  <si>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</si>
  <si>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</si>
  <si>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</si>
  <si>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</si>
  <si>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</si>
  <si>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</si>
  <si>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</si>
  <si>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</si>
  <si>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</si>
  <si>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</si>
  <si>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</si>
  <si>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</si>
  <si>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</si>
  <si>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</si>
  <si>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</si>
  <si>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</si>
  <si>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</si>
  <si>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</si>
  <si>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</si>
  <si>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</si>
  <si>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</si>
  <si>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</si>
  <si>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</si>
  <si>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</si>
  <si>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</si>
  <si>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</si>
  <si>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</si>
  <si>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</si>
  <si>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</si>
  <si>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</si>
  <si>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</si>
  <si>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</si>
  <si>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</si>
  <si>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</si>
  <si>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</si>
  <si>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</si>
  <si>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</si>
  <si>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</si>
  <si>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</si>
  <si>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</si>
  <si>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</si>
  <si>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</si>
  <si>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</si>
  <si>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</si>
  <si>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</si>
  <si>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</si>
  <si>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</si>
  <si>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</si>
  <si>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</si>
  <si>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</si>
  <si>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</si>
  <si>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</si>
  <si>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</si>
  <si>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</si>
  <si>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</si>
  <si>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</si>
  <si>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</si>
  <si>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</si>
  <si>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</si>
  <si>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</si>
  <si>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</si>
  <si>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</si>
  <si>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</si>
  <si>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</si>
  <si>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</si>
  <si>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</si>
  <si>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</si>
  <si>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</si>
  <si>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</si>
  <si>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</si>
  <si>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</si>
  <si>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</si>
  <si>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</si>
  <si>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</si>
  <si>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</si>
  <si>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</si>
  <si>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</si>
  <si>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</si>
  <si>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</si>
  <si>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</si>
  <si>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</si>
  <si>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</si>
  <si>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</si>
  <si>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</si>
  <si>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</si>
  <si>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</si>
  <si>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</si>
  <si>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</si>
  <si>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</si>
  <si>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</si>
  <si>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</si>
  <si>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</si>
  <si>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</si>
  <si>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</si>
  <si>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</si>
  <si>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</si>
  <si>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</si>
  <si>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</si>
  <si>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</si>
  <si>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</si>
  <si>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</si>
  <si>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</si>
  <si>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</si>
  <si>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</si>
  <si>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</si>
  <si>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</si>
  <si>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</si>
  <si>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</si>
  <si>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</si>
  <si>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</si>
  <si>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</si>
  <si>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</si>
  <si>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</si>
  <si>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</si>
  <si>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</si>
  <si>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</si>
  <si>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</si>
  <si>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</si>
  <si>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</si>
  <si>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</si>
  <si>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</si>
  <si>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</si>
  <si>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</si>
  <si>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</si>
  <si>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</si>
  <si>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</si>
  <si>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</si>
  <si>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</si>
  <si>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</si>
  <si>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</si>
  <si>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</si>
  <si>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</si>
  <si>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</si>
  <si>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</si>
  <si>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</si>
  <si>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</si>
  <si>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</si>
  <si>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</si>
  <si>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</si>
  <si>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</si>
  <si>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</si>
  <si>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</si>
  <si>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</si>
  <si>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</si>
  <si>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</si>
  <si>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</si>
  <si>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</si>
  <si>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</si>
  <si>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</si>
  <si>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</si>
  <si>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</si>
  <si>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</si>
  <si>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</si>
  <si>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</si>
  <si>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</si>
  <si>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</si>
  <si>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</si>
  <si>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</si>
  <si>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</si>
  <si>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</si>
  <si>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</si>
  <si>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</si>
  <si>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</si>
  <si>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</si>
  <si>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</si>
  <si>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</si>
  <si>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</si>
  <si>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</si>
  <si>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</si>
  <si>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</si>
  <si>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</si>
  <si>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</si>
  <si>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</si>
  <si>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</si>
  <si>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</si>
  <si>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</si>
  <si>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</si>
  <si>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</si>
  <si>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</si>
  <si>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</si>
  <si>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</si>
  <si>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</si>
  <si>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</si>
  <si>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</si>
  <si>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</si>
  <si>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</si>
  <si>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</si>
  <si>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</si>
  <si>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</si>
  <si>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</si>
  <si>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</si>
  <si>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</si>
  <si>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</si>
  <si>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</si>
  <si>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</si>
  <si>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</si>
  <si>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</si>
  <si>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</si>
  <si>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</si>
  <si>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</si>
  <si>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</si>
  <si>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</si>
  <si>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</si>
  <si>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</si>
  <si>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</si>
  <si>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</si>
  <si>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</si>
  <si>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</si>
  <si>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</si>
  <si>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</si>
  <si>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</si>
  <si>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</si>
  <si>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</si>
  <si>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</si>
  <si>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</si>
  <si>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</si>
  <si>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</si>
  <si>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</si>
  <si>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</si>
  <si>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</si>
  <si>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</si>
  <si>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</si>
  <si>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</si>
  <si>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</si>
  <si>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</si>
  <si>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</si>
  <si>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</si>
  <si>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</si>
  <si>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</si>
  <si>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</si>
  <si>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</si>
  <si>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</si>
  <si>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</si>
  <si>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</si>
  <si>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</si>
  <si>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</si>
  <si>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</si>
  <si>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</si>
  <si>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</si>
  <si>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</si>
  <si>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</si>
  <si>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</si>
  <si>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</si>
  <si>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</si>
  <si>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</si>
  <si>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</si>
  <si>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</si>
  <si>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</si>
  <si>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</si>
  <si>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</si>
  <si>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</si>
  <si>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</si>
  <si>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</si>
  <si>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</si>
  <si>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</si>
  <si>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</si>
  <si>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</si>
  <si>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</si>
  <si>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</si>
  <si>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</si>
  <si>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</si>
  <si>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</si>
  <si>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</si>
  <si>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</si>
  <si>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</si>
  <si>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</si>
  <si>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</si>
  <si>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</si>
  <si>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</si>
  <si>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</si>
  <si>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</si>
  <si>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</si>
  <si>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</si>
  <si>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</si>
  <si>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</si>
  <si>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</si>
  <si>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</si>
  <si>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</si>
  <si>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</si>
  <si>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</si>
  <si>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</si>
  <si>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</si>
  <si>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</si>
  <si>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</si>
  <si>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</si>
  <si>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</si>
  <si>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</si>
  <si>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</si>
  <si>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</si>
  <si>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</si>
  <si>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</si>
  <si>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</si>
  <si>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</si>
  <si>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</si>
  <si>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</si>
  <si>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</si>
  <si>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</si>
  <si>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</si>
  <si>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</si>
  <si>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</si>
  <si>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</si>
  <si>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</si>
  <si>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</si>
  <si>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</si>
  <si>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</si>
  <si>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</si>
  <si>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</si>
  <si>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</si>
  <si>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</si>
  <si>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</si>
  <si>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</si>
  <si>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</si>
  <si>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</si>
  <si>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</si>
  <si>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</si>
  <si>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</si>
  <si>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</si>
  <si>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</si>
  <si>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</si>
  <si>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</si>
  <si>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</si>
  <si>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</si>
  <si>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</si>
  <si>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</si>
  <si>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</si>
  <si>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</si>
  <si>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</si>
  <si>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</si>
  <si>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</si>
  <si>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</si>
  <si>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</si>
  <si>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</si>
  <si>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</si>
  <si>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</si>
  <si>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</si>
  <si>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</si>
  <si>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</si>
  <si>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</si>
  <si>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</si>
  <si>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</si>
  <si>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</si>
  <si>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</si>
  <si>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</si>
  <si>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</si>
  <si>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</si>
  <si>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</si>
  <si>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</si>
  <si>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</si>
  <si>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</si>
  <si>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</si>
  <si>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</si>
  <si>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</si>
  <si>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</si>
  <si>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</si>
  <si>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</si>
  <si>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</si>
  <si>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</si>
  <si>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</si>
  <si>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</si>
  <si>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</si>
  <si>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</si>
  <si>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</si>
  <si>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</si>
  <si>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</si>
  <si>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</si>
  <si>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</si>
  <si>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</si>
  <si>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</si>
  <si>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</si>
  <si>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</si>
  <si>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</si>
  <si>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</si>
  <si>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</si>
  <si>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</si>
  <si>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</si>
  <si>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</si>
  <si>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</si>
  <si>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</si>
  <si>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</si>
  <si>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</si>
  <si>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</si>
  <si>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</si>
  <si>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</si>
  <si>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</si>
  <si>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</si>
  <si>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</si>
  <si>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</si>
  <si>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</si>
  <si>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</si>
  <si>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</si>
  <si>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</si>
  <si>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</si>
  <si>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</si>
  <si>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</si>
  <si>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</si>
  <si>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</si>
  <si>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</si>
  <si>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</si>
  <si>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</si>
  <si>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</si>
  <si>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</si>
  <si>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</si>
  <si>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</si>
  <si>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</si>
  <si>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</si>
  <si>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</si>
  <si>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</si>
  <si>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</si>
  <si>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</si>
  <si>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</si>
  <si>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</si>
  <si>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</si>
  <si>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</si>
  <si>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</si>
  <si>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</si>
  <si>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</si>
  <si>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</si>
  <si>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</si>
  <si>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</si>
  <si>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</si>
  <si>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</si>
  <si>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</si>
  <si>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</si>
  <si>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</si>
  <si>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</si>
  <si>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</si>
  <si>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</si>
  <si>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</si>
  <si>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</si>
  <si>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</si>
  <si>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</si>
  <si>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</si>
  <si>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</si>
  <si>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</si>
  <si>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</si>
  <si>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</si>
  <si>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</si>
  <si>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</si>
  <si>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</si>
  <si>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</si>
  <si>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</si>
  <si>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</si>
  <si>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</si>
  <si>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</si>
  <si>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</si>
  <si>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</si>
  <si>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</si>
  <si>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</si>
  <si>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</si>
  <si>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</si>
  <si>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</si>
  <si>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</si>
  <si>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</si>
  <si>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</si>
  <si>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</si>
  <si>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</si>
  <si>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</si>
  <si>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</si>
  <si>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</si>
  <si>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</si>
  <si>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</si>
  <si>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</si>
  <si>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</si>
  <si>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</si>
  <si>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</si>
  <si>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</si>
  <si>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</si>
  <si>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</si>
  <si>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</si>
  <si>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</si>
  <si>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</si>
  <si>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</si>
  <si>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</si>
  <si>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</si>
  <si>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</si>
  <si>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</si>
  <si>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</si>
  <si>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</si>
  <si>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</si>
  <si>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</si>
  <si>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</si>
  <si>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</si>
  <si>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</si>
  <si>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</si>
  <si>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</si>
  <si>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</si>
  <si>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</si>
  <si>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</si>
  <si>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</si>
  <si>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</si>
  <si>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</si>
  <si>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</si>
  <si>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</si>
  <si>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</si>
  <si>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</si>
  <si>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</si>
  <si>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</si>
  <si>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</si>
  <si>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</si>
  <si>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</si>
  <si>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</si>
  <si>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</si>
  <si>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</si>
  <si>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</si>
  <si>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</si>
  <si>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</si>
  <si>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</si>
  <si>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</si>
  <si>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</si>
  <si>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</si>
  <si>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</si>
  <si>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</si>
  <si>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</si>
  <si>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</si>
  <si>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</si>
  <si>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</si>
  <si>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</si>
  <si>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</si>
  <si>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</si>
  <si>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</si>
  <si>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</si>
  <si>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</si>
  <si>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</si>
  <si>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</si>
  <si>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</si>
  <si>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</si>
  <si>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</si>
  <si>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</si>
  <si>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</si>
  <si>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</si>
  <si>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</si>
  <si>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</si>
  <si>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</si>
  <si>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</si>
  <si>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</si>
  <si>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</si>
  <si>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</si>
  <si>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</si>
  <si>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</si>
  <si>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</si>
  <si>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</si>
  <si>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</si>
  <si>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</si>
  <si>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</si>
  <si>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</si>
  <si>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</si>
  <si>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</si>
  <si>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</si>
  <si>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</si>
  <si>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</si>
  <si>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</si>
  <si>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</si>
  <si>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</si>
  <si>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</si>
  <si>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</si>
  <si>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</si>
  <si>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</si>
  <si>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</si>
  <si>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</si>
  <si>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</si>
  <si>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</si>
  <si>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</si>
  <si>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</si>
  <si>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</si>
  <si>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</si>
  <si>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</si>
  <si>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</si>
  <si>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</si>
  <si>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</si>
  <si>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</si>
  <si>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</si>
  <si>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</si>
  <si>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</si>
  <si>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</si>
  <si>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</si>
  <si>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</si>
  <si>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</si>
  <si>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</si>
  <si>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</si>
  <si>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</si>
  <si>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</si>
  <si>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</si>
  <si>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</si>
  <si>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</si>
  <si>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</si>
  <si>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</si>
  <si>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</si>
  <si>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</si>
  <si>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</si>
  <si>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</si>
  <si>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</si>
  <si>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</si>
  <si>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</si>
  <si>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</si>
  <si>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</si>
  <si>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</si>
  <si>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</si>
  <si>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</si>
  <si>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</si>
  <si>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</si>
  <si>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</si>
  <si>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</si>
  <si>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</si>
  <si>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</si>
  <si>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</si>
  <si>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</si>
  <si>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</si>
  <si>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</si>
  <si>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</si>
  <si>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</si>
  <si>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</si>
  <si>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</si>
  <si>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</si>
  <si>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</si>
  <si>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</si>
  <si>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</si>
  <si>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</si>
  <si>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</si>
  <si>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</si>
  <si>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</si>
  <si>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</si>
  <si>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</si>
  <si>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</si>
  <si>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</si>
  <si>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</si>
  <si>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</si>
  <si>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</si>
  <si>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</si>
  <si>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</si>
  <si>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</si>
  <si>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</si>
  <si>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</si>
  <si>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</si>
  <si>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</si>
  <si>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</si>
  <si>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</si>
  <si>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</si>
  <si>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</si>
  <si>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</si>
  <si>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</si>
  <si>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</si>
  <si>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</si>
  <si>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</si>
  <si>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</si>
  <si>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</si>
  <si>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</si>
  <si>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</si>
  <si>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</si>
  <si>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</si>
  <si>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</si>
  <si>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</si>
  <si>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</si>
  <si>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</si>
  <si>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</si>
  <si>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</si>
  <si>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</si>
  <si>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</si>
  <si>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</si>
  <si>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</si>
  <si>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</si>
  <si>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</si>
  <si>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</si>
  <si>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</si>
  <si>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</si>
  <si>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</si>
  <si>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</si>
  <si>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</si>
  <si>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</si>
  <si>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</si>
  <si>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</si>
  <si>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</si>
  <si>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</si>
  <si>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</si>
  <si>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</si>
  <si>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</si>
  <si>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</si>
  <si>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</si>
  <si>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</si>
  <si>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</si>
  <si>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</si>
  <si>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</si>
  <si>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</si>
  <si>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</si>
  <si>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</si>
  <si>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</si>
  <si>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</si>
  <si>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</si>
  <si>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</si>
  <si>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</si>
  <si>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</si>
  <si>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</si>
  <si>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</si>
  <si>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</si>
  <si>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</si>
  <si>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</si>
  <si>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</si>
  <si>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</si>
  <si>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</si>
  <si>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</si>
  <si>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</si>
  <si>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</si>
  <si>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</si>
  <si>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</si>
  <si>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</si>
  <si>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</si>
  <si>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</si>
  <si>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</si>
  <si>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</si>
  <si>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</si>
  <si>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</si>
  <si>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</si>
  <si>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</si>
  <si>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</si>
  <si>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</si>
  <si>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</si>
  <si>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</si>
  <si>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</si>
  <si>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</si>
  <si>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</si>
  <si>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</si>
  <si>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</si>
  <si>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</si>
  <si>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</si>
  <si>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</si>
  <si>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</si>
  <si>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</si>
  <si>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</si>
  <si>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</si>
  <si>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</si>
  <si>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</si>
  <si>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</si>
  <si>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</si>
  <si>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</si>
  <si>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</si>
  <si>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</si>
  <si>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</si>
  <si>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</si>
  <si>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</si>
  <si>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</si>
  <si>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</si>
  <si>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</si>
  <si>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</si>
  <si>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</si>
  <si>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</si>
  <si>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</si>
  <si>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</si>
  <si>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</si>
  <si>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</si>
  <si>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</si>
  <si>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</si>
  <si>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</si>
  <si>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</si>
  <si>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</si>
  <si>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</si>
  <si>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</si>
  <si>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</si>
  <si>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</si>
  <si>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</si>
  <si>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</si>
  <si>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</si>
  <si>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</si>
  <si>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</si>
  <si>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</si>
  <si>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</si>
  <si>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</si>
  <si>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</si>
  <si>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</si>
  <si>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</si>
  <si>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</si>
  <si>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</si>
  <si>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</si>
  <si>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</si>
  <si>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</si>
  <si>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</si>
  <si>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</si>
  <si>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</si>
  <si>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</si>
  <si>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</si>
  <si>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</si>
  <si>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</si>
  <si>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</si>
  <si>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</si>
  <si>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</si>
  <si>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</si>
  <si>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</si>
  <si>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</si>
  <si>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</si>
  <si>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</si>
  <si>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</si>
  <si>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</si>
  <si>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</si>
  <si>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</si>
  <si>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</si>
  <si>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</si>
  <si>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</si>
  <si>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</si>
  <si>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</si>
  <si>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</si>
  <si>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</si>
  <si>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</si>
  <si>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</si>
  <si>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</si>
  <si>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</si>
  <si>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</si>
  <si>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</si>
  <si>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</si>
  <si>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</si>
  <si>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</si>
  <si>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</si>
  <si>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</si>
  <si>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</si>
  <si>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</si>
  <si>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</si>
  <si>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</si>
  <si>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</si>
  <si>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</si>
  <si>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</si>
  <si>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</si>
  <si>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</si>
  <si>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</si>
  <si>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</si>
  <si>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</si>
  <si>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</si>
  <si>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</si>
  <si>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</si>
  <si>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</si>
  <si>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</si>
  <si>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</si>
  <si>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</si>
  <si>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</si>
  <si>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</si>
  <si>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</si>
  <si>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</si>
  <si>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</si>
  <si>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</si>
  <si>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</si>
  <si>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</si>
  <si>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</si>
  <si>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</si>
  <si>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</si>
  <si>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</si>
  <si>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</si>
  <si>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</si>
  <si>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</si>
  <si>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</si>
  <si>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</si>
  <si>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</si>
  <si>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</si>
  <si>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</si>
  <si>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</si>
  <si>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</si>
  <si>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</si>
  <si>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</si>
  <si>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</si>
  <si>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</si>
  <si>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</si>
  <si>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</si>
  <si>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</si>
  <si>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</si>
  <si>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</si>
  <si>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</si>
  <si>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</si>
  <si>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</si>
  <si>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</si>
  <si>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</si>
  <si>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</si>
  <si>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</si>
  <si>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</si>
  <si>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</si>
  <si>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</si>
  <si>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</si>
  <si>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</si>
  <si>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</si>
  <si>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</si>
  <si>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</si>
  <si>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</si>
  <si>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</si>
  <si>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</si>
  <si>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</si>
  <si>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</si>
  <si>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</si>
  <si>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</si>
  <si>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</si>
  <si>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</si>
  <si>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</si>
  <si>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</si>
  <si>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</si>
  <si>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</si>
  <si>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</si>
  <si>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</si>
  <si>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</si>
  <si>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</si>
  <si>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</si>
  <si>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</si>
  <si>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</si>
  <si>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</si>
  <si>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</si>
  <si>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</si>
  <si>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</si>
  <si>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</si>
  <si>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</si>
  <si>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</si>
  <si>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</si>
  <si>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</si>
  <si>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</si>
  <si>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</si>
  <si>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</si>
  <si>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</si>
  <si>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</si>
  <si>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</si>
  <si>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</si>
  <si>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</si>
  <si>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</si>
  <si>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</si>
  <si>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</si>
  <si>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</si>
  <si>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</si>
  <si>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</si>
  <si>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</si>
  <si>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</si>
  <si>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</si>
  <si>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</si>
  <si>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</si>
  <si>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</si>
  <si>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</si>
  <si>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</si>
  <si>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</si>
  <si>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</si>
  <si>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</si>
  <si>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</si>
  <si>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</si>
  <si>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</si>
  <si>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</si>
  <si>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</si>
  <si>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</si>
  <si>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</si>
  <si>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</si>
  <si>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</si>
  <si>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</si>
  <si>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</si>
  <si>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</si>
  <si>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</si>
  <si>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</si>
  <si>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</si>
  <si>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</si>
  <si>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</si>
  <si>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</si>
  <si>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</si>
  <si>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</si>
  <si>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</si>
  <si>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</si>
  <si>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</si>
  <si>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</si>
  <si>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</si>
  <si>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</si>
  <si>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</si>
  <si>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</si>
  <si>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</si>
  <si>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</si>
  <si>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</si>
  <si>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</si>
  <si>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</si>
  <si>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</si>
  <si>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</si>
  <si>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</si>
  <si>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</si>
  <si>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</si>
  <si>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</si>
  <si>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</si>
  <si>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</si>
  <si>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</si>
  <si>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</si>
  <si>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</si>
  <si>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</si>
  <si>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</si>
  <si>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</si>
  <si>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</si>
  <si>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</si>
  <si>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</si>
  <si>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</si>
  <si>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</si>
  <si>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</si>
  <si>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</si>
  <si>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</si>
  <si>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</si>
  <si>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</si>
  <si>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</si>
  <si>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</si>
  <si>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</si>
  <si>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</si>
  <si>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</si>
  <si>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</si>
  <si>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</si>
  <si>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</si>
  <si>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</si>
  <si>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</si>
  <si>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</si>
  <si>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</si>
  <si>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</si>
  <si>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</si>
  <si>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</si>
  <si>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</si>
  <si>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</si>
  <si>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</si>
  <si>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</si>
  <si>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</si>
  <si>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</si>
  <si>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</si>
  <si>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</si>
  <si>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</si>
  <si>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</si>
  <si>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</si>
  <si>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</si>
  <si>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</si>
  <si>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</si>
  <si>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</si>
  <si>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</si>
  <si>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</si>
  <si>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</si>
  <si>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</si>
  <si>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</si>
  <si>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</si>
  <si>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</si>
  <si>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</si>
  <si>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</si>
  <si>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</si>
  <si>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</si>
  <si>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</si>
  <si>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</si>
  <si>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</si>
  <si>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</si>
  <si>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</si>
  <si>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</si>
  <si>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</si>
  <si>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</si>
  <si>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</si>
  <si>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</si>
  <si>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</si>
  <si>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</si>
  <si>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</si>
  <si>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</si>
  <si>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</si>
  <si>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</si>
  <si>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</si>
  <si>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</si>
  <si>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</si>
  <si>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</si>
  <si>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</si>
  <si>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</si>
  <si>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</si>
  <si>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</si>
  <si>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</si>
  <si>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</si>
  <si>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</si>
  <si>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</si>
  <si>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</si>
  <si>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</si>
  <si>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</si>
  <si>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</si>
  <si>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</si>
  <si>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</si>
  <si>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</si>
  <si>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</si>
  <si>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</si>
  <si>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</si>
  <si>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</si>
  <si>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</si>
  <si>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</si>
  <si>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</si>
  <si>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</si>
  <si>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</si>
  <si>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</si>
  <si>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</si>
  <si>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</si>
  <si>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</si>
  <si>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</si>
  <si>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</si>
  <si>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</si>
  <si>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</si>
  <si>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</si>
  <si>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</si>
  <si>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</si>
  <si>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</si>
  <si>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</si>
  <si>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</si>
  <si>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</si>
  <si>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</si>
  <si>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</si>
  <si>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</si>
  <si>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</si>
  <si>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</si>
  <si>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</si>
  <si>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</si>
  <si>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</si>
  <si>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</si>
  <si>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</si>
  <si>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</si>
  <si>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</si>
  <si>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</si>
  <si>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</si>
  <si>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</si>
  <si>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</si>
  <si>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</si>
  <si>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</si>
  <si>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</si>
  <si>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</si>
  <si>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</si>
  <si>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</si>
  <si>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</si>
  <si>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</si>
  <si>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</si>
  <si>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</si>
  <si>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</si>
  <si>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</si>
  <si>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</si>
  <si>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</si>
  <si>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</si>
  <si>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</si>
  <si>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</si>
  <si>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</si>
  <si>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</si>
  <si>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</si>
  <si>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</si>
  <si>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</si>
  <si>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</si>
  <si>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</si>
  <si>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</si>
  <si>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</si>
  <si>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</si>
  <si>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</si>
  <si>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</si>
  <si>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</si>
  <si>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</si>
  <si>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</si>
  <si>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</si>
  <si>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</si>
  <si>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</si>
  <si>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</si>
  <si>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</si>
  <si>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</si>
  <si>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</si>
  <si>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</si>
  <si>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</si>
  <si>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</si>
  <si>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</si>
  <si>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</si>
  <si>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</si>
  <si>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</si>
  <si>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</si>
  <si>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</si>
  <si>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</si>
  <si>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</si>
  <si>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</si>
  <si>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</si>
  <si>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</si>
  <si>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</si>
  <si>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</si>
  <si>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</si>
  <si>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</si>
  <si>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</si>
  <si>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</si>
  <si>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</si>
  <si>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</si>
  <si>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</si>
  <si>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</si>
  <si>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</si>
  <si>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</si>
  <si>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</si>
  <si>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</si>
  <si>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</si>
  <si>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</si>
  <si>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</si>
  <si>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</si>
  <si>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</si>
  <si>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</si>
  <si>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</si>
  <si>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</si>
  <si>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</si>
  <si>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</si>
  <si>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</si>
  <si>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</si>
  <si>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</si>
  <si>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</si>
  <si>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</si>
  <si>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</si>
  <si>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</si>
  <si>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</si>
  <si>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</si>
  <si>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</si>
  <si>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</si>
  <si>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</si>
  <si>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</si>
  <si>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</si>
  <si>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</si>
  <si>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</si>
  <si>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</si>
  <si>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</si>
  <si>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</si>
  <si>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</si>
  <si>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</si>
  <si>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</si>
  <si>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</si>
  <si>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</si>
  <si>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</si>
  <si>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</si>
  <si>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</si>
  <si>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</si>
  <si>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</si>
  <si>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</si>
  <si>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</si>
  <si>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</si>
  <si>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</si>
  <si>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</si>
  <si>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</si>
  <si>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</si>
  <si>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</si>
  <si>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</si>
  <si>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</si>
  <si>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</si>
  <si>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</si>
  <si>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</si>
  <si>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</si>
  <si>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</si>
  <si>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</si>
  <si>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</si>
  <si>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</si>
  <si>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</si>
  <si>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</si>
  <si>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</si>
  <si>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</si>
  <si>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</si>
  <si>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</si>
  <si>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</si>
  <si>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</si>
  <si>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</si>
  <si>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</si>
  <si>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</si>
  <si>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</si>
  <si>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</si>
  <si>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</si>
  <si>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</si>
  <si>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</si>
  <si>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</si>
  <si>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</si>
  <si>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</si>
  <si>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</si>
  <si>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</si>
  <si>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</si>
  <si>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</si>
  <si>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</si>
  <si>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</si>
  <si>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</si>
  <si>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</si>
  <si>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</si>
  <si>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</si>
  <si>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</si>
  <si>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</si>
  <si>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</si>
  <si>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</si>
  <si>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</si>
  <si>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</si>
  <si>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</si>
  <si>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</si>
  <si>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</si>
  <si>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</si>
  <si>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</si>
  <si>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</si>
  <si>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</si>
  <si>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</si>
  <si>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</si>
  <si>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</si>
  <si>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</si>
  <si>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</si>
  <si>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</si>
  <si>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</si>
  <si>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</si>
  <si>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</si>
  <si>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</si>
  <si>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</si>
  <si>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</si>
  <si>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</si>
  <si>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</si>
  <si>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</si>
  <si>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</si>
  <si>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</si>
  <si>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</si>
  <si>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</si>
  <si>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</si>
  <si>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</si>
  <si>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</si>
  <si>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</si>
  <si>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</si>
  <si>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</si>
  <si>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</si>
  <si>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</si>
  <si>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</si>
  <si>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</si>
  <si>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</si>
  <si>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</si>
  <si>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</si>
  <si>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</si>
  <si>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</si>
  <si>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</si>
  <si>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</si>
  <si>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</si>
  <si>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</si>
  <si>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</si>
  <si>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</si>
  <si>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</si>
  <si>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</si>
  <si>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</si>
  <si>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</si>
  <si>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</si>
  <si>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</si>
  <si>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</si>
  <si>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</si>
  <si>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</si>
  <si>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</si>
  <si>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</si>
  <si>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</si>
  <si>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</si>
  <si>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</si>
  <si>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</si>
  <si>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</si>
  <si>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</si>
  <si>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</si>
  <si>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</si>
  <si>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</si>
  <si>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</si>
  <si>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</si>
  <si>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</si>
  <si>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</si>
  <si>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</si>
  <si>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</si>
  <si>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</si>
  <si>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</si>
  <si>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</si>
  <si>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</si>
  <si>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</si>
  <si>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</si>
  <si>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</si>
  <si>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</si>
  <si>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</si>
  <si>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</si>
  <si>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</si>
  <si>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</si>
  <si>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</si>
  <si>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</si>
  <si>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</si>
  <si>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</si>
  <si>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</si>
  <si>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</si>
  <si>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</si>
  <si>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</si>
  <si>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</si>
  <si>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</si>
  <si>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</si>
  <si>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</si>
  <si>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</si>
  <si>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</si>
  <si>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</si>
  <si>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</si>
  <si>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</si>
  <si>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</si>
  <si>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</si>
  <si>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</si>
  <si>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</si>
  <si>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</si>
  <si>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</si>
  <si>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</si>
  <si>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</si>
  <si>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</si>
  <si>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</si>
  <si>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</si>
  <si>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</si>
  <si>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</si>
  <si>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</si>
  <si>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</si>
  <si>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</si>
  <si>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</si>
  <si>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</si>
  <si>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</si>
  <si>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</si>
  <si>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</si>
  <si>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</si>
  <si>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</si>
  <si>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</si>
  <si>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</si>
  <si>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</si>
  <si>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</si>
  <si>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</si>
  <si>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</si>
  <si>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</si>
  <si>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</si>
  <si>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</si>
  <si>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</si>
  <si>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</si>
  <si>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</si>
  <si>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</si>
  <si>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</si>
  <si>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</si>
  <si>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</si>
  <si>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</si>
  <si>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</si>
  <si>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</si>
  <si>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</si>
  <si>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</si>
  <si>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</si>
  <si>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</si>
  <si>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</si>
  <si>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</si>
  <si>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</si>
  <si>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</si>
  <si>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</si>
  <si>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</si>
  <si>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</si>
  <si>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</si>
  <si>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</si>
  <si>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</si>
  <si>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</si>
  <si>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</si>
  <si>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</si>
  <si>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</si>
  <si>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</si>
  <si>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</si>
  <si>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</si>
  <si>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</si>
  <si>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</si>
  <si>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</si>
  <si>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</si>
  <si>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</si>
  <si>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</si>
  <si>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</si>
  <si>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</si>
  <si>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</si>
  <si>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</si>
  <si>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</si>
  <si>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</si>
  <si>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</si>
  <si>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</si>
  <si>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</si>
  <si>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</si>
  <si>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</si>
  <si>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</si>
  <si>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</si>
  <si>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</si>
  <si>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</si>
  <si>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</si>
  <si>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</si>
  <si>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</si>
  <si>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</si>
  <si>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</si>
  <si>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</si>
  <si>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</si>
  <si>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</si>
  <si>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</si>
  <si>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</si>
  <si>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</si>
  <si>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</si>
  <si>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</si>
  <si>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</si>
  <si>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</si>
  <si>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</si>
  <si>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</si>
  <si>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</si>
  <si>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</si>
  <si>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</si>
  <si>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</si>
  <si>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</si>
  <si>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</si>
  <si>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</si>
  <si>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</si>
  <si>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</si>
  <si>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</si>
  <si>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</si>
  <si>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</si>
  <si>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</si>
  <si>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</si>
  <si>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</si>
  <si>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</si>
  <si>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</si>
  <si>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</si>
  <si>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</si>
  <si>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</si>
  <si>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</si>
  <si>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</si>
  <si>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</si>
  <si>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</si>
  <si>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</si>
  <si>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</si>
  <si>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</si>
  <si>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</si>
  <si>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</si>
  <si>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</si>
  <si>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</si>
  <si>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</si>
  <si>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</si>
  <si>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</si>
  <si>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</si>
  <si>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</si>
  <si>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</si>
  <si>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</si>
  <si>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</si>
  <si>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</si>
  <si>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</si>
  <si>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</si>
  <si>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</si>
  <si>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</si>
  <si>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</si>
  <si>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</si>
  <si>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</si>
  <si>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</si>
  <si>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</si>
  <si>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</si>
  <si>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</si>
  <si>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</si>
  <si>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</si>
  <si>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</si>
  <si>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</si>
  <si>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</si>
  <si>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</si>
  <si>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</si>
  <si>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</si>
  <si>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</si>
  <si>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</si>
  <si>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</si>
  <si>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</si>
  <si>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</si>
  <si>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</si>
  <si>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</si>
  <si>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</si>
  <si>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</si>
  <si>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</si>
  <si>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</si>
  <si>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</si>
  <si>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</si>
  <si>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</si>
  <si>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</si>
  <si>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</si>
  <si>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</si>
  <si>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</si>
  <si>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</si>
  <si>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</si>
  <si>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</si>
  <si>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</si>
  <si>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</si>
  <si>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</si>
  <si>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</si>
  <si>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</si>
  <si>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</si>
  <si>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</si>
  <si>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</si>
  <si>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</si>
  <si>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</si>
  <si>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</si>
  <si>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</si>
  <si>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</si>
  <si>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</si>
  <si>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</si>
  <si>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</si>
  <si>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</si>
  <si>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</si>
  <si>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</si>
  <si>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</si>
  <si>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</si>
  <si>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</si>
  <si>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</si>
  <si>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</si>
  <si>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</si>
  <si>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</si>
  <si>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</si>
  <si>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</si>
  <si>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</si>
  <si>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</si>
  <si>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</si>
  <si>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</si>
  <si>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</si>
  <si>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</si>
  <si>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</si>
  <si>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</si>
  <si>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</si>
  <si>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</si>
  <si>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</si>
  <si>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</si>
  <si>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</si>
  <si>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</si>
  <si>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</si>
  <si>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</si>
  <si>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</si>
  <si>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</si>
  <si>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</si>
  <si>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</si>
  <si>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</si>
  <si>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</si>
  <si>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</si>
  <si>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</si>
  <si>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</si>
  <si>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</si>
  <si>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</si>
  <si>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</si>
  <si>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</si>
  <si>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</si>
  <si>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</si>
  <si>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</si>
  <si>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</si>
  <si>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</si>
  <si>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</si>
  <si>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</si>
  <si>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</si>
  <si>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</si>
  <si>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</si>
  <si>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</si>
  <si>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</si>
  <si>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</si>
  <si>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</si>
  <si>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</si>
  <si>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</si>
  <si>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</si>
  <si>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</si>
  <si>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</si>
  <si>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</si>
  <si>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</si>
  <si>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</si>
  <si>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</si>
  <si>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</si>
  <si>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</si>
  <si>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</si>
  <si>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</si>
  <si>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</si>
  <si>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</si>
  <si>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</si>
  <si>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</si>
  <si>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</si>
  <si>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</si>
  <si>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</si>
  <si>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</si>
  <si>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</si>
  <si>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</si>
  <si>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</si>
  <si>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</si>
  <si>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</si>
  <si>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</si>
  <si>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</si>
  <si>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</si>
  <si>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</si>
  <si>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</si>
  <si>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</si>
  <si>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</si>
  <si>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</si>
  <si>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</si>
  <si>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</si>
  <si>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</si>
  <si>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</si>
  <si>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</si>
  <si>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</si>
  <si>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</si>
  <si>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</si>
  <si>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</si>
  <si>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</si>
  <si>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</si>
  <si>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</si>
  <si>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</si>
  <si>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</si>
  <si>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</si>
  <si>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</si>
  <si>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</si>
  <si>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</si>
  <si>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</si>
  <si>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</si>
  <si>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</si>
  <si>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</si>
  <si>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</si>
  <si>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</si>
  <si>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</si>
  <si>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</si>
  <si>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</si>
  <si>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</si>
  <si>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</si>
  <si>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</si>
  <si>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</si>
  <si>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</si>
  <si>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</si>
  <si>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</si>
  <si>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</si>
  <si>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</si>
  <si>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</si>
  <si>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</si>
  <si>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</si>
  <si>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</si>
  <si>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</si>
  <si>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</si>
  <si>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</si>
  <si>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</si>
  <si>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</si>
  <si>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</si>
  <si>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</si>
  <si>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</si>
  <si>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</si>
  <si>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</si>
  <si>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</si>
  <si>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</si>
  <si>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</si>
  <si>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</si>
  <si>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</si>
  <si>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</si>
  <si>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</si>
  <si>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</si>
  <si>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</si>
  <si>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</si>
  <si>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</si>
  <si>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</si>
  <si>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</si>
  <si>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</si>
  <si>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</si>
  <si>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</si>
  <si>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</si>
  <si>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</si>
  <si>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</si>
  <si>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</si>
  <si>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</si>
  <si>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</si>
  <si>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</si>
  <si>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</si>
  <si>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</si>
  <si>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</si>
  <si>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</si>
  <si>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</si>
  <si>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</si>
  <si>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</si>
  <si>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</si>
  <si>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</si>
  <si>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</si>
  <si>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</si>
  <si>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</si>
  <si>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</si>
  <si>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</si>
  <si>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</si>
  <si>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</si>
  <si>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</si>
  <si>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</si>
  <si>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</si>
  <si>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</si>
  <si>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</si>
  <si>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</si>
  <si>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</si>
  <si>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</si>
  <si>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</si>
  <si>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</si>
  <si>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</si>
  <si>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</si>
  <si>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</si>
  <si>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</si>
  <si>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</si>
  <si>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</si>
  <si>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</si>
  <si>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</si>
  <si>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</si>
  <si>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</si>
  <si>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</si>
  <si>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</si>
  <si>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</si>
  <si>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</si>
  <si>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</si>
  <si>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</si>
  <si>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</si>
  <si>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</si>
  <si>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</si>
  <si>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</si>
  <si>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</si>
  <si>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</si>
  <si>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</si>
  <si>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</si>
  <si>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</si>
  <si>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</si>
  <si>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</si>
  <si>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</si>
  <si>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</si>
  <si>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</si>
  <si>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</si>
  <si>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</si>
  <si>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</si>
  <si>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</si>
  <si>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</si>
  <si>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</si>
  <si>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</si>
  <si>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</si>
  <si>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</si>
  <si>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</si>
  <si>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</si>
  <si>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</si>
  <si>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</si>
  <si>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</si>
  <si>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</si>
  <si>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</si>
  <si>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</si>
  <si>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</si>
  <si>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</si>
  <si>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</si>
  <si>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</si>
  <si>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</si>
  <si>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</si>
  <si>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</si>
  <si>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</si>
  <si>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</si>
  <si>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</si>
  <si>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</si>
  <si>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</si>
  <si>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</si>
  <si>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</si>
  <si>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</si>
  <si>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</si>
  <si>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</si>
  <si>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</si>
  <si>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</si>
  <si>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</si>
  <si>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</si>
  <si>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</si>
  <si>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</si>
  <si>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</si>
  <si>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</si>
  <si>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</si>
  <si>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</si>
  <si>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</si>
  <si>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</si>
  <si>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</si>
  <si>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</si>
  <si>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</si>
  <si>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</si>
  <si>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</si>
  <si>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</si>
  <si>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</si>
  <si>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</si>
  <si>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</si>
  <si>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</si>
  <si>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</si>
  <si>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</si>
  <si>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</si>
  <si>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</si>
  <si>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</si>
  <si>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</si>
  <si>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</si>
  <si>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</si>
  <si>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</si>
  <si>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</si>
  <si>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</si>
  <si>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</si>
  <si>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</si>
  <si>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</si>
  <si>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</si>
  <si>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</si>
  <si>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</si>
  <si>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</si>
  <si>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</si>
  <si>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</si>
  <si>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</si>
  <si>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</si>
  <si>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</si>
  <si>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</si>
  <si>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</si>
  <si>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</si>
  <si>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</si>
  <si>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</si>
  <si>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</si>
  <si>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</si>
  <si>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</si>
  <si>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</si>
  <si>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</si>
  <si>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</si>
  <si>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</si>
  <si>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</si>
  <si>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</si>
  <si>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</si>
  <si>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</si>
  <si>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</si>
  <si>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</si>
  <si>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</si>
  <si>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</si>
  <si>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</si>
  <si>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</si>
  <si>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</si>
  <si>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</si>
  <si>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</si>
  <si>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</si>
  <si>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</si>
  <si>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</si>
  <si>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</si>
  <si>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</si>
  <si>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</si>
  <si>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</si>
  <si>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</si>
  <si>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</si>
  <si>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</si>
  <si>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</si>
  <si>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</si>
  <si>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</si>
  <si>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</si>
  <si>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</si>
  <si>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</si>
  <si>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</si>
  <si>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</si>
  <si>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</si>
  <si>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</si>
  <si>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</si>
  <si>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</si>
  <si>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</si>
  <si>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</si>
  <si>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</si>
  <si>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</si>
  <si>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</si>
  <si>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</si>
  <si>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</si>
  <si>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</si>
  <si>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</si>
  <si>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</si>
  <si>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</si>
  <si>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</si>
  <si>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</si>
  <si>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</si>
  <si>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</si>
  <si>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</si>
  <si>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</si>
  <si>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</si>
  <si>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</si>
  <si>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</si>
  <si>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</si>
  <si>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</si>
  <si>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</si>
  <si>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</si>
  <si>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</si>
  <si>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</si>
  <si>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</si>
  <si>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</si>
  <si>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</si>
  <si>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</si>
  <si>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</si>
  <si>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</si>
  <si>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</si>
  <si>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</si>
  <si>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</si>
  <si>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</si>
  <si>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</si>
  <si>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</si>
  <si>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</si>
  <si>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</si>
  <si>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</si>
  <si>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</si>
  <si>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</si>
  <si>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</si>
  <si>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</si>
  <si>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</si>
  <si>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</si>
  <si>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</si>
  <si>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</si>
  <si>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</si>
  <si>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</si>
  <si>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</si>
  <si>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</si>
  <si>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</si>
  <si>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</si>
  <si>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</si>
  <si>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</si>
  <si>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</si>
  <si>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</si>
  <si>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</si>
  <si>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</si>
  <si>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</si>
  <si>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</si>
  <si>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</si>
  <si>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</si>
  <si>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</si>
  <si>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</si>
  <si>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</si>
  <si>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</si>
  <si>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</si>
  <si>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</si>
  <si>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</si>
  <si>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</si>
  <si>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</si>
  <si>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</si>
  <si>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</si>
  <si>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</si>
  <si>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</si>
  <si>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</si>
  <si>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</si>
  <si>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</si>
  <si>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</si>
  <si>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</si>
  <si>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</si>
  <si>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</si>
  <si>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</si>
  <si>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</si>
  <si>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</si>
  <si>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</si>
  <si>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</si>
  <si>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</si>
  <si>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</si>
  <si>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</si>
  <si>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</si>
  <si>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</si>
  <si>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</si>
  <si>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</si>
  <si>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</si>
  <si>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</si>
  <si>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</si>
  <si>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</si>
  <si>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</si>
  <si>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</si>
  <si>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</si>
  <si>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</si>
  <si>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</si>
  <si>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</si>
  <si>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</si>
  <si>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</si>
  <si>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</si>
  <si>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</si>
  <si>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</si>
  <si>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</si>
  <si>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</si>
  <si>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</si>
  <si>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</si>
  <si>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</si>
  <si>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</si>
  <si>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</si>
  <si>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</si>
  <si>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</si>
  <si>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</si>
  <si>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</si>
  <si>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</si>
  <si>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</si>
  <si>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</si>
  <si>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</si>
  <si>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</si>
  <si>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</si>
  <si>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</si>
  <si>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</si>
  <si>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</si>
  <si>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</si>
  <si>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</si>
  <si>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</si>
  <si>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</si>
  <si>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</si>
  <si>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</si>
  <si>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</si>
  <si>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</si>
  <si>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</si>
  <si>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</si>
  <si>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</si>
  <si>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</si>
  <si>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</si>
  <si>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</si>
  <si>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</si>
  <si>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</si>
  <si>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</si>
  <si>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</si>
  <si>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</si>
  <si>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</si>
  <si>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</si>
  <si>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</si>
  <si>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</si>
  <si>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</si>
  <si>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</si>
  <si>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</si>
  <si>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</si>
  <si>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</si>
  <si>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</si>
  <si>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</si>
  <si>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</si>
  <si>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</si>
  <si>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</si>
  <si>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</si>
  <si>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</si>
  <si>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</si>
  <si>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</si>
  <si>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</si>
  <si>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</si>
  <si>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</si>
  <si>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</si>
  <si>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</si>
  <si>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</si>
  <si>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</si>
  <si>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</si>
  <si>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</si>
  <si>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</si>
  <si>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</si>
  <si>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</si>
  <si>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</si>
  <si>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</si>
  <si>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</si>
  <si>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</si>
  <si>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</si>
  <si>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</si>
  <si>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</si>
  <si>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</si>
  <si>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</si>
  <si>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</si>
  <si>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</si>
  <si>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</si>
  <si>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</si>
  <si>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</si>
  <si>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</si>
  <si>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</si>
  <si>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</si>
  <si>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</si>
  <si>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</si>
  <si>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</si>
  <si>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</si>
  <si>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</si>
  <si>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</si>
  <si>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</si>
  <si>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</si>
  <si>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</si>
  <si>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</si>
  <si>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</si>
  <si>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</si>
  <si>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</si>
  <si>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</si>
  <si>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</si>
  <si>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</si>
  <si>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</si>
  <si>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</si>
  <si>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</si>
  <si>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</si>
  <si>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</si>
  <si>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</si>
  <si>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</si>
  <si>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</si>
  <si>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</si>
  <si>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</si>
  <si>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</si>
  <si>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</si>
  <si>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</si>
  <si>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</si>
  <si>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</si>
  <si>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</si>
  <si>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</si>
  <si>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</si>
  <si>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</si>
  <si>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</si>
  <si>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</si>
  <si>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</si>
  <si>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</si>
  <si>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</si>
  <si>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</si>
  <si>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</si>
  <si>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</si>
  <si>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</si>
  <si>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</si>
  <si>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</si>
  <si>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</si>
  <si>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</si>
  <si>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</si>
  <si>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</si>
  <si>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</si>
  <si>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</si>
  <si>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</si>
  <si>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</si>
  <si>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</si>
  <si>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</si>
  <si>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</si>
  <si>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</si>
  <si>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</si>
  <si>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</si>
  <si>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</si>
  <si>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</si>
  <si>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</si>
  <si>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</si>
  <si>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</si>
  <si>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</si>
  <si>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</si>
  <si>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</si>
  <si>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</si>
  <si>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</si>
  <si>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</si>
  <si>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</si>
  <si>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</si>
  <si>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</si>
  <si>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</si>
  <si>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</si>
  <si>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</si>
  <si>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</si>
  <si>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</si>
  <si>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</si>
  <si>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</si>
  <si>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</si>
  <si>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</si>
  <si>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</si>
  <si>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</si>
  <si>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</si>
  <si>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</si>
  <si>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</si>
  <si>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</si>
  <si>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</si>
  <si>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</si>
  <si>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</si>
  <si>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</si>
  <si>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</si>
  <si>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</si>
  <si>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</si>
  <si>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</si>
  <si>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</si>
  <si>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</si>
  <si>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</si>
  <si>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</si>
  <si>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</si>
  <si>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</si>
  <si>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</si>
  <si>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</si>
  <si>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</si>
  <si>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</si>
  <si>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</si>
  <si>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</si>
  <si>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</si>
  <si>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</si>
  <si>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</si>
  <si>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</si>
  <si>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</si>
  <si>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</si>
  <si>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</si>
  <si>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</si>
  <si>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</si>
  <si>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</si>
  <si>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</si>
  <si>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</si>
  <si>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</si>
  <si>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</si>
  <si>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</si>
  <si>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</si>
  <si>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</si>
  <si>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</si>
  <si>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</si>
  <si>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</si>
  <si>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</si>
  <si>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</si>
  <si>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</si>
  <si>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</si>
  <si>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</si>
  <si>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</si>
  <si>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</si>
  <si>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</si>
  <si>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</si>
  <si>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</si>
  <si>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</si>
  <si>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</si>
  <si>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</si>
  <si>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</si>
  <si>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</si>
  <si>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</si>
  <si>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</si>
  <si>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</si>
  <si>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</si>
  <si>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</si>
  <si>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</si>
  <si>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</si>
  <si>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</si>
  <si>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</si>
  <si>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</si>
  <si>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</si>
  <si>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</si>
  <si>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</si>
  <si>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</si>
  <si>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</si>
  <si>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</si>
  <si>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</si>
  <si>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</si>
  <si>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</si>
  <si>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</si>
  <si>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</si>
  <si>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</si>
  <si>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</si>
  <si>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</si>
  <si>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</si>
  <si>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</si>
  <si>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</si>
  <si>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</si>
  <si>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</si>
  <si>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</si>
  <si>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</si>
  <si>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</si>
  <si>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</si>
  <si>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</si>
  <si>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</si>
  <si>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</si>
  <si>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</si>
  <si>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</si>
  <si>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</si>
  <si>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</si>
  <si>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</si>
  <si>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</si>
  <si>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</si>
  <si>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</si>
  <si>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</si>
  <si>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</si>
  <si>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</si>
  <si>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</si>
  <si>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</si>
  <si>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</si>
  <si>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</si>
  <si>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</si>
  <si>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</si>
  <si>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</si>
  <si>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</si>
  <si>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</si>
  <si>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</si>
  <si>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</si>
  <si>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</si>
  <si>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</si>
  <si>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</si>
  <si>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</si>
  <si>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</si>
  <si>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</si>
  <si>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</si>
  <si>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</si>
  <si>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</si>
  <si>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</si>
  <si>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</si>
  <si>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</si>
  <si>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</si>
  <si>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</si>
  <si>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</si>
  <si>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</si>
  <si>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</si>
  <si>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</si>
  <si>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</si>
  <si>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</si>
  <si>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</si>
  <si>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</si>
  <si>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</si>
  <si>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</si>
  <si>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</si>
  <si>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</si>
  <si>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</si>
  <si>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</si>
  <si>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</si>
  <si>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</si>
  <si>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</si>
  <si>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</si>
  <si>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</si>
  <si>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</si>
  <si>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</si>
  <si>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</si>
  <si>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</si>
  <si>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</si>
  <si>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</si>
  <si>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</si>
  <si>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</si>
  <si>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</si>
  <si>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</si>
  <si>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</si>
  <si>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</si>
  <si>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</si>
  <si>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</si>
  <si>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</si>
  <si>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</si>
  <si>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</si>
  <si>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</si>
  <si>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</si>
  <si>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</si>
  <si>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</si>
  <si>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</si>
  <si>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</si>
  <si>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</si>
  <si>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</si>
  <si>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</si>
  <si>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</si>
  <si>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</si>
  <si>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</si>
  <si>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</si>
  <si>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</si>
  <si>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</si>
  <si>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</si>
  <si>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</si>
  <si>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</si>
  <si>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</si>
  <si>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</si>
  <si>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</si>
  <si>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</si>
  <si>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</si>
  <si>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</si>
  <si>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</si>
  <si>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</si>
  <si>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</si>
  <si>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</si>
  <si>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</si>
  <si>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</si>
  <si>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</si>
  <si>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</si>
  <si>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</si>
  <si>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</si>
  <si>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</si>
  <si>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</si>
  <si>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</si>
  <si>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</si>
  <si>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</si>
  <si>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</si>
  <si>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</si>
  <si>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</si>
  <si>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</si>
  <si>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</si>
  <si>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</si>
  <si>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</si>
  <si>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</si>
  <si>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</si>
  <si>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</si>
  <si>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</si>
  <si>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</si>
  <si>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</si>
  <si>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</si>
  <si>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</si>
  <si>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</si>
  <si>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</si>
  <si>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</si>
  <si>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</si>
  <si>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</si>
  <si>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</si>
  <si>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</si>
  <si>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</si>
  <si>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</si>
  <si>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</si>
  <si>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</si>
  <si>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</si>
  <si>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</si>
  <si>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</si>
  <si>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</si>
  <si>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</si>
  <si>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</si>
  <si>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</si>
  <si>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</si>
  <si>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</si>
  <si>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</si>
  <si>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</si>
  <si>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</si>
  <si>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</si>
  <si>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</si>
  <si>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</si>
  <si>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</si>
  <si>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</si>
  <si>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</si>
  <si>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</si>
  <si>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</si>
  <si>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</si>
  <si>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</si>
  <si>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</si>
  <si>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</si>
  <si>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</si>
  <si>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</si>
  <si>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</si>
  <si>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</si>
  <si>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</si>
  <si>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</si>
  <si>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</si>
  <si>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</si>
  <si>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</si>
  <si>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</si>
  <si>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</si>
  <si>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</si>
  <si>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</si>
  <si>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</si>
  <si>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</si>
  <si>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</si>
  <si>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</si>
  <si>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</si>
  <si>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</si>
  <si>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</si>
  <si>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</si>
  <si>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</si>
  <si>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</si>
  <si>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</si>
  <si>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</si>
  <si>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</si>
  <si>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</si>
  <si>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</si>
  <si>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</si>
  <si>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</si>
  <si>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</si>
  <si>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</si>
  <si>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</si>
  <si>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</si>
  <si>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</si>
  <si>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</si>
  <si>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</si>
  <si>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</si>
  <si>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</si>
  <si>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</si>
  <si>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</si>
  <si>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</si>
  <si>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</si>
  <si>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</si>
  <si>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</si>
  <si>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</si>
  <si>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</si>
  <si>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</si>
  <si>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</si>
  <si>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</si>
  <si>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</si>
  <si>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</si>
  <si>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</si>
  <si>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</si>
  <si>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</si>
  <si>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</si>
  <si>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</si>
  <si>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</si>
  <si>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</si>
  <si>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</si>
  <si>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</si>
  <si>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</si>
  <si>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</si>
  <si>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</si>
  <si>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</si>
  <si>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</si>
  <si>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</si>
  <si>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</si>
  <si>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</si>
  <si>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</si>
  <si>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</si>
  <si>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</si>
  <si>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</si>
  <si>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</si>
  <si>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</si>
  <si>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</si>
  <si>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</si>
  <si>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</si>
  <si>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</si>
  <si>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</si>
  <si>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</si>
  <si>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</si>
  <si>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</si>
  <si>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</si>
  <si>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</si>
  <si>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</si>
  <si>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</si>
  <si>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</si>
  <si>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</si>
  <si>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</si>
  <si>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</si>
  <si>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</si>
  <si>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</si>
  <si>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</si>
  <si>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</si>
  <si>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</si>
  <si>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</si>
  <si>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</si>
  <si>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</si>
  <si>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</si>
  <si>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</si>
  <si>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</si>
  <si>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</si>
  <si>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</si>
  <si>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</si>
  <si>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</si>
  <si>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</si>
  <si>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</si>
  <si>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</si>
  <si>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</si>
  <si>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</si>
  <si>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</si>
  <si>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</si>
  <si>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</si>
  <si>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</si>
  <si>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</si>
  <si>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</si>
  <si>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</si>
  <si>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</si>
  <si>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</si>
  <si>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</si>
  <si>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</si>
  <si>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</si>
  <si>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</si>
  <si>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</si>
  <si>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</si>
  <si>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</si>
  <si>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</si>
  <si>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</si>
  <si>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</si>
  <si>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</si>
  <si>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</si>
  <si>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</si>
  <si>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</si>
  <si>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</si>
  <si>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</si>
  <si>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</si>
  <si>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</si>
  <si>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</si>
  <si>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</si>
  <si>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</si>
  <si>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</si>
  <si>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</si>
  <si>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</si>
  <si>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</si>
  <si>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</si>
  <si>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</si>
  <si>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</si>
  <si>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</si>
  <si>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</si>
  <si>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</si>
  <si>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</si>
  <si>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</si>
  <si>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</si>
  <si>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</si>
  <si>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</si>
  <si>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</si>
  <si>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</si>
  <si>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</si>
  <si>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</si>
  <si>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</si>
  <si>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</si>
  <si>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</si>
  <si>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</si>
  <si>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</si>
  <si>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</si>
  <si>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</si>
  <si>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</si>
  <si>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</si>
  <si>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</si>
  <si>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</si>
  <si>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</si>
  <si>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</si>
  <si>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</si>
  <si>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</si>
  <si>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</si>
  <si>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</si>
  <si>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</si>
  <si>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</si>
  <si>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</si>
  <si>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</si>
  <si>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</si>
  <si>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</si>
  <si>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</si>
  <si>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</si>
  <si>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</si>
  <si>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</si>
  <si>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</si>
  <si>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</si>
  <si>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</si>
  <si>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</si>
  <si>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</si>
  <si>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</si>
  <si>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</si>
  <si>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</si>
  <si>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</si>
  <si>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</si>
  <si>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</si>
  <si>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</si>
  <si>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</si>
  <si>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</si>
  <si>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</si>
  <si>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</si>
  <si>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</si>
  <si>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</si>
  <si>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</si>
  <si>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</si>
  <si>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</si>
  <si>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</si>
  <si>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</si>
  <si>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</si>
  <si>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</si>
  <si>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</si>
  <si>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</si>
  <si>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</si>
  <si>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</si>
  <si>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</si>
  <si>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</si>
  <si>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</si>
  <si>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</si>
  <si>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</si>
  <si>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</si>
  <si>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</si>
  <si>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</si>
  <si>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</si>
  <si>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</si>
  <si>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</si>
  <si>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</si>
  <si>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</si>
  <si>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</si>
  <si>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</si>
  <si>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</si>
  <si>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</si>
  <si>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</si>
  <si>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</si>
  <si>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</si>
  <si>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</si>
  <si>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</si>
  <si>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</si>
  <si>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</si>
  <si>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</si>
  <si>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</si>
  <si>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</si>
  <si>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</si>
  <si>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</si>
  <si>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</si>
  <si>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</si>
  <si>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</si>
  <si>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</si>
  <si>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</si>
  <si>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</si>
  <si>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</si>
  <si>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</si>
  <si>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</si>
  <si>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</si>
  <si>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</si>
  <si>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</si>
  <si>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</si>
  <si>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</si>
  <si>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</si>
  <si>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</si>
  <si>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</si>
  <si>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</si>
  <si>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</si>
  <si>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</si>
  <si>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</si>
  <si>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</si>
  <si>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</si>
  <si>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</si>
  <si>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</si>
  <si>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</si>
  <si>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</si>
  <si>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</si>
  <si>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</si>
  <si>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</si>
  <si>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</si>
  <si>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</si>
  <si>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</si>
  <si>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</si>
  <si>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</si>
  <si>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</si>
  <si>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</si>
  <si>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</si>
  <si>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</si>
  <si>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</si>
  <si>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</si>
  <si>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</si>
  <si>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</si>
  <si>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</si>
  <si>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</si>
  <si>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</si>
  <si>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</si>
  <si>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</si>
  <si>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</si>
  <si>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</si>
  <si>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</si>
  <si>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</si>
  <si>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</si>
  <si>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</si>
  <si>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</si>
  <si>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</si>
  <si>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</si>
  <si>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</si>
  <si>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</si>
  <si>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</si>
  <si>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</si>
  <si>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</si>
  <si>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</si>
  <si>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</si>
  <si>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</si>
  <si>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</si>
  <si>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</si>
  <si>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</si>
  <si>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</si>
  <si>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</si>
  <si>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</si>
  <si>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</si>
  <si>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</si>
  <si>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</si>
  <si>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</si>
  <si>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</si>
  <si>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</si>
  <si>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</si>
  <si>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</si>
  <si>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</si>
  <si>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</si>
  <si>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</si>
  <si>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</si>
  <si>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</si>
  <si>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</si>
  <si>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</si>
  <si>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</si>
  <si>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</si>
  <si>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</si>
  <si>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</si>
  <si>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</si>
  <si>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</si>
  <si>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</si>
  <si>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</si>
  <si>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</si>
  <si>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</si>
  <si>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</si>
  <si>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</si>
  <si>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</si>
  <si>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</si>
  <si>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</si>
  <si>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</si>
  <si>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</si>
  <si>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</si>
  <si>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</si>
  <si>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</si>
  <si>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</si>
  <si>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</si>
  <si>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</si>
  <si>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</si>
  <si>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</si>
  <si>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</si>
  <si>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</si>
  <si>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</si>
  <si>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</si>
  <si>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</si>
  <si>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</si>
  <si>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</si>
  <si>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</si>
  <si>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</si>
  <si>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</si>
  <si>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</si>
  <si>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</si>
  <si>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</si>
  <si>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</si>
  <si>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</si>
  <si>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</si>
  <si>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</si>
  <si>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</si>
  <si>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</si>
  <si>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</si>
  <si>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</si>
  <si>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</si>
  <si>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</si>
  <si>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</si>
  <si>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</si>
  <si>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</si>
  <si>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</si>
  <si>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</si>
  <si>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</si>
  <si>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</si>
  <si>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</si>
  <si>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</si>
  <si>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</si>
  <si>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</si>
  <si>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</si>
  <si>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</si>
  <si>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</si>
  <si>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</si>
  <si>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</si>
  <si>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</si>
  <si>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</si>
  <si>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</si>
  <si>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</si>
  <si>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</si>
  <si>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</si>
  <si>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</si>
  <si>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</si>
  <si>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</si>
  <si>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</si>
  <si>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</si>
  <si>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</si>
  <si>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</si>
  <si>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</si>
  <si>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</si>
  <si>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</si>
  <si>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</si>
  <si>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</si>
  <si>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</si>
  <si>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</si>
  <si>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</si>
  <si>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</si>
  <si>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</si>
  <si>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</si>
  <si>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</si>
  <si>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</si>
  <si>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</si>
  <si>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</si>
  <si>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</si>
  <si>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</si>
  <si>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</si>
  <si>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</si>
  <si>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</si>
  <si>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</si>
  <si>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</si>
  <si>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</si>
  <si>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</si>
  <si>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</si>
  <si>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</si>
  <si>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</si>
  <si>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</si>
  <si>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</si>
  <si>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</si>
  <si>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</si>
  <si>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</si>
  <si>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</si>
  <si>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</si>
  <si>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</si>
  <si>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</si>
  <si>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</si>
  <si>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</si>
  <si>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</si>
  <si>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</si>
  <si>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</si>
  <si>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</si>
  <si>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</si>
  <si>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</si>
  <si>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</si>
  <si>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</si>
  <si>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</si>
  <si>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</si>
  <si>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</si>
  <si>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</si>
  <si>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</si>
  <si>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</si>
  <si>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</si>
  <si>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</si>
  <si>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</si>
  <si>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</si>
  <si>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</si>
  <si>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</si>
  <si>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</si>
  <si>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</si>
  <si>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</si>
  <si>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</si>
  <si>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</si>
  <si>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</si>
  <si>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</si>
  <si>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</si>
  <si>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</si>
  <si>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</si>
  <si>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</si>
  <si>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</si>
  <si>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</si>
  <si>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</si>
  <si>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</si>
  <si>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</si>
  <si>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</si>
  <si>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</si>
  <si>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</si>
  <si>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</si>
  <si>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</si>
  <si>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</si>
  <si>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</si>
  <si>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</si>
  <si>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</si>
  <si>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</si>
  <si>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</si>
  <si>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</si>
  <si>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</si>
  <si>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</si>
  <si>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</si>
  <si>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</si>
  <si>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</si>
  <si>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</si>
  <si>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</si>
  <si>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</si>
  <si>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</si>
  <si>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</si>
  <si>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</si>
  <si>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</si>
  <si>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</si>
  <si>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</si>
  <si>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</si>
  <si>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</si>
  <si>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</si>
  <si>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</si>
  <si>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</si>
  <si>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</si>
  <si>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</si>
  <si>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</si>
  <si>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</si>
  <si>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</si>
  <si>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</si>
  <si>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</si>
  <si>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</si>
  <si>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</si>
  <si>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</si>
  <si>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</si>
  <si>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</si>
  <si>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</si>
  <si>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</si>
  <si>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</si>
  <si>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</si>
  <si>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</si>
  <si>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</si>
  <si>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</si>
  <si>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</si>
  <si>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</si>
  <si>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</si>
  <si>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</si>
  <si>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</si>
  <si>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</si>
  <si>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</si>
  <si>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</si>
  <si>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</si>
  <si>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</si>
  <si>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</si>
  <si>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</si>
  <si>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</si>
  <si>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</si>
  <si>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</si>
  <si>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</si>
  <si>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</si>
  <si>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</si>
  <si>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</si>
  <si>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</si>
  <si>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</si>
  <si>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</si>
  <si>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</si>
  <si>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</si>
  <si>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</si>
  <si>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</si>
  <si>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</si>
  <si>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</si>
  <si>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</si>
  <si>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</si>
  <si>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</si>
  <si>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</si>
  <si>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</si>
  <si>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</si>
  <si>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</si>
  <si>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</si>
  <si>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</si>
  <si>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</si>
  <si>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</si>
  <si>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</si>
  <si>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</si>
  <si>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</si>
  <si>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</si>
  <si>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</si>
  <si>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</si>
  <si>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</si>
  <si>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</si>
  <si>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</si>
  <si>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</si>
  <si>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</si>
  <si>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</si>
  <si>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</si>
  <si>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</si>
  <si>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</si>
  <si>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</si>
  <si>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</si>
  <si>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</si>
  <si>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</si>
  <si>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</si>
  <si>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</si>
  <si>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</si>
  <si>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</si>
  <si>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</si>
  <si>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</si>
  <si>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</si>
  <si>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</si>
  <si>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</si>
  <si>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</si>
  <si>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</si>
  <si>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</si>
  <si>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</si>
  <si>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</si>
  <si>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</si>
  <si>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</si>
  <si>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</si>
  <si>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</si>
  <si>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</si>
  <si>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</si>
  <si>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</si>
  <si>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</si>
  <si>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</si>
  <si>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</si>
  <si>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</si>
  <si>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</si>
  <si>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</si>
  <si>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</si>
  <si>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</si>
  <si>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</si>
  <si>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</si>
  <si>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</si>
  <si>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</si>
  <si>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</si>
  <si>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</si>
  <si>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</si>
  <si>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</si>
  <si>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</si>
  <si>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</si>
  <si>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</si>
  <si>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</si>
  <si>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</si>
  <si>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</si>
  <si>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</si>
  <si>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</si>
  <si>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</si>
  <si>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</si>
  <si>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</si>
  <si>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</si>
  <si>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</si>
  <si>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</si>
  <si>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</si>
  <si>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</si>
  <si>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</si>
  <si>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</si>
  <si>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</si>
  <si>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</si>
  <si>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</si>
  <si>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</si>
  <si>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</si>
  <si>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</si>
  <si>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</si>
  <si>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</si>
  <si>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</si>
  <si>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</si>
  <si>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</si>
  <si>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</si>
  <si>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</si>
  <si>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</si>
  <si>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</si>
  <si>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</si>
  <si>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</si>
  <si>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</si>
  <si>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</si>
  <si>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</si>
  <si>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</si>
  <si>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</si>
  <si>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</si>
  <si>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</si>
  <si>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</si>
  <si>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</si>
  <si>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</si>
  <si>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</si>
  <si>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</si>
  <si>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</si>
  <si>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</si>
  <si>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</si>
  <si>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</si>
  <si>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</si>
  <si>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</si>
  <si>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</si>
  <si>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</si>
  <si>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</si>
  <si>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</si>
  <si>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</si>
  <si>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</si>
  <si>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</si>
  <si>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</si>
  <si>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</si>
  <si>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</si>
  <si>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</si>
  <si>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</si>
  <si>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</si>
  <si>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</si>
  <si>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</si>
  <si>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</si>
  <si>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</si>
  <si>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</si>
  <si>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</si>
  <si>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</si>
  <si>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</si>
  <si>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</si>
  <si>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</si>
  <si>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</si>
  <si>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</si>
  <si>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</si>
  <si>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</si>
  <si>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</si>
  <si>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</si>
  <si>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</si>
  <si>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</si>
  <si>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</si>
  <si>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</si>
  <si>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</si>
  <si>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</si>
  <si>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</si>
  <si>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</si>
  <si>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</si>
  <si>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</si>
  <si>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</si>
  <si>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</si>
  <si>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</si>
  <si>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</si>
  <si>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</si>
  <si>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</si>
  <si>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</si>
  <si>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</si>
  <si>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</si>
  <si>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</si>
  <si>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</si>
  <si>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</si>
  <si>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</si>
  <si>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</si>
  <si>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</si>
  <si>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</si>
  <si>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</si>
  <si>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</si>
  <si>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</si>
  <si>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</si>
  <si>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</si>
  <si>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</si>
  <si>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</si>
  <si>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</si>
  <si>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</si>
  <si>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</si>
  <si>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</si>
  <si>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</si>
  <si>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</si>
  <si>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</si>
  <si>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</si>
  <si>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</si>
  <si>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</si>
  <si>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</si>
  <si>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</si>
  <si>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</si>
  <si>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</si>
  <si>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</si>
  <si>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</si>
  <si>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</si>
  <si>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</si>
  <si>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</si>
  <si>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</si>
  <si>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</si>
  <si>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</si>
  <si>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</si>
  <si>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</si>
  <si>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</si>
  <si>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</si>
  <si>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</si>
  <si>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</si>
  <si>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</si>
  <si>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</si>
  <si>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</si>
  <si>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</si>
  <si>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</si>
  <si>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</si>
  <si>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</si>
  <si>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</si>
  <si>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</si>
  <si>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</si>
  <si>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</si>
  <si>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</si>
  <si>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</si>
  <si>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</si>
  <si>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</si>
  <si>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</si>
  <si>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</si>
  <si>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</si>
  <si>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</si>
  <si>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</si>
  <si>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</si>
  <si>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</si>
  <si>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</si>
  <si>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</si>
  <si>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</si>
  <si>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</si>
  <si>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</si>
  <si>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</si>
  <si>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</si>
  <si>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</si>
  <si>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</si>
  <si>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</si>
  <si>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</si>
  <si>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</si>
  <si>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</si>
  <si>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</si>
  <si>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</si>
  <si>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</si>
  <si>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</si>
  <si>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</si>
  <si>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</si>
  <si>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</si>
  <si>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</si>
  <si>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</si>
  <si>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</si>
  <si>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</si>
  <si>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</si>
  <si>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</si>
  <si>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</si>
  <si>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</si>
  <si>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</si>
  <si>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</si>
  <si>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</si>
  <si>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</si>
  <si>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</si>
  <si>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</si>
  <si>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</si>
  <si>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</si>
  <si>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</si>
  <si>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</si>
  <si>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</si>
  <si>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</si>
  <si>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</si>
  <si>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</si>
  <si>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</si>
  <si>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</si>
  <si>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</si>
  <si>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</si>
  <si>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</si>
  <si>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</si>
  <si>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</si>
  <si>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</si>
  <si>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</si>
  <si>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</si>
  <si>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</si>
  <si>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</si>
  <si>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</si>
  <si>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</si>
  <si>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</si>
  <si>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</si>
  <si>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</si>
  <si>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</si>
  <si>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</si>
  <si>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</si>
  <si>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</si>
  <si>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</si>
  <si>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</si>
  <si>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</si>
  <si>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</si>
  <si>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</si>
  <si>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</si>
  <si>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</si>
  <si>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</si>
  <si>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</si>
  <si>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</si>
  <si>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</si>
  <si>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</si>
  <si>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</si>
  <si>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</si>
  <si>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</si>
  <si>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</si>
  <si>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</si>
  <si>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</si>
  <si>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</si>
  <si>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</si>
  <si>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</si>
  <si>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</si>
  <si>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</si>
  <si>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</si>
  <si>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</si>
  <si>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</si>
  <si>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</si>
  <si>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</si>
  <si>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</si>
  <si>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</si>
  <si>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</si>
  <si>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</si>
  <si>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</si>
  <si>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</si>
  <si>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</si>
  <si>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</si>
  <si>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</si>
  <si>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</si>
  <si>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</si>
  <si>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</si>
  <si>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</si>
  <si>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</si>
  <si>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</si>
  <si>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</si>
  <si>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</si>
  <si>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</si>
  <si>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</si>
  <si>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</si>
  <si>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</si>
  <si>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</si>
  <si>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</si>
  <si>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</si>
  <si>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</si>
  <si>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</si>
  <si>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</si>
  <si>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</si>
  <si>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</si>
  <si>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</si>
  <si>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</si>
  <si>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</si>
  <si>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</si>
  <si>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</si>
  <si>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</si>
  <si>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</si>
  <si>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</si>
  <si>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</si>
  <si>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</si>
  <si>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</si>
  <si>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</si>
  <si>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</si>
  <si>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</si>
  <si>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</si>
  <si>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</si>
  <si>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</si>
  <si>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</si>
  <si>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</si>
  <si>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</si>
  <si>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</si>
  <si>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</si>
  <si>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</si>
  <si>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</si>
  <si>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</si>
  <si>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</si>
  <si>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</si>
  <si>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</si>
  <si>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</si>
  <si>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</si>
  <si>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</si>
  <si>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</si>
  <si>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</si>
  <si>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</si>
  <si>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</si>
  <si>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</si>
  <si>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</si>
  <si>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</si>
  <si>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</si>
  <si>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</si>
  <si>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</si>
  <si>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</si>
  <si>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</si>
  <si>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</si>
  <si>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</si>
  <si>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</si>
  <si>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</si>
  <si>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</si>
  <si>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</si>
  <si>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</si>
  <si>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</si>
  <si>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</si>
  <si>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</si>
  <si>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</si>
  <si>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</si>
  <si>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</si>
  <si>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</si>
  <si>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</si>
  <si>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</si>
  <si>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</si>
  <si>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</si>
  <si>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</si>
  <si>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</si>
  <si>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</si>
  <si>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</si>
  <si>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</si>
  <si>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</si>
  <si>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</si>
  <si>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</si>
  <si>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</si>
  <si>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</si>
  <si>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</si>
  <si>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</si>
  <si>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</si>
  <si>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</si>
  <si>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</si>
  <si>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</si>
  <si>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</si>
  <si>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</si>
  <si>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</si>
  <si>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</si>
  <si>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</si>
  <si>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</si>
  <si>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</si>
  <si>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</si>
  <si>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</si>
  <si>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</si>
  <si>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</si>
  <si>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</si>
  <si>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</si>
  <si>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</si>
  <si>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</si>
  <si>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</si>
  <si>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</si>
  <si>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</si>
  <si>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</si>
  <si>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</si>
  <si>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</si>
  <si>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</si>
  <si>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</si>
  <si>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</si>
  <si>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</si>
  <si>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</si>
  <si>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</si>
  <si>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</si>
  <si>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</si>
  <si>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</si>
  <si>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</si>
  <si>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</si>
  <si>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</si>
  <si>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</si>
  <si>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</si>
  <si>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</si>
  <si>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</si>
  <si>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</si>
  <si>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</si>
  <si>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</si>
  <si>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</si>
  <si>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</si>
  <si>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</si>
  <si>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</si>
  <si>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</si>
  <si>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</si>
  <si>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</si>
  <si>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</si>
  <si>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</si>
  <si>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</si>
  <si>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</si>
  <si>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</si>
  <si>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</si>
  <si>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</si>
  <si>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</si>
  <si>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</si>
  <si>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</si>
  <si>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</si>
  <si>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</si>
  <si>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</si>
  <si>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</si>
  <si>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</si>
  <si>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</si>
  <si>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</si>
  <si>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</si>
  <si>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</si>
  <si>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</si>
  <si>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</si>
  <si>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</si>
  <si>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</si>
  <si>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</si>
  <si>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</si>
  <si>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</si>
  <si>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</si>
  <si>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</si>
  <si>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</si>
  <si>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</si>
  <si>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</si>
  <si>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</si>
  <si>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</si>
  <si>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</si>
  <si>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</si>
  <si>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</si>
  <si>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</si>
  <si>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</si>
  <si>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</si>
  <si>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</si>
  <si>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</si>
  <si>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</si>
  <si>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</si>
  <si>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</si>
  <si>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</si>
  <si>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</si>
  <si>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</si>
  <si>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</si>
  <si>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</si>
  <si>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</si>
  <si>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</si>
  <si>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</si>
  <si>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</si>
  <si>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</si>
  <si>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</si>
  <si>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</si>
  <si>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</si>
  <si>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</si>
  <si>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</si>
  <si>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</si>
  <si>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</si>
  <si>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</si>
  <si>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</si>
  <si>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</si>
  <si>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</si>
  <si>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</si>
  <si>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</si>
  <si>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</si>
  <si>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</si>
  <si>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</si>
  <si>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</si>
  <si>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</si>
  <si>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</si>
  <si>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</si>
  <si>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</si>
  <si>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</si>
  <si>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</si>
  <si>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</si>
  <si>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</si>
  <si>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</si>
  <si>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</si>
  <si>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</si>
  <si>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</si>
  <si>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</si>
  <si>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</si>
  <si>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</si>
  <si>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</si>
  <si>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</si>
  <si>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</si>
  <si>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</si>
  <si>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</si>
  <si>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</si>
  <si>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</si>
  <si>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</si>
  <si>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</si>
  <si>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</si>
  <si>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</si>
  <si>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</si>
  <si>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</si>
  <si>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</si>
  <si>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</si>
  <si>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</si>
  <si>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</si>
  <si>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</si>
  <si>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</si>
  <si>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</si>
  <si>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</si>
  <si>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</si>
  <si>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</si>
  <si>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</si>
  <si>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</si>
  <si>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</si>
  <si>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</si>
  <si>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</si>
  <si>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</si>
  <si>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</si>
  <si>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</si>
  <si>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</si>
  <si>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</si>
  <si>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</si>
  <si>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</si>
  <si>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</si>
  <si>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</si>
  <si>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</si>
  <si>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</si>
  <si>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</si>
  <si>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</si>
  <si>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</si>
  <si>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</si>
  <si>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</si>
  <si>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</si>
  <si>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</si>
  <si>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</si>
  <si>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</si>
  <si>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</si>
  <si>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</si>
  <si>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</si>
  <si>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</si>
  <si>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</si>
  <si>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</si>
  <si>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</si>
  <si>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</si>
  <si>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</si>
  <si>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</si>
  <si>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</si>
  <si>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</si>
  <si>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</si>
  <si>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</si>
  <si>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</si>
  <si>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</si>
  <si>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</si>
  <si>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</si>
  <si>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</si>
  <si>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</si>
  <si>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</si>
  <si>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</si>
  <si>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</si>
  <si>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</si>
  <si>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</si>
  <si>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</si>
  <si>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</si>
  <si>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</si>
  <si>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</si>
  <si>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</si>
  <si>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</si>
  <si>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</si>
  <si>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</si>
  <si>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</si>
  <si>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</si>
  <si>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</si>
  <si>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</si>
  <si>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</si>
  <si>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</si>
  <si>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</si>
  <si>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</si>
  <si>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</si>
  <si>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</si>
  <si>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</si>
  <si>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</si>
  <si>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</si>
  <si>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</si>
  <si>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</si>
  <si>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</si>
  <si>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</si>
  <si>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</si>
  <si>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</si>
  <si>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</si>
  <si>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</si>
  <si>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</si>
  <si>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</si>
  <si>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</si>
  <si>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</si>
  <si>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</si>
  <si>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</si>
  <si>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</si>
  <si>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</si>
  <si>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</si>
  <si>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</si>
  <si>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</si>
  <si>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</si>
  <si>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</si>
  <si>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</si>
  <si>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</si>
  <si>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</si>
  <si>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</si>
  <si>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</si>
  <si>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</si>
  <si>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</si>
  <si>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</si>
  <si>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</si>
  <si>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</si>
  <si>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</si>
  <si>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</si>
  <si>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</si>
  <si>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</si>
  <si>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</si>
  <si>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</si>
  <si>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</si>
  <si>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</si>
  <si>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</si>
  <si>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</si>
  <si>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</si>
  <si>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</si>
  <si>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</si>
  <si>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</si>
  <si>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</si>
  <si>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</si>
  <si>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</si>
  <si>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</si>
  <si>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</si>
  <si>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</si>
  <si>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</si>
  <si>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</si>
  <si>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</si>
  <si>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</si>
  <si>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</si>
  <si>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</si>
  <si>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</si>
  <si>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</si>
  <si>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</si>
  <si>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</si>
  <si>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</si>
  <si>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</si>
  <si>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</si>
  <si>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</si>
  <si>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</si>
  <si>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</si>
  <si>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</si>
  <si>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</si>
  <si>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</si>
  <si>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</si>
  <si>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</si>
  <si>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</si>
  <si>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</si>
  <si>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</si>
  <si>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</si>
  <si>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</si>
  <si>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</si>
  <si>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</si>
  <si>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</si>
  <si>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</si>
  <si>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</si>
  <si>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</si>
  <si>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</si>
  <si>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</si>
  <si>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</si>
  <si>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</si>
  <si>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</si>
  <si>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</si>
  <si>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</si>
  <si>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</si>
  <si>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</si>
  <si>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</si>
  <si>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</si>
  <si>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</si>
  <si>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</si>
  <si>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</si>
  <si>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</si>
  <si>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</si>
  <si>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</si>
  <si>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</si>
  <si>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</si>
  <si>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</si>
  <si>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</si>
  <si>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</si>
  <si>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</si>
  <si>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</si>
  <si>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</si>
  <si>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</si>
  <si>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</si>
  <si>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</si>
  <si>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</si>
  <si>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</si>
  <si>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</si>
  <si>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</si>
  <si>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</si>
  <si>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</si>
  <si>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</si>
  <si>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</si>
  <si>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</si>
  <si>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</si>
  <si>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</si>
  <si>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</si>
  <si>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</si>
  <si>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</si>
  <si>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</si>
  <si>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</si>
  <si>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</si>
  <si>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</si>
  <si>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</si>
  <si>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</si>
  <si>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</si>
  <si>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</si>
  <si>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</si>
  <si>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</si>
  <si>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</si>
  <si>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</si>
  <si>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</si>
  <si>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</si>
  <si>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</si>
  <si>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</si>
  <si>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</si>
  <si>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</si>
  <si>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</si>
  <si>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</si>
  <si>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</si>
  <si>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</si>
  <si>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</si>
  <si>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</si>
  <si>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</si>
  <si>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</si>
  <si>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</si>
  <si>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</si>
  <si>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</si>
  <si>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</si>
  <si>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</si>
  <si>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</si>
  <si>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</si>
  <si>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</si>
  <si>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</si>
  <si>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</si>
  <si>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</si>
  <si>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</si>
  <si>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</si>
  <si>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</si>
  <si>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</si>
  <si>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</si>
  <si>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</si>
  <si>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</si>
  <si>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</si>
  <si>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</si>
  <si>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</si>
  <si>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</si>
  <si>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</si>
  <si>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</si>
  <si>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</si>
  <si>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</si>
  <si>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</si>
  <si>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</si>
  <si>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</si>
  <si>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</si>
  <si>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</si>
  <si>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</si>
  <si>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</si>
  <si>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</si>
  <si>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</si>
  <si>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</si>
  <si>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</si>
  <si>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</si>
  <si>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</si>
  <si>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</si>
  <si>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</si>
  <si>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</si>
  <si>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</si>
  <si>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</si>
  <si>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</si>
  <si>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</si>
  <si>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</si>
  <si>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</si>
  <si>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</si>
  <si>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</si>
  <si>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</si>
  <si>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</si>
  <si>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</si>
  <si>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</si>
  <si>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</si>
  <si>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</si>
  <si>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</si>
  <si>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</si>
  <si>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</si>
  <si>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</si>
  <si>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</si>
  <si>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</si>
  <si>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</si>
  <si>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</si>
  <si>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</si>
  <si>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</si>
  <si>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</si>
  <si>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</si>
  <si>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</si>
  <si>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</si>
  <si>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</si>
  <si>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</si>
  <si>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</si>
  <si>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</si>
  <si>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</si>
  <si>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</si>
  <si>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</si>
  <si>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</si>
  <si>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</si>
  <si>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</si>
  <si>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</si>
  <si>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</si>
  <si>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</si>
  <si>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</si>
  <si>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</si>
  <si>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</si>
  <si>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</si>
  <si>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</si>
  <si>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</si>
  <si>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</si>
  <si>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</si>
  <si>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</si>
  <si>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</si>
  <si>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</si>
  <si>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</si>
  <si>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</si>
  <si>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</si>
  <si>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</si>
  <si>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</si>
  <si>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</si>
  <si>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</si>
  <si>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</si>
  <si>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</si>
  <si>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</si>
  <si>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</si>
  <si>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</si>
  <si>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</si>
  <si>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</si>
  <si>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</si>
  <si>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</si>
  <si>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</si>
  <si>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</si>
  <si>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</si>
  <si>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</si>
  <si>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</si>
  <si>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</si>
  <si>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</si>
  <si>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</si>
  <si>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</si>
  <si>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</si>
  <si>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</si>
  <si>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</si>
  <si>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</si>
  <si>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</si>
  <si>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</si>
  <si>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</si>
  <si>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</si>
  <si>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</si>
  <si>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</si>
  <si>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</si>
  <si>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</si>
  <si>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</si>
  <si>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</si>
  <si>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</si>
  <si>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</si>
  <si>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</si>
  <si>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</si>
  <si>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</si>
  <si>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</si>
  <si>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</si>
  <si>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</si>
  <si>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</si>
  <si>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</si>
  <si>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</si>
  <si>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</si>
  <si>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</si>
  <si>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</si>
  <si>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</si>
  <si>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</si>
  <si>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</si>
  <si>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</si>
  <si>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</si>
  <si>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</si>
  <si>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</si>
  <si>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</si>
  <si>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</si>
  <si>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</si>
  <si>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</si>
  <si>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</si>
  <si>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</si>
  <si>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</si>
  <si>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</si>
  <si>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</si>
  <si>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</si>
  <si>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</si>
  <si>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</si>
  <si>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</si>
  <si>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</si>
  <si>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</si>
  <si>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</si>
  <si>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</si>
  <si>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</si>
  <si>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</si>
  <si>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</si>
  <si>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</si>
  <si>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</si>
  <si>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</si>
  <si>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</si>
  <si>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</si>
  <si>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</si>
  <si>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</si>
  <si>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</si>
  <si>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</si>
  <si>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</si>
  <si>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</si>
  <si>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</si>
  <si>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</si>
  <si>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</si>
  <si>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</si>
  <si>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</si>
  <si>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</si>
  <si>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</si>
  <si>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</si>
  <si>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</si>
  <si>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</si>
  <si>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</si>
  <si>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</si>
  <si>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</si>
  <si>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</si>
  <si>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</si>
  <si>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</si>
  <si>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</si>
  <si>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</si>
  <si>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</si>
  <si>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</si>
  <si>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</si>
  <si>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</si>
  <si>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</si>
  <si>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</si>
  <si>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</si>
  <si>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</si>
  <si>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</si>
  <si>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</si>
  <si>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</si>
  <si>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</si>
  <si>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</si>
  <si>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</si>
  <si>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</si>
  <si>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</si>
  <si>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</si>
  <si>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</si>
  <si>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</si>
  <si>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</si>
  <si>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</si>
  <si>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</si>
  <si>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</si>
  <si>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</si>
  <si>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</si>
  <si>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</si>
  <si>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</si>
  <si>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</si>
  <si>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</si>
  <si>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</si>
  <si>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</si>
  <si>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</si>
  <si>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</si>
  <si>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</si>
  <si>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</si>
  <si>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</si>
  <si>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</si>
  <si>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</si>
  <si>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</si>
  <si>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</si>
  <si>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</si>
  <si>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</si>
  <si>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</si>
  <si>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</si>
  <si>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</si>
  <si>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</si>
  <si>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</si>
  <si>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</si>
  <si>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</si>
  <si>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</si>
  <si>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</si>
  <si>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</si>
  <si>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</si>
  <si>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</si>
  <si>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</si>
  <si>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</si>
  <si>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</si>
  <si>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</si>
  <si>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</si>
  <si>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</si>
  <si>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</si>
  <si>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</si>
  <si>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</si>
  <si>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</si>
  <si>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</si>
  <si>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</si>
  <si>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</si>
  <si>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</si>
  <si>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</si>
  <si>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</si>
  <si>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</si>
  <si>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</si>
  <si>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</si>
  <si>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</si>
  <si>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</si>
  <si>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</si>
  <si>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</si>
  <si>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</si>
  <si>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</si>
  <si>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</si>
  <si>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</si>
  <si>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</si>
  <si>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</si>
  <si>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</si>
  <si>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</si>
  <si>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</si>
  <si>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</si>
  <si>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</si>
  <si>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</si>
  <si>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</si>
  <si>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</si>
  <si>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</si>
  <si>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</si>
  <si>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</si>
  <si>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</si>
  <si>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</si>
  <si>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</si>
  <si>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</si>
  <si>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</si>
  <si>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</si>
  <si>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</si>
  <si>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</si>
  <si>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</si>
  <si>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</si>
  <si>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</si>
  <si>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</si>
  <si>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</si>
  <si>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</si>
  <si>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</si>
  <si>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</si>
  <si>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</si>
  <si>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</si>
  <si>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</si>
  <si>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</si>
  <si>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</si>
  <si>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</si>
  <si>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</si>
  <si>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</si>
  <si>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</si>
  <si>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</si>
  <si>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</si>
  <si>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</si>
  <si>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</si>
  <si>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</si>
  <si>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</si>
  <si>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</si>
  <si>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</si>
  <si>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</si>
  <si>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</si>
  <si>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</si>
  <si>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</si>
  <si>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</si>
  <si>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</si>
  <si>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</si>
  <si>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</si>
  <si>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</si>
  <si>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</si>
  <si>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</si>
  <si>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</si>
  <si>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</si>
  <si>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</si>
  <si>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</si>
  <si>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</si>
  <si>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</si>
  <si>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</si>
  <si>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</si>
  <si>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</si>
  <si>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</si>
  <si>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</si>
  <si>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</si>
  <si>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</si>
  <si>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</si>
  <si>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</si>
  <si>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</si>
  <si>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</si>
  <si>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</si>
  <si>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</si>
  <si>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</si>
  <si>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</si>
  <si>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</si>
  <si>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</si>
  <si>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</si>
  <si>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</si>
  <si>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</si>
  <si>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</si>
  <si>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</si>
  <si>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</si>
  <si>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</si>
  <si>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</si>
  <si>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</si>
  <si>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</si>
  <si>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</si>
  <si>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</si>
  <si>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</si>
  <si>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</si>
  <si>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</si>
  <si>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</si>
  <si>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</si>
  <si>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</si>
  <si>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</si>
  <si>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</si>
  <si>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</si>
  <si>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</si>
  <si>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</si>
  <si>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</si>
  <si>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</si>
  <si>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</si>
  <si>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</si>
  <si>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</si>
  <si>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</si>
  <si>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</si>
  <si>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</si>
  <si>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</si>
  <si>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</si>
  <si>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</si>
  <si>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</si>
  <si>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</si>
  <si>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</si>
  <si>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</si>
  <si>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</si>
  <si>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</si>
  <si>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</si>
  <si>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</si>
  <si>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</si>
  <si>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</si>
  <si>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</si>
  <si>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</si>
  <si>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</si>
  <si>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</si>
  <si>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</si>
  <si>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</si>
  <si>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</si>
  <si>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</si>
  <si>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</si>
  <si>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</si>
  <si>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</si>
  <si>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</si>
  <si>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</si>
  <si>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</si>
  <si>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</si>
  <si>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</si>
  <si>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</si>
  <si>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</si>
  <si>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</si>
  <si>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</si>
  <si>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</si>
  <si>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</si>
  <si>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</si>
  <si>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</si>
  <si>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</si>
  <si>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</si>
  <si>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</si>
  <si>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</si>
  <si>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</si>
  <si>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</si>
  <si>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</si>
  <si>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</si>
  <si>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</si>
  <si>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</si>
  <si>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</si>
  <si>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</si>
  <si>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</si>
  <si>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</si>
  <si>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</si>
  <si>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</si>
  <si>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</si>
  <si>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</si>
  <si>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</si>
  <si>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</si>
  <si>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</si>
  <si>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</si>
  <si>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</si>
  <si>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ABAXX TECH</t>
  </si>
  <si>
    <t>Pink Slip</t>
  </si>
  <si>
    <t>Semiconductor</t>
  </si>
  <si>
    <t>ACRE</t>
  </si>
  <si>
    <t>Mortgage Reit</t>
  </si>
  <si>
    <t>ADRX</t>
  </si>
  <si>
    <t>??</t>
  </si>
  <si>
    <t>Already watching</t>
  </si>
  <si>
    <t>ASPU</t>
  </si>
  <si>
    <t>Delisting</t>
  </si>
  <si>
    <t>ASTA</t>
  </si>
  <si>
    <t>micro-micro cap</t>
  </si>
  <si>
    <t>ASTS</t>
  </si>
  <si>
    <t>Kirk List</t>
  </si>
  <si>
    <t>AUPH</t>
  </si>
  <si>
    <t>BAM</t>
  </si>
  <si>
    <t>Brookfield Asset Management</t>
  </si>
  <si>
    <t>BN</t>
  </si>
  <si>
    <t>CECO</t>
  </si>
  <si>
    <t>MOMO List</t>
  </si>
  <si>
    <t>Chesapeake Enery</t>
  </si>
  <si>
    <t>More</t>
  </si>
  <si>
    <t>CLNV</t>
  </si>
  <si>
    <t>Communication services</t>
  </si>
  <si>
    <t>CTM</t>
  </si>
  <si>
    <t>New IPO</t>
  </si>
  <si>
    <t>DIDIY</t>
  </si>
  <si>
    <t>Didi Global</t>
  </si>
  <si>
    <t>DSW.L</t>
  </si>
  <si>
    <t>EFSH</t>
  </si>
  <si>
    <t>EOSE</t>
  </si>
  <si>
    <t>ETH</t>
  </si>
  <si>
    <t>FAIRFAX FINANCIALS</t>
  </si>
  <si>
    <t>FMCCS</t>
  </si>
  <si>
    <t>FSR</t>
  </si>
  <si>
    <t>Maybe MOMO one day…Need to look at financials. Previous co. by same person went bankrupu</t>
  </si>
  <si>
    <t>GDWN.L</t>
  </si>
  <si>
    <t>GOEV</t>
  </si>
  <si>
    <t>GTLB</t>
  </si>
  <si>
    <t>Do we track this already?</t>
  </si>
  <si>
    <t>HLBZ</t>
  </si>
  <si>
    <t>HUBC</t>
  </si>
  <si>
    <t>IONQ</t>
  </si>
  <si>
    <t>JEPI</t>
  </si>
  <si>
    <t>KRR</t>
  </si>
  <si>
    <t>LABR</t>
  </si>
  <si>
    <t>LAC</t>
  </si>
  <si>
    <t>LKNCY</t>
  </si>
  <si>
    <t>LOTTO</t>
  </si>
  <si>
    <t>MARA</t>
  </si>
  <si>
    <t>MDGL</t>
  </si>
  <si>
    <t>MODG</t>
  </si>
  <si>
    <t>MULN</t>
  </si>
  <si>
    <t>NAM</t>
  </si>
  <si>
    <t>NWBO</t>
  </si>
  <si>
    <t>ORGN</t>
  </si>
  <si>
    <t>OTCM</t>
  </si>
  <si>
    <t>PBR</t>
  </si>
  <si>
    <t>PBRA</t>
  </si>
  <si>
    <t>PCTL</t>
  </si>
  <si>
    <t>PDX</t>
  </si>
  <si>
    <t>POAHY</t>
  </si>
  <si>
    <t>POLX</t>
  </si>
  <si>
    <t>PRPO</t>
  </si>
  <si>
    <t>RIO</t>
  </si>
  <si>
    <t>RYLD</t>
  </si>
  <si>
    <t>SCHD</t>
  </si>
  <si>
    <t>SEMR</t>
  </si>
  <si>
    <t>SEQ.AX</t>
  </si>
  <si>
    <t>SGHC</t>
  </si>
  <si>
    <t>SILC</t>
  </si>
  <si>
    <t>SJIM</t>
  </si>
  <si>
    <t>SNAS</t>
  </si>
  <si>
    <t>SPR</t>
  </si>
  <si>
    <t>SRTS</t>
  </si>
  <si>
    <t>SUH</t>
  </si>
  <si>
    <t>TLRY</t>
  </si>
  <si>
    <t>Should I get some speculative postion?</t>
  </si>
  <si>
    <t>TMF</t>
  </si>
  <si>
    <t>TSLL</t>
  </si>
  <si>
    <t>TTHM</t>
  </si>
  <si>
    <t>UEC</t>
  </si>
  <si>
    <t>VMD</t>
  </si>
  <si>
    <t>VOO</t>
  </si>
  <si>
    <t>VTI</t>
  </si>
  <si>
    <t>XAIR</t>
  </si>
  <si>
    <t>YCA</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</si>
  <si>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</si>
  <si>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</si>
  <si>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</si>
  <si>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</si>
  <si>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</si>
  <si>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</si>
  <si>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</si>
  <si>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</si>
  <si>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</si>
  <si>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</si>
  <si>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</si>
  <si>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</si>
  <si>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</si>
  <si>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</si>
  <si>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</si>
  <si>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</si>
  <si>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</si>
  <si>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</si>
  <si>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</si>
  <si>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</si>
  <si>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</si>
  <si>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</si>
  <si>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</si>
  <si>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</si>
  <si>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</si>
  <si>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</si>
  <si>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</si>
  <si>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</si>
  <si>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</si>
  <si>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</si>
  <si>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</si>
  <si>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</si>
  <si>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</si>
  <si>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</si>
  <si>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</si>
  <si>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</si>
  <si>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</si>
  <si>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</si>
  <si>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</si>
  <si>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</si>
  <si>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</si>
  <si>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</si>
  <si>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</si>
  <si>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See if you want to make a chart</t>
  </si>
  <si>
    <t>ASUR</t>
  </si>
  <si>
    <t>Austin based company</t>
  </si>
  <si>
    <t>Fransico has it, CNBC looks okay. See if you want to make a chart</t>
  </si>
  <si>
    <t>CERT</t>
  </si>
  <si>
    <t>Research about it more and see what you want to do</t>
  </si>
  <si>
    <t>Chart</t>
  </si>
  <si>
    <t>Too Long</t>
  </si>
  <si>
    <t>INTT</t>
  </si>
  <si>
    <t>Someone was asking about which microcaps are faring well</t>
  </si>
  <si>
    <t>Read more about it</t>
  </si>
  <si>
    <t>Someone has mentioned that the management team is same as ENDP?</t>
  </si>
  <si>
    <t>Rob mentioned it dropped a lot</t>
  </si>
  <si>
    <t>Need to research</t>
  </si>
  <si>
    <t>Added after earnings on 4/26 - Looks good</t>
  </si>
  <si>
    <t>No long term debt. Now I have a chart</t>
  </si>
  <si>
    <t>BRBR</t>
  </si>
  <si>
    <t>IBD Cutout from 5/9</t>
  </si>
  <si>
    <t>OPRA</t>
  </si>
  <si>
    <t>NNOX</t>
  </si>
  <si>
    <t>Not yet profitable</t>
  </si>
  <si>
    <t>PTLO</t>
  </si>
  <si>
    <t>Mentioned on CNBC by CEO who came to talk</t>
  </si>
  <si>
    <t>ONON</t>
  </si>
  <si>
    <t>MBLY</t>
  </si>
  <si>
    <t>Stockyard Elite 8</t>
  </si>
  <si>
    <t>Now have a chart for it</t>
  </si>
  <si>
    <t>From Jenny Harrington - Cheap with 2024 and 2025 earnings</t>
  </si>
  <si>
    <t>Why did it drop so much</t>
  </si>
  <si>
    <t>Made a chart for it. Maybe buy it when it goes down some more</t>
  </si>
  <si>
    <t>CNBC : Sold off but Mary Dillon, former ULTA CEO is incharge</t>
  </si>
  <si>
    <t>Now have a chart</t>
  </si>
  <si>
    <t>LECI</t>
  </si>
  <si>
    <t>DSGR</t>
  </si>
  <si>
    <t>Similar to ASML</t>
  </si>
  <si>
    <t>Discussed at NJ Sunday Meeting</t>
  </si>
  <si>
    <t>Ann has the chart and it does not look wheat</t>
  </si>
  <si>
    <t>vrsn</t>
  </si>
  <si>
    <t>okta</t>
  </si>
  <si>
    <t>lmb</t>
  </si>
  <si>
    <t>wso</t>
  </si>
  <si>
    <t>fix</t>
  </si>
  <si>
    <t>521/2023</t>
  </si>
  <si>
    <t>Diluted earnings not yet consistently positive. Projected earnings flat</t>
  </si>
  <si>
    <t>Good projections, but a big long term debt</t>
  </si>
  <si>
    <t>Now have a chart for it…</t>
  </si>
  <si>
    <t>COMPANY</t>
  </si>
  <si>
    <t>MARKET CAPITALIZATION</t>
  </si>
  <si>
    <t>DESCRIPTION</t>
  </si>
  <si>
    <t>CROWDSTRIKE HOLDINGS (NASDAQ:CRWD)</t>
  </si>
  <si>
    <t>$32.4 billion</t>
  </si>
  <si>
    <t>One of the largest pure-play cybersecurity companies by market cap and revenue, and a leader in endpoint security software.</t>
  </si>
  <si>
    <t>ZSCALER (NASDAQ:ZS)</t>
  </si>
  <si>
    <t>$15.3 billion</t>
  </si>
  <si>
    <t>Cloud computing and internet security software provider.</t>
  </si>
  <si>
    <t>OKTA (NASDAQ:OKTA)</t>
  </si>
  <si>
    <t>$12.5 billion</t>
  </si>
  <si>
    <t>Cloud-based identity and access management.</t>
  </si>
  <si>
    <t>SENTINELONE (NYSE:S)</t>
  </si>
  <si>
    <t>$5.1 billion</t>
  </si>
  <si>
    <t>Recent IPO and CrowdStrike competitor.</t>
  </si>
  <si>
    <t>PALO ALTO NETWORKS (NYSE:PANW)</t>
  </si>
  <si>
    <t>$60.9 billion</t>
  </si>
  <si>
    <t>Largest independent cybersecurity company by total annual sales.</t>
  </si>
  <si>
    <t>FORTINET (NASDAQ:FTNT)</t>
  </si>
  <si>
    <t>$53.1 billion</t>
  </si>
  <si>
    <t>Large security company with best-in-class hardware for data center security.</t>
  </si>
  <si>
    <t>SPLUNK (NASDAQ:SPLK)</t>
  </si>
  <si>
    <t>$15.4 billion</t>
  </si>
  <si>
    <t>Leader in data analytics, offering new functions such as cloud observability and security orchestration.</t>
  </si>
  <si>
    <t>DATADOG (NASDAQ:DDOG)</t>
  </si>
  <si>
    <t>$22.3 billion</t>
  </si>
  <si>
    <t>Splunk competitor that has also made a foray into security monitoring capabilities.</t>
  </si>
  <si>
    <t>AKAMAI (NASDAQ:AKAM)</t>
  </si>
  <si>
    <t>$13.0 billion</t>
  </si>
  <si>
    <t>One of the largest internet infrastructure companies that helps secure web content.</t>
  </si>
  <si>
    <t>Top Cybersecurity Companies as per Motley Fool</t>
  </si>
  <si>
    <t>AI Play - mentioned on CNBC many times</t>
  </si>
  <si>
    <t>GSHD</t>
  </si>
  <si>
    <t>From Z-Man Meeting</t>
  </si>
  <si>
    <t>Earnings are growing, but not EPS right now…Maybe make a chart</t>
  </si>
  <si>
    <t>From ATGL Sreen</t>
  </si>
  <si>
    <t>From CNBC - Josh</t>
  </si>
  <si>
    <t>Still looks cheap after earnings</t>
  </si>
  <si>
    <t>ASRT</t>
  </si>
  <si>
    <t>Top Companies likely to benefit from AI as per Twitter</t>
  </si>
  <si>
    <t>DUOL</t>
  </si>
  <si>
    <t>CLFT</t>
  </si>
  <si>
    <t>ATEM</t>
  </si>
  <si>
    <t>LZ</t>
  </si>
  <si>
    <t>Speculative</t>
  </si>
  <si>
    <t>SYM</t>
  </si>
  <si>
    <t>Content Creation Cost to come down</t>
  </si>
  <si>
    <t>Same reason as ASML</t>
  </si>
  <si>
    <t>Robotics</t>
  </si>
  <si>
    <t>POET</t>
  </si>
  <si>
    <t>? What comanay is that?</t>
  </si>
  <si>
    <t>Enables resturant to digitalization. Still has negative earnings. Watch for SCTR strength and/or positive earnings</t>
  </si>
  <si>
    <t xml:space="preserve"> 4/1/2023</t>
  </si>
  <si>
    <t>Mentioned by Bill Smead</t>
  </si>
  <si>
    <t>6/17/2022`</t>
  </si>
  <si>
    <t>If there is a prolong correction and this one goes down</t>
  </si>
  <si>
    <t xml:space="preserve">V </t>
  </si>
  <si>
    <t>Ann is trying to buy it</t>
  </si>
  <si>
    <t>Energy Transfer - Mentiond by Jenny T on CNBC</t>
  </si>
  <si>
    <t>Symbol!</t>
  </si>
  <si>
    <t>ABCM</t>
  </si>
  <si>
    <t>ADRT</t>
  </si>
  <si>
    <t>AGI</t>
  </si>
  <si>
    <t>AGM</t>
  </si>
  <si>
    <t>AI</t>
  </si>
  <si>
    <t>AKRO</t>
  </si>
  <si>
    <t>ALC</t>
  </si>
  <si>
    <t>ALDX</t>
  </si>
  <si>
    <t>ALPN</t>
  </si>
  <si>
    <t>ALTR</t>
  </si>
  <si>
    <t>AMADY</t>
  </si>
  <si>
    <t>AMK</t>
  </si>
  <si>
    <t>APPF</t>
  </si>
  <si>
    <t>ARCT</t>
  </si>
  <si>
    <t>ATEC</t>
  </si>
  <si>
    <t>AXSM</t>
  </si>
  <si>
    <t>BELFA</t>
  </si>
  <si>
    <t>BELFB</t>
  </si>
  <si>
    <t>BMEA</t>
  </si>
  <si>
    <t>BRKA</t>
  </si>
  <si>
    <t>BRKB</t>
  </si>
  <si>
    <t>BRZE</t>
  </si>
  <si>
    <t>BUR</t>
  </si>
  <si>
    <t>BWMN</t>
  </si>
  <si>
    <t>BWXT</t>
  </si>
  <si>
    <t>CABA</t>
  </si>
  <si>
    <t>CAMT</t>
  </si>
  <si>
    <t>CBZ</t>
  </si>
  <si>
    <t>CEPU</t>
  </si>
  <si>
    <t>CLS</t>
  </si>
  <si>
    <t>CMT</t>
  </si>
  <si>
    <t>CNM</t>
  </si>
  <si>
    <t>COCO</t>
  </si>
  <si>
    <t>CRCT</t>
  </si>
  <si>
    <t>CRDA</t>
  </si>
  <si>
    <t>CRH</t>
  </si>
  <si>
    <t>CSWI</t>
  </si>
  <si>
    <t>CTIC</t>
  </si>
  <si>
    <t>CUK</t>
  </si>
  <si>
    <t>CWCO</t>
  </si>
  <si>
    <t>CX</t>
  </si>
  <si>
    <t>CXM</t>
  </si>
  <si>
    <t>CXT</t>
  </si>
  <si>
    <t>CZFS</t>
  </si>
  <si>
    <t>DFH</t>
  </si>
  <si>
    <t>DOOR</t>
  </si>
  <si>
    <t>EH</t>
  </si>
  <si>
    <t>ELVN</t>
  </si>
  <si>
    <t>ERJ</t>
  </si>
  <si>
    <t>ESQ</t>
  </si>
  <si>
    <t>ETNB</t>
  </si>
  <si>
    <t>FI</t>
  </si>
  <si>
    <t>FLNC</t>
  </si>
  <si>
    <t>FLYW</t>
  </si>
  <si>
    <t>FROG</t>
  </si>
  <si>
    <t>FRSH</t>
  </si>
  <si>
    <t>FTAI</t>
  </si>
  <si>
    <t>FTDR</t>
  </si>
  <si>
    <t>GFI</t>
  </si>
  <si>
    <t>GGAL</t>
  </si>
  <si>
    <t>GIB</t>
  </si>
  <si>
    <t>GNLX</t>
  </si>
  <si>
    <t>GOCO</t>
  </si>
  <si>
    <t>GRBK</t>
  </si>
  <si>
    <t>GRVY</t>
  </si>
  <si>
    <t>HEES</t>
  </si>
  <si>
    <t>HLAL</t>
  </si>
  <si>
    <t>HOV</t>
  </si>
  <si>
    <t>HRI</t>
  </si>
  <si>
    <t>HSBC</t>
  </si>
  <si>
    <t>HURN</t>
  </si>
  <si>
    <t>IAS</t>
  </si>
  <si>
    <t>IHG</t>
  </si>
  <si>
    <t>IMVT</t>
  </si>
  <si>
    <t>INTA</t>
  </si>
  <si>
    <t>IPX</t>
  </si>
  <si>
    <t>IRMD</t>
  </si>
  <si>
    <t>IRON</t>
  </si>
  <si>
    <t>JSMD</t>
  </si>
  <si>
    <t>KE</t>
  </si>
  <si>
    <t>LI</t>
  </si>
  <si>
    <t>LMB</t>
  </si>
  <si>
    <t>LTH</t>
  </si>
  <si>
    <t>MLR</t>
  </si>
  <si>
    <t>MLTX</t>
  </si>
  <si>
    <t>MNSO</t>
  </si>
  <si>
    <t>MOD</t>
  </si>
  <si>
    <t>MOR</t>
  </si>
  <si>
    <t>MPX</t>
  </si>
  <si>
    <t>MWA</t>
  </si>
  <si>
    <t>NABL</t>
  </si>
  <si>
    <t>NETI</t>
  </si>
  <si>
    <t>NGMS</t>
  </si>
  <si>
    <t>NOA</t>
  </si>
  <si>
    <t>NUVL</t>
  </si>
  <si>
    <t>NVCT</t>
  </si>
  <si>
    <t>NVTS</t>
  </si>
  <si>
    <t>NWLI</t>
  </si>
  <si>
    <t>NXT</t>
  </si>
  <si>
    <t>ODC</t>
  </si>
  <si>
    <t>OR</t>
  </si>
  <si>
    <t>OVLY</t>
  </si>
  <si>
    <t>PAM</t>
  </si>
  <si>
    <t>PRTA</t>
  </si>
  <si>
    <t>PSCI</t>
  </si>
  <si>
    <t>QQQE</t>
  </si>
  <si>
    <t>QTRX</t>
  </si>
  <si>
    <t>RCEL</t>
  </si>
  <si>
    <t>RUSHB</t>
  </si>
  <si>
    <t>RXDX</t>
  </si>
  <si>
    <t>RXST</t>
  </si>
  <si>
    <t>SGML</t>
  </si>
  <si>
    <t>SGRY</t>
  </si>
  <si>
    <t>SHECY</t>
  </si>
  <si>
    <t>SIBN</t>
  </si>
  <si>
    <t>SOVO</t>
  </si>
  <si>
    <t>SPNS</t>
  </si>
  <si>
    <t>STLA</t>
  </si>
  <si>
    <t>STN</t>
  </si>
  <si>
    <t>STVN</t>
  </si>
  <si>
    <t>SUM</t>
  </si>
  <si>
    <t>TGLS</t>
  </si>
  <si>
    <t>TGS</t>
  </si>
  <si>
    <t>THR</t>
  </si>
  <si>
    <t>TKOMY</t>
  </si>
  <si>
    <t>TMDX</t>
  </si>
  <si>
    <t>TRNS</t>
  </si>
  <si>
    <t>TYRA</t>
  </si>
  <si>
    <t>VECT</t>
  </si>
  <si>
    <t>VEON</t>
  </si>
  <si>
    <t>VIST</t>
  </si>
  <si>
    <t>VYGR</t>
  </si>
  <si>
    <t>XM</t>
  </si>
  <si>
    <t>XP</t>
  </si>
  <si>
    <t>XPOF</t>
  </si>
  <si>
    <t>YEXT</t>
  </si>
  <si>
    <t>YPF</t>
  </si>
  <si>
    <t>RVTY</t>
  </si>
  <si>
    <t>TFII</t>
  </si>
  <si>
    <t>CPAY</t>
  </si>
  <si>
    <t>TBRG</t>
  </si>
  <si>
    <t>CPNG</t>
  </si>
  <si>
    <t>NU</t>
  </si>
  <si>
    <t>HIMS</t>
  </si>
  <si>
    <t>ALAB</t>
  </si>
  <si>
    <t>RKT</t>
  </si>
  <si>
    <t>CWAN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</si>
</sst>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3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
      <strike/>
      <sz val="11"/>
      <color theme="1"/>
      <name val="Calibri"/>
      <family val="2"/>
      <scheme val="minor"/>
    </font>
    <font>
      <b/>
      <sz val="11"/>
      <color rgb="FF1C1D20"/>
      <name val="Roboto"/>
    </font>
    <font>
      <sz val="11"/>
      <color rgb="FF6F7173"/>
      <name val="Roboto"/>
    </font>
    <font>
      <u/>
      <sz val="11"/>
      <color theme="10"/>
      <name val="Calibri"/>
      <family val="2"/>
      <scheme val="minor"/>
    </font>
    <font>
      <b/>
      <sz val="10"/>
      <color theme="1"/>
      <name val="Arial"/>
      <family val="2"/>
    </font>
    <font>
      <sz val="10"/>
      <color theme="1"/>
      <name val="Arial"/>
      <family val="2"/>
    </font>
  </fonts>
  <fills count="13">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AFAFA"/>
        <bgColor indexed="64"/>
      </patternFill>
    </fill>
  </fills>
  <borders count="21">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style="thick">
        <color rgb="FF1C1D20"/>
      </top>
      <bottom style="medium">
        <color rgb="FFDCDCDD"/>
      </bottom>
      <diagonal/>
    </border>
    <border>
      <left/>
      <right/>
      <top/>
      <bottom style="medium">
        <color rgb="FFDCDCDD"/>
      </bottom>
      <diagonal/>
    </border>
  </borders>
  <cellStyleXfs count="5">
    <xf numFmtId="0" fontId="0" fillId="0" borderId="0"/>
    <xf numFmtId="0" fontId="19" fillId="0" borderId="0"/>
    <xf numFmtId="0" fontId="20" fillId="0" borderId="0"/>
    <xf numFmtId="44" fontId="27" fillId="0" borderId="0" applyFont="0" applyFill="0" applyBorder="0" applyAlignment="0" applyProtection="0"/>
    <xf numFmtId="0" fontId="36" fillId="0" borderId="0" applyNumberFormat="0" applyFill="0" applyBorder="0" applyAlignment="0" applyProtection="0"/>
  </cellStyleXfs>
  <cellXfs count="191">
    <xf numFmtId="0" fontId="0" fillId="0" borderId="0" xfId="0"/>
    <xf numFmtId="0" fontId="0" fillId="0" borderId="0" xfId="0" applyAlignment="1">
      <alignment horizontal="center"/>
    </xf>
    <xf numFmtId="0" fontId="21" fillId="0" borderId="0" xfId="0" applyFont="1"/>
    <xf numFmtId="0" fontId="21" fillId="2" borderId="3" xfId="0" applyFont="1" applyFill="1" applyBorder="1"/>
    <xf numFmtId="0" fontId="2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21" fillId="0" borderId="3" xfId="0" applyFont="1" applyBorder="1"/>
    <xf numFmtId="0" fontId="21" fillId="0" borderId="3" xfId="0" applyFont="1" applyBorder="1" applyAlignment="1">
      <alignment horizontal="center" wrapText="1"/>
    </xf>
    <xf numFmtId="0" fontId="22" fillId="0" borderId="0" xfId="0" applyFont="1" applyAlignment="1">
      <alignment horizontal="center"/>
    </xf>
    <xf numFmtId="0" fontId="23" fillId="0" borderId="0" xfId="1" applyFont="1" applyAlignment="1">
      <alignment horizontal="center"/>
    </xf>
    <xf numFmtId="0" fontId="23" fillId="0" borderId="0" xfId="0" applyFont="1" applyAlignment="1">
      <alignment horizontal="center"/>
    </xf>
    <xf numFmtId="0" fontId="0" fillId="0" borderId="1" xfId="0" applyBorder="1" applyAlignment="1">
      <alignment horizontal="center"/>
    </xf>
    <xf numFmtId="0" fontId="22" fillId="0" borderId="1" xfId="0" applyFont="1" applyBorder="1" applyAlignment="1">
      <alignment horizontal="center"/>
    </xf>
    <xf numFmtId="0" fontId="23" fillId="0" borderId="1" xfId="1" applyFont="1" applyBorder="1" applyAlignment="1">
      <alignment horizontal="center"/>
    </xf>
    <xf numFmtId="0" fontId="23" fillId="0" borderId="1" xfId="0" applyFont="1" applyBorder="1" applyAlignment="1">
      <alignment horizontal="center"/>
    </xf>
    <xf numFmtId="0" fontId="0" fillId="0" borderId="2" xfId="0" applyBorder="1" applyAlignment="1">
      <alignment horizontal="center"/>
    </xf>
    <xf numFmtId="0" fontId="0" fillId="3" borderId="0" xfId="0" applyFill="1"/>
    <xf numFmtId="0" fontId="21" fillId="4" borderId="3" xfId="0" applyFont="1" applyFill="1" applyBorder="1"/>
    <xf numFmtId="0" fontId="21" fillId="3" borderId="3" xfId="0" applyFont="1" applyFill="1" applyBorder="1"/>
    <xf numFmtId="0" fontId="23" fillId="0" borderId="0" xfId="0" applyFont="1"/>
    <xf numFmtId="0" fontId="0" fillId="0" borderId="0" xfId="0" applyAlignment="1">
      <alignment wrapText="1"/>
    </xf>
    <xf numFmtId="0" fontId="0" fillId="5" borderId="0" xfId="0" applyFill="1"/>
    <xf numFmtId="0" fontId="21" fillId="6" borderId="3" xfId="0" applyFont="1" applyFill="1" applyBorder="1"/>
    <xf numFmtId="0" fontId="2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8" fillId="0" borderId="0" xfId="0" applyFont="1"/>
    <xf numFmtId="0" fontId="18" fillId="0" borderId="0" xfId="0" applyFont="1" applyAlignment="1">
      <alignment wrapText="1"/>
    </xf>
    <xf numFmtId="0" fontId="18" fillId="0" borderId="0" xfId="0" applyFont="1" applyAlignment="1">
      <alignment horizontal="center"/>
    </xf>
    <xf numFmtId="0" fontId="25" fillId="0" borderId="0" xfId="0" applyFont="1"/>
    <xf numFmtId="0" fontId="24" fillId="0" borderId="0" xfId="0" applyFont="1"/>
    <xf numFmtId="0" fontId="24" fillId="7" borderId="3" xfId="0" applyFont="1" applyFill="1" applyBorder="1"/>
    <xf numFmtId="0" fontId="24" fillId="7" borderId="3" xfId="0" applyFont="1" applyFill="1" applyBorder="1" applyAlignment="1">
      <alignment horizontal="center"/>
    </xf>
    <xf numFmtId="0" fontId="24" fillId="7" borderId="3" xfId="0" applyFont="1" applyFill="1" applyBorder="1" applyAlignment="1">
      <alignment wrapText="1"/>
    </xf>
    <xf numFmtId="0" fontId="17" fillId="0" borderId="0" xfId="0" applyFont="1" applyAlignment="1">
      <alignment horizontal="center"/>
    </xf>
    <xf numFmtId="0" fontId="17" fillId="0" borderId="0" xfId="0" applyFont="1"/>
    <xf numFmtId="0" fontId="21" fillId="7" borderId="3" xfId="0" applyFont="1" applyFill="1" applyBorder="1" applyAlignment="1">
      <alignment wrapText="1"/>
    </xf>
    <xf numFmtId="0" fontId="24" fillId="7" borderId="3" xfId="0" applyFont="1" applyFill="1" applyBorder="1" applyAlignment="1">
      <alignment horizontal="center" wrapText="1"/>
    </xf>
    <xf numFmtId="0" fontId="18" fillId="0" borderId="0" xfId="0" applyFont="1" applyAlignment="1">
      <alignment horizontal="center" wrapText="1"/>
    </xf>
    <xf numFmtId="0" fontId="25" fillId="0" borderId="0" xfId="0" applyFont="1" applyAlignment="1">
      <alignment wrapText="1"/>
    </xf>
    <xf numFmtId="0" fontId="16" fillId="0" borderId="0" xfId="0" applyFont="1" applyAlignment="1">
      <alignment horizontal="center" wrapText="1"/>
    </xf>
    <xf numFmtId="0" fontId="16" fillId="0" borderId="0" xfId="0" applyFont="1" applyAlignment="1">
      <alignment wrapText="1"/>
    </xf>
    <xf numFmtId="0" fontId="15" fillId="0" borderId="0" xfId="0" applyFont="1"/>
    <xf numFmtId="0" fontId="15" fillId="8" borderId="0" xfId="0" applyFont="1" applyFill="1"/>
    <xf numFmtId="0" fontId="18" fillId="8" borderId="0" xfId="0" applyFont="1" applyFill="1" applyAlignment="1">
      <alignment wrapText="1"/>
    </xf>
    <xf numFmtId="0" fontId="14" fillId="0" borderId="0" xfId="0" applyFont="1" applyAlignment="1">
      <alignment horizontal="center" wrapText="1"/>
    </xf>
    <xf numFmtId="0" fontId="14" fillId="0" borderId="0" xfId="0" applyFont="1" applyAlignment="1">
      <alignment wrapText="1"/>
    </xf>
    <xf numFmtId="0" fontId="13" fillId="0" borderId="0" xfId="0" applyFont="1" applyAlignment="1">
      <alignment horizontal="center" wrapText="1"/>
    </xf>
    <xf numFmtId="6" fontId="0" fillId="0" borderId="0" xfId="0" applyNumberFormat="1" applyAlignment="1">
      <alignment wrapText="1"/>
    </xf>
    <xf numFmtId="0" fontId="12" fillId="0" borderId="0" xfId="0" applyFont="1" applyAlignment="1">
      <alignment horizontal="center" wrapText="1"/>
    </xf>
    <xf numFmtId="0" fontId="11" fillId="8" borderId="0" xfId="0" applyFont="1" applyFill="1" applyAlignment="1">
      <alignment wrapText="1"/>
    </xf>
    <xf numFmtId="0" fontId="14" fillId="8" borderId="0" xfId="0" applyFont="1" applyFill="1" applyAlignment="1">
      <alignment wrapText="1"/>
    </xf>
    <xf numFmtId="0" fontId="13" fillId="8" borderId="0" xfId="0" applyFont="1" applyFill="1" applyAlignment="1">
      <alignment wrapText="1"/>
    </xf>
    <xf numFmtId="0" fontId="26" fillId="0" borderId="0" xfId="0" applyFont="1" applyAlignment="1">
      <alignment horizontal="center" wrapText="1"/>
    </xf>
    <xf numFmtId="0" fontId="23" fillId="0" borderId="0" xfId="0" applyFont="1" applyAlignment="1">
      <alignment vertical="center" wrapText="1"/>
    </xf>
    <xf numFmtId="0" fontId="26" fillId="0" borderId="0" xfId="0" applyFont="1" applyAlignment="1">
      <alignment wrapText="1"/>
    </xf>
    <xf numFmtId="0" fontId="0" fillId="0" borderId="1" xfId="0" applyBorder="1"/>
    <xf numFmtId="0" fontId="22" fillId="0" borderId="0" xfId="0" applyFont="1"/>
    <xf numFmtId="0" fontId="23" fillId="0" borderId="0" xfId="1" applyFont="1"/>
    <xf numFmtId="0" fontId="22" fillId="0" borderId="1" xfId="0" applyFont="1" applyBorder="1"/>
    <xf numFmtId="0" fontId="23" fillId="0" borderId="1" xfId="1" applyFont="1" applyBorder="1"/>
    <xf numFmtId="0" fontId="0" fillId="0" borderId="2" xfId="0" applyBorder="1"/>
    <xf numFmtId="0" fontId="0" fillId="0" borderId="0" xfId="0" applyAlignment="1">
      <alignment vertical="top" wrapText="1"/>
    </xf>
    <xf numFmtId="0" fontId="28" fillId="0" borderId="0" xfId="0" applyFont="1"/>
    <xf numFmtId="0" fontId="29" fillId="0" borderId="3" xfId="0" applyFont="1" applyBorder="1"/>
    <xf numFmtId="0" fontId="29" fillId="9" borderId="3" xfId="0" applyFont="1" applyFill="1" applyBorder="1" applyAlignment="1">
      <alignment horizontal="left" wrapText="1"/>
    </xf>
    <xf numFmtId="0" fontId="29" fillId="9" borderId="3" xfId="0" applyFont="1" applyFill="1" applyBorder="1" applyAlignment="1">
      <alignment horizontal="left" vertical="center" wrapText="1" indent="1"/>
    </xf>
    <xf numFmtId="0" fontId="29" fillId="0" borderId="0" xfId="0" applyFont="1"/>
    <xf numFmtId="49" fontId="29" fillId="0" borderId="0" xfId="0" applyNumberFormat="1" applyFont="1"/>
    <xf numFmtId="0" fontId="29" fillId="0" borderId="5" xfId="0" applyFont="1" applyBorder="1"/>
    <xf numFmtId="0" fontId="29" fillId="0" borderId="8" xfId="0" applyFont="1" applyBorder="1"/>
    <xf numFmtId="0" fontId="29" fillId="0" borderId="6" xfId="0" applyFont="1" applyBorder="1"/>
    <xf numFmtId="0" fontId="29" fillId="0" borderId="7" xfId="0" applyFont="1" applyBorder="1"/>
    <xf numFmtId="4" fontId="29" fillId="9" borderId="3" xfId="0" applyNumberFormat="1" applyFont="1" applyFill="1" applyBorder="1" applyAlignment="1">
      <alignment horizontal="left" vertical="center" wrapText="1" indent="1"/>
    </xf>
    <xf numFmtId="4" fontId="29" fillId="0" borderId="5" xfId="0" applyNumberFormat="1" applyFont="1" applyBorder="1"/>
    <xf numFmtId="4" fontId="29" fillId="0" borderId="6" xfId="0" applyNumberFormat="1" applyFont="1" applyBorder="1"/>
    <xf numFmtId="4" fontId="29" fillId="0" borderId="0" xfId="0" applyNumberFormat="1" applyFont="1"/>
    <xf numFmtId="0" fontId="23" fillId="0" borderId="3" xfId="0" applyFont="1" applyBorder="1"/>
    <xf numFmtId="4" fontId="23" fillId="9" borderId="3" xfId="0" applyNumberFormat="1" applyFont="1" applyFill="1" applyBorder="1" applyAlignment="1">
      <alignment horizontal="left" vertical="center" wrapText="1" indent="1"/>
    </xf>
    <xf numFmtId="0" fontId="23" fillId="9" borderId="3" xfId="0" applyFont="1" applyFill="1" applyBorder="1" applyAlignment="1">
      <alignment horizontal="left" vertical="center" wrapText="1" indent="1"/>
    </xf>
    <xf numFmtId="49"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left" wrapText="1"/>
    </xf>
    <xf numFmtId="0" fontId="30" fillId="10" borderId="3" xfId="0" applyFont="1" applyFill="1" applyBorder="1" applyAlignment="1">
      <alignment horizontal="left" vertical="center" wrapText="1" indent="1"/>
    </xf>
    <xf numFmtId="4"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center" vertical="center" wrapText="1"/>
    </xf>
    <xf numFmtId="10" fontId="29" fillId="9" borderId="3" xfId="0" applyNumberFormat="1" applyFont="1" applyFill="1" applyBorder="1" applyAlignment="1">
      <alignment horizontal="center" vertical="center" wrapText="1"/>
    </xf>
    <xf numFmtId="0" fontId="29" fillId="9" borderId="3" xfId="0" applyFont="1" applyFill="1" applyBorder="1" applyAlignment="1">
      <alignment horizontal="center" vertical="center" wrapText="1"/>
    </xf>
    <xf numFmtId="0" fontId="29" fillId="0" borderId="5" xfId="0" applyFont="1" applyBorder="1" applyAlignment="1">
      <alignment horizontal="center"/>
    </xf>
    <xf numFmtId="0" fontId="29" fillId="0" borderId="6" xfId="0" applyFont="1" applyBorder="1" applyAlignment="1">
      <alignment horizontal="center"/>
    </xf>
    <xf numFmtId="0" fontId="29" fillId="0" borderId="0" xfId="0" applyFont="1" applyAlignment="1">
      <alignment horizontal="center"/>
    </xf>
    <xf numFmtId="9" fontId="29" fillId="9" borderId="3" xfId="0" applyNumberFormat="1"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9" borderId="3" xfId="0" applyFont="1" applyFill="1" applyBorder="1" applyAlignment="1">
      <alignment horizontal="left" vertical="center" wrapText="1"/>
    </xf>
    <xf numFmtId="0" fontId="29" fillId="9" borderId="3" xfId="0" applyFont="1" applyFill="1" applyBorder="1" applyAlignment="1">
      <alignment horizontal="left" vertical="center" wrapText="1"/>
    </xf>
    <xf numFmtId="0" fontId="29" fillId="0" borderId="5" xfId="0" applyFont="1" applyBorder="1" applyAlignment="1">
      <alignment horizontal="left"/>
    </xf>
    <xf numFmtId="0" fontId="29" fillId="0" borderId="6" xfId="0" applyFont="1" applyBorder="1" applyAlignment="1">
      <alignment horizontal="left"/>
    </xf>
    <xf numFmtId="0" fontId="29" fillId="0" borderId="0" xfId="0" applyFont="1" applyAlignment="1">
      <alignment horizontal="left"/>
    </xf>
    <xf numFmtId="0" fontId="21" fillId="11" borderId="3" xfId="0" applyFont="1" applyFill="1" applyBorder="1"/>
    <xf numFmtId="0" fontId="21" fillId="2" borderId="9" xfId="0" applyFont="1" applyFill="1" applyBorder="1"/>
    <xf numFmtId="0" fontId="21" fillId="4" borderId="9" xfId="0" applyFont="1" applyFill="1" applyBorder="1"/>
    <xf numFmtId="0" fontId="21"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4" fillId="8" borderId="3" xfId="0" applyFont="1" applyFill="1" applyBorder="1" applyAlignment="1">
      <alignment wrapText="1"/>
    </xf>
    <xf numFmtId="0" fontId="24" fillId="8" borderId="3" xfId="0" applyFont="1" applyFill="1" applyBorder="1" applyAlignment="1">
      <alignment horizontal="center"/>
    </xf>
    <xf numFmtId="0" fontId="24" fillId="8" borderId="3" xfId="0" applyFont="1" applyFill="1" applyBorder="1" applyAlignment="1">
      <alignment horizontal="left"/>
    </xf>
    <xf numFmtId="0" fontId="24" fillId="8" borderId="3" xfId="0" applyFont="1" applyFill="1" applyBorder="1"/>
    <xf numFmtId="0" fontId="10" fillId="0" borderId="0" xfId="0" applyFont="1"/>
    <xf numFmtId="44" fontId="10" fillId="0" borderId="0" xfId="3" applyFont="1" applyAlignment="1">
      <alignment horizontal="center"/>
    </xf>
    <xf numFmtId="44" fontId="10" fillId="0" borderId="0" xfId="3" applyFont="1" applyAlignment="1">
      <alignment horizontal="left"/>
    </xf>
    <xf numFmtId="44" fontId="10" fillId="4" borderId="4" xfId="3" applyFont="1" applyFill="1" applyBorder="1" applyAlignment="1">
      <alignment horizontal="center"/>
    </xf>
    <xf numFmtId="0" fontId="10" fillId="4" borderId="4" xfId="0" applyFont="1" applyFill="1" applyBorder="1" applyAlignment="1">
      <alignment horizontal="center"/>
    </xf>
    <xf numFmtId="0" fontId="10" fillId="0" borderId="0" xfId="0" applyFont="1" applyAlignment="1">
      <alignment horizontal="center"/>
    </xf>
    <xf numFmtId="44" fontId="24" fillId="4" borderId="4" xfId="0" applyNumberFormat="1" applyFont="1" applyFill="1" applyBorder="1" applyAlignment="1">
      <alignment horizontal="center"/>
    </xf>
    <xf numFmtId="44" fontId="24" fillId="0" borderId="0" xfId="0" applyNumberFormat="1" applyFont="1" applyAlignment="1">
      <alignment horizontal="center"/>
    </xf>
    <xf numFmtId="0" fontId="10" fillId="0" borderId="0" xfId="0" applyFont="1" applyAlignment="1">
      <alignment horizontal="left"/>
    </xf>
    <xf numFmtId="44" fontId="24" fillId="0" borderId="0" xfId="0" applyNumberFormat="1" applyFont="1" applyAlignment="1">
      <alignment horizontal="left"/>
    </xf>
    <xf numFmtId="0" fontId="10" fillId="8" borderId="3" xfId="0" applyFont="1" applyFill="1" applyBorder="1" applyAlignment="1">
      <alignment horizontal="center"/>
    </xf>
    <xf numFmtId="0" fontId="10" fillId="8" borderId="3" xfId="0" applyFont="1" applyFill="1" applyBorder="1"/>
    <xf numFmtId="0" fontId="10" fillId="8" borderId="3" xfId="0" applyFont="1" applyFill="1" applyBorder="1" applyAlignment="1">
      <alignment horizontal="left"/>
    </xf>
    <xf numFmtId="0" fontId="31" fillId="0" borderId="0" xfId="0" applyFont="1"/>
    <xf numFmtId="44" fontId="31" fillId="0" borderId="0" xfId="3" applyFont="1" applyAlignment="1">
      <alignment horizontal="center"/>
    </xf>
    <xf numFmtId="44" fontId="31" fillId="0" borderId="0" xfId="3" applyFont="1" applyAlignment="1">
      <alignment horizontal="left"/>
    </xf>
    <xf numFmtId="44" fontId="9" fillId="0" borderId="0" xfId="3" applyFont="1" applyAlignment="1">
      <alignment horizontal="left"/>
    </xf>
    <xf numFmtId="0" fontId="9" fillId="0" borderId="0" xfId="0" applyFont="1"/>
    <xf numFmtId="0" fontId="8" fillId="0" borderId="0" xfId="0" applyFont="1" applyAlignment="1">
      <alignment horizontal="left"/>
    </xf>
    <xf numFmtId="44" fontId="8" fillId="0" borderId="0" xfId="3" applyFont="1" applyAlignment="1">
      <alignment horizontal="left"/>
    </xf>
    <xf numFmtId="44" fontId="7" fillId="0" borderId="0" xfId="3" applyFont="1" applyAlignment="1">
      <alignment horizontal="left"/>
    </xf>
    <xf numFmtId="0" fontId="6" fillId="0" borderId="0" xfId="0" applyFont="1" applyAlignment="1">
      <alignment horizontal="left"/>
    </xf>
    <xf numFmtId="0" fontId="21"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11" borderId="17" xfId="0" applyFill="1" applyBorder="1" applyAlignment="1">
      <alignment horizontal="center"/>
    </xf>
    <xf numFmtId="0" fontId="0" fillId="11" borderId="0" xfId="0" applyFill="1"/>
    <xf numFmtId="0" fontId="10" fillId="11" borderId="16" xfId="0" applyFont="1" applyFill="1" applyBorder="1" applyAlignment="1">
      <alignment horizontal="center"/>
    </xf>
    <xf numFmtId="0" fontId="10" fillId="11" borderId="17" xfId="0" applyFont="1" applyFill="1" applyBorder="1"/>
    <xf numFmtId="0" fontId="10"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164" fontId="0" fillId="0" borderId="0" xfId="0" applyNumberFormat="1" applyAlignment="1">
      <alignment horizontal="left"/>
    </xf>
    <xf numFmtId="0" fontId="4" fillId="0" borderId="0" xfId="0" applyFont="1" applyAlignment="1">
      <alignment horizontal="center"/>
    </xf>
    <xf numFmtId="0" fontId="4" fillId="0" borderId="0" xfId="0" applyFont="1" applyAlignment="1">
      <alignment horizontal="left"/>
    </xf>
    <xf numFmtId="0" fontId="33" fillId="0" borderId="0" xfId="0" applyFont="1"/>
    <xf numFmtId="14" fontId="33" fillId="0" borderId="0" xfId="0" applyNumberFormat="1" applyFont="1"/>
    <xf numFmtId="0" fontId="33" fillId="3" borderId="0" xfId="0" applyFont="1" applyFill="1"/>
    <xf numFmtId="0" fontId="0" fillId="0" borderId="3" xfId="0" applyBorder="1"/>
    <xf numFmtId="0" fontId="3" fillId="0" borderId="0" xfId="0" applyFont="1" applyAlignment="1">
      <alignment horizontal="center"/>
    </xf>
    <xf numFmtId="0" fontId="34" fillId="12" borderId="0" xfId="0" applyFont="1" applyFill="1" applyAlignment="1">
      <alignment horizontal="left" vertical="center" wrapText="1" indent="2"/>
    </xf>
    <xf numFmtId="0" fontId="36" fillId="12" borderId="19" xfId="4" applyFill="1" applyBorder="1" applyAlignment="1">
      <alignment horizontal="left" vertical="top" wrapText="1" indent="2"/>
    </xf>
    <xf numFmtId="0" fontId="35" fillId="0" borderId="20" xfId="0" applyFont="1" applyBorder="1" applyAlignment="1">
      <alignment vertical="top" wrapText="1" indent="2"/>
    </xf>
    <xf numFmtId="0" fontId="36" fillId="12" borderId="20" xfId="4" applyFill="1" applyBorder="1" applyAlignment="1">
      <alignment horizontal="left" vertical="top" wrapText="1" indent="2"/>
    </xf>
    <xf numFmtId="0" fontId="36" fillId="12" borderId="0" xfId="4" applyFill="1" applyAlignment="1">
      <alignment horizontal="left" vertical="top" wrapText="1" indent="2"/>
    </xf>
    <xf numFmtId="0" fontId="35" fillId="0" borderId="0" xfId="0" applyFont="1" applyAlignment="1">
      <alignment vertical="top" wrapText="1" indent="2"/>
    </xf>
    <xf numFmtId="0" fontId="2" fillId="0" borderId="0" xfId="0" applyFont="1" applyAlignment="1">
      <alignment horizontal="center"/>
    </xf>
    <xf numFmtId="0" fontId="2" fillId="0" borderId="0" xfId="0" applyFont="1" applyAlignment="1">
      <alignment horizontal="left"/>
    </xf>
    <xf numFmtId="14" fontId="10" fillId="0" borderId="0" xfId="0" applyNumberFormat="1" applyFont="1"/>
    <xf numFmtId="164" fontId="21" fillId="2" borderId="3" xfId="0" applyNumberFormat="1" applyFont="1" applyFill="1" applyBorder="1" applyAlignment="1">
      <alignment horizontal="center"/>
    </xf>
    <xf numFmtId="0" fontId="21" fillId="0" borderId="0" xfId="0" applyFont="1" applyAlignment="1">
      <alignment horizontal="center"/>
    </xf>
    <xf numFmtId="0" fontId="1" fillId="0" borderId="0" xfId="0" applyFont="1" applyAlignment="1">
      <alignment horizontal="center"/>
    </xf>
    <xf numFmtId="0" fontId="1" fillId="0" borderId="0" xfId="0" applyFont="1" applyAlignment="1">
      <alignment horizontal="left"/>
    </xf>
    <xf numFmtId="0" fontId="0" fillId="2" borderId="3" xfId="0" applyFill="1" applyBorder="1" applyAlignment="1">
      <alignment horizontal="left"/>
    </xf>
    <xf numFmtId="0" fontId="33" fillId="0" borderId="0" xfId="0" applyFont="1" applyAlignment="1">
      <alignment horizontal="left"/>
    </xf>
    <xf numFmtId="0" fontId="37" fillId="0" borderId="0" xfId="0" applyFont="1"/>
    <xf numFmtId="0" fontId="38" fillId="0" borderId="0" xfId="0" applyFont="1"/>
    <xf numFmtId="0" fontId="0" fillId="0" borderId="3" xfId="0" applyBorder="1" applyAlignment="1">
      <alignment vertical="top" wrapText="1"/>
    </xf>
    <xf numFmtId="0" fontId="0" fillId="0" borderId="0" xfId="0" applyAlignment="1">
      <alignment vertical="top" wrapText="1"/>
    </xf>
    <xf numFmtId="0" fontId="21" fillId="5" borderId="0" xfId="0" applyFont="1" applyFill="1" applyAlignment="1">
      <alignment horizontal="center"/>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10" fillId="0" borderId="0" xfId="0" applyFont="1" applyAlignment="1">
      <alignment wrapText="1"/>
    </xf>
    <xf numFmtId="0" fontId="0" fillId="0" borderId="0" xfId="0" applyBorder="1"/>
    <xf numFmtId="0" fontId="22" fillId="0" borderId="0" xfId="0" applyFont="1" applyBorder="1"/>
    <xf numFmtId="0" fontId="23" fillId="0" borderId="0" xfId="1" applyFont="1" applyBorder="1"/>
  </cellXfs>
  <cellStyles count="5">
    <cellStyle name="Currency" xfId="3" builtinId="4"/>
    <cellStyle name="Hyperlink" xfId="4" builtinId="8"/>
    <cellStyle name="Normal" xfId="0" builtinId="0"/>
    <cellStyle name="Normal 2" xfId="1" xr:uid="{00000000-0005-0000-0000-000002000000}"/>
    <cellStyle name="Normal 3" xfId="2" xr:uid="{00000000-0005-0000-0000-000003000000}"/>
  </cellStyles>
  <dxfs count="14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8" Type="http://schemas.openxmlformats.org/officeDocument/2006/relationships/hyperlink" Target="https://www.fool.com/quote/nasdaq/ddog/" TargetMode="External"/><Relationship Id="rId3" Type="http://schemas.openxmlformats.org/officeDocument/2006/relationships/hyperlink" Target="https://www.fool.com/quote/nasdaq/okta/" TargetMode="External"/><Relationship Id="rId7" Type="http://schemas.openxmlformats.org/officeDocument/2006/relationships/hyperlink" Target="https://www.fool.com/quote/nasdaq/splk/" TargetMode="External"/><Relationship Id="rId2" Type="http://schemas.openxmlformats.org/officeDocument/2006/relationships/hyperlink" Target="https://www.fool.com/quote/nasdaq/zs/" TargetMode="External"/><Relationship Id="rId1" Type="http://schemas.openxmlformats.org/officeDocument/2006/relationships/hyperlink" Target="https://www.fool.com/quote/nasdaq/crwd/" TargetMode="External"/><Relationship Id="rId6" Type="http://schemas.openxmlformats.org/officeDocument/2006/relationships/hyperlink" Target="https://www.fool.com/quote/nasdaq/ftnt/" TargetMode="External"/><Relationship Id="rId5" Type="http://schemas.openxmlformats.org/officeDocument/2006/relationships/hyperlink" Target="https://www.fool.com/quote/nyse/panw/" TargetMode="External"/><Relationship Id="rId10" Type="http://schemas.openxmlformats.org/officeDocument/2006/relationships/printerSettings" Target="../printerSettings/printerSettings2.bin"/><Relationship Id="rId4" Type="http://schemas.openxmlformats.org/officeDocument/2006/relationships/hyperlink" Target="https://www.fool.com/quote/nyse/s/" TargetMode="External"/><Relationship Id="rId9" Type="http://schemas.openxmlformats.org/officeDocument/2006/relationships/hyperlink" Target="https://www.fool.com/quote/nasdaq/akam/" TargetMode="Externa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60"/>
  <sheetViews>
    <sheetView tabSelected="1" zoomScale="148" zoomScaleNormal="148" workbookViewId="0">
      <pane ySplit="1" topLeftCell="A2" activePane="bottomLeft" state="frozen"/>
      <selection pane="bottomLeft" activeCell="H13" sqref="H13"/>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24" customFormat="1" ht="60" x14ac:dyDescent="0.25">
      <c r="A1" s="24" t="s">
        <v>327</v>
      </c>
      <c r="B1" s="24" t="s">
        <v>2</v>
      </c>
      <c r="C1" s="24" t="s">
        <v>3203</v>
      </c>
      <c r="D1" s="24" t="s">
        <v>3</v>
      </c>
      <c r="E1" s="59" t="s">
        <v>157</v>
      </c>
      <c r="F1" s="60" t="s">
        <v>361</v>
      </c>
      <c r="G1" s="61" t="s">
        <v>160</v>
      </c>
      <c r="H1" s="24" t="s">
        <v>0</v>
      </c>
      <c r="I1" s="24" t="s">
        <v>148</v>
      </c>
      <c r="J1" s="24" t="s">
        <v>5</v>
      </c>
      <c r="K1" s="24" t="s">
        <v>4</v>
      </c>
      <c r="L1" s="24" t="s">
        <v>6</v>
      </c>
    </row>
    <row r="2" spans="1:12" x14ac:dyDescent="0.25">
      <c r="A2" s="64" t="s">
        <v>217</v>
      </c>
      <c r="B2" t="s">
        <v>7</v>
      </c>
      <c r="C2" t="s">
        <v>3207</v>
      </c>
    </row>
    <row r="3" spans="1:12" x14ac:dyDescent="0.25">
      <c r="A3" t="s">
        <v>746</v>
      </c>
      <c r="B3" t="s">
        <v>7</v>
      </c>
      <c r="C3" t="s">
        <v>3205</v>
      </c>
    </row>
    <row r="4" spans="1:12" x14ac:dyDescent="0.25">
      <c r="A4" s="63" t="s">
        <v>72</v>
      </c>
      <c r="B4" t="s">
        <v>7</v>
      </c>
      <c r="C4" t="s">
        <v>3204</v>
      </c>
    </row>
    <row r="5" spans="1:12" x14ac:dyDescent="0.25">
      <c r="A5" t="s">
        <v>232</v>
      </c>
      <c r="B5" t="s">
        <v>7</v>
      </c>
      <c r="C5" t="s">
        <v>3205</v>
      </c>
      <c r="I5" s="62"/>
    </row>
    <row r="6" spans="1:12" x14ac:dyDescent="0.25">
      <c r="A6" t="s">
        <v>10</v>
      </c>
      <c r="B6" t="s">
        <v>7</v>
      </c>
      <c r="C6" t="s">
        <v>3207</v>
      </c>
      <c r="I6" s="62"/>
    </row>
    <row r="7" spans="1:12" x14ac:dyDescent="0.25">
      <c r="A7" t="s">
        <v>162</v>
      </c>
      <c r="B7" t="s">
        <v>7</v>
      </c>
      <c r="C7" t="s">
        <v>3205</v>
      </c>
    </row>
    <row r="8" spans="1:12" x14ac:dyDescent="0.25">
      <c r="A8" t="s">
        <v>2320</v>
      </c>
      <c r="B8" t="s">
        <v>7</v>
      </c>
    </row>
    <row r="9" spans="1:12" x14ac:dyDescent="0.25">
      <c r="A9" t="s">
        <v>86</v>
      </c>
      <c r="B9" t="s">
        <v>7</v>
      </c>
      <c r="C9" t="s">
        <v>3204</v>
      </c>
      <c r="I9" s="62"/>
    </row>
    <row r="10" spans="1:12" x14ac:dyDescent="0.25">
      <c r="A10" t="s">
        <v>233</v>
      </c>
      <c r="B10" t="s">
        <v>7</v>
      </c>
      <c r="C10" t="s">
        <v>3205</v>
      </c>
      <c r="I10" s="62"/>
    </row>
    <row r="11" spans="1:12" x14ac:dyDescent="0.25">
      <c r="A11" s="64" t="s">
        <v>212</v>
      </c>
      <c r="B11" t="s">
        <v>7</v>
      </c>
      <c r="C11" t="s">
        <v>3204</v>
      </c>
      <c r="I11" s="62"/>
    </row>
    <row r="12" spans="1:12" x14ac:dyDescent="0.25">
      <c r="A12" t="s">
        <v>275</v>
      </c>
      <c r="B12" t="s">
        <v>268</v>
      </c>
      <c r="C12" t="s">
        <v>3207</v>
      </c>
    </row>
    <row r="13" spans="1:12" x14ac:dyDescent="0.25">
      <c r="A13" t="s">
        <v>6846</v>
      </c>
      <c r="B13" t="s">
        <v>7</v>
      </c>
    </row>
    <row r="14" spans="1:12" x14ac:dyDescent="0.25">
      <c r="A14" t="s">
        <v>149</v>
      </c>
      <c r="B14" t="s">
        <v>7</v>
      </c>
      <c r="C14" t="s">
        <v>3205</v>
      </c>
    </row>
    <row r="15" spans="1:12" x14ac:dyDescent="0.25">
      <c r="A15" t="s">
        <v>7229</v>
      </c>
      <c r="B15" t="s">
        <v>7</v>
      </c>
    </row>
    <row r="16" spans="1:12" x14ac:dyDescent="0.25">
      <c r="A16" s="62" t="s">
        <v>29</v>
      </c>
      <c r="B16" t="s">
        <v>7</v>
      </c>
      <c r="C16" t="s">
        <v>3204</v>
      </c>
    </row>
    <row r="17" spans="1:3" x14ac:dyDescent="0.25">
      <c r="A17" s="62" t="s">
        <v>234</v>
      </c>
      <c r="B17" t="s">
        <v>7</v>
      </c>
      <c r="C17" t="s">
        <v>3205</v>
      </c>
    </row>
    <row r="18" spans="1:3" x14ac:dyDescent="0.25">
      <c r="A18" s="188" t="s">
        <v>87</v>
      </c>
      <c r="B18" t="s">
        <v>7</v>
      </c>
      <c r="C18" t="s">
        <v>3204</v>
      </c>
    </row>
    <row r="19" spans="1:3" x14ac:dyDescent="0.25">
      <c r="A19" t="s">
        <v>204</v>
      </c>
      <c r="B19" t="s">
        <v>7</v>
      </c>
      <c r="C19" t="s">
        <v>3204</v>
      </c>
    </row>
    <row r="20" spans="1:3" x14ac:dyDescent="0.25">
      <c r="A20" t="s">
        <v>88</v>
      </c>
      <c r="B20" t="s">
        <v>7</v>
      </c>
      <c r="C20" t="s">
        <v>3205</v>
      </c>
    </row>
    <row r="21" spans="1:3" x14ac:dyDescent="0.25">
      <c r="A21" t="s">
        <v>276</v>
      </c>
      <c r="B21" t="s">
        <v>7</v>
      </c>
      <c r="C21" t="s">
        <v>3207</v>
      </c>
    </row>
    <row r="22" spans="1:3" x14ac:dyDescent="0.25">
      <c r="A22" t="s">
        <v>159</v>
      </c>
      <c r="B22" t="s">
        <v>7</v>
      </c>
      <c r="C22" t="s">
        <v>3205</v>
      </c>
    </row>
    <row r="23" spans="1:3" x14ac:dyDescent="0.25">
      <c r="A23" t="s">
        <v>2811</v>
      </c>
      <c r="B23" t="s">
        <v>7</v>
      </c>
    </row>
    <row r="24" spans="1:3" x14ac:dyDescent="0.25">
      <c r="A24" t="s">
        <v>229</v>
      </c>
      <c r="B24" t="s">
        <v>7</v>
      </c>
    </row>
    <row r="25" spans="1:3" x14ac:dyDescent="0.25">
      <c r="A25" t="s">
        <v>150</v>
      </c>
      <c r="B25" t="s">
        <v>7</v>
      </c>
      <c r="C25" t="s">
        <v>3205</v>
      </c>
    </row>
    <row r="26" spans="1:3" x14ac:dyDescent="0.25">
      <c r="A26" t="s">
        <v>1</v>
      </c>
      <c r="B26" t="s">
        <v>7</v>
      </c>
      <c r="C26" t="s">
        <v>3204</v>
      </c>
    </row>
    <row r="27" spans="1:3" x14ac:dyDescent="0.25">
      <c r="A27" t="s">
        <v>1505</v>
      </c>
      <c r="B27" t="s">
        <v>7</v>
      </c>
      <c r="C27" t="s">
        <v>3206</v>
      </c>
    </row>
    <row r="28" spans="1:3" x14ac:dyDescent="0.25">
      <c r="A28" s="65" t="s">
        <v>89</v>
      </c>
      <c r="B28" t="s">
        <v>7</v>
      </c>
      <c r="C28" t="s">
        <v>3205</v>
      </c>
    </row>
    <row r="29" spans="1:3" x14ac:dyDescent="0.25">
      <c r="A29" s="189" t="s">
        <v>90</v>
      </c>
      <c r="B29" t="s">
        <v>7</v>
      </c>
      <c r="C29" t="s">
        <v>3204</v>
      </c>
    </row>
    <row r="30" spans="1:3" x14ac:dyDescent="0.25">
      <c r="A30" t="s">
        <v>235</v>
      </c>
      <c r="B30" t="s">
        <v>7</v>
      </c>
      <c r="C30" t="s">
        <v>3205</v>
      </c>
    </row>
    <row r="31" spans="1:3" x14ac:dyDescent="0.25">
      <c r="A31" t="s">
        <v>794</v>
      </c>
      <c r="B31" t="s">
        <v>7</v>
      </c>
      <c r="C31" t="s">
        <v>3205</v>
      </c>
    </row>
    <row r="32" spans="1:3" x14ac:dyDescent="0.25">
      <c r="A32" t="s">
        <v>395</v>
      </c>
      <c r="B32" t="s">
        <v>7</v>
      </c>
    </row>
    <row r="33" spans="1:8" x14ac:dyDescent="0.25">
      <c r="A33" t="s">
        <v>522</v>
      </c>
      <c r="B33" t="s">
        <v>7</v>
      </c>
      <c r="C33" t="s">
        <v>3205</v>
      </c>
      <c r="H33" t="s">
        <v>4040</v>
      </c>
    </row>
    <row r="34" spans="1:8" x14ac:dyDescent="0.25">
      <c r="A34" t="s">
        <v>546</v>
      </c>
      <c r="B34" t="s">
        <v>7</v>
      </c>
      <c r="C34" t="s">
        <v>3205</v>
      </c>
    </row>
    <row r="35" spans="1:8" x14ac:dyDescent="0.25">
      <c r="A35" t="s">
        <v>3309</v>
      </c>
      <c r="B35" t="s">
        <v>7</v>
      </c>
    </row>
    <row r="36" spans="1:8" x14ac:dyDescent="0.25">
      <c r="A36" t="s">
        <v>3403</v>
      </c>
      <c r="B36" t="s">
        <v>7</v>
      </c>
      <c r="C36" t="s">
        <v>3745</v>
      </c>
    </row>
    <row r="37" spans="1:8" x14ac:dyDescent="0.25">
      <c r="A37" t="s">
        <v>6847</v>
      </c>
      <c r="B37" t="s">
        <v>7</v>
      </c>
    </row>
    <row r="38" spans="1:8" x14ac:dyDescent="0.25">
      <c r="A38" t="s">
        <v>390</v>
      </c>
      <c r="B38" t="s">
        <v>7</v>
      </c>
      <c r="C38" t="s">
        <v>3206</v>
      </c>
    </row>
    <row r="39" spans="1:8" x14ac:dyDescent="0.25">
      <c r="A39" t="s">
        <v>28</v>
      </c>
      <c r="B39" t="s">
        <v>7</v>
      </c>
      <c r="C39" t="s">
        <v>3206</v>
      </c>
    </row>
    <row r="40" spans="1:8" x14ac:dyDescent="0.25">
      <c r="A40" t="s">
        <v>3158</v>
      </c>
      <c r="B40" t="s">
        <v>7</v>
      </c>
    </row>
    <row r="41" spans="1:8" x14ac:dyDescent="0.25">
      <c r="A41" t="s">
        <v>3767</v>
      </c>
      <c r="B41" t="s">
        <v>7</v>
      </c>
    </row>
    <row r="42" spans="1:8" x14ac:dyDescent="0.25">
      <c r="A42" t="s">
        <v>415</v>
      </c>
      <c r="B42" t="s">
        <v>7</v>
      </c>
    </row>
    <row r="43" spans="1:8" x14ac:dyDescent="0.25">
      <c r="A43" t="s">
        <v>91</v>
      </c>
      <c r="B43" t="s">
        <v>255</v>
      </c>
    </row>
    <row r="44" spans="1:8" x14ac:dyDescent="0.25">
      <c r="A44" t="s">
        <v>360</v>
      </c>
      <c r="B44" t="s">
        <v>7</v>
      </c>
      <c r="C44" t="s">
        <v>3745</v>
      </c>
    </row>
    <row r="45" spans="1:8" x14ac:dyDescent="0.25">
      <c r="A45" t="s">
        <v>92</v>
      </c>
      <c r="B45" t="s">
        <v>7</v>
      </c>
    </row>
    <row r="46" spans="1:8" x14ac:dyDescent="0.25">
      <c r="A46" s="23" t="s">
        <v>73</v>
      </c>
      <c r="B46" t="s">
        <v>7</v>
      </c>
      <c r="C46" t="s">
        <v>3204</v>
      </c>
    </row>
    <row r="47" spans="1:8" x14ac:dyDescent="0.25">
      <c r="A47" t="s">
        <v>399</v>
      </c>
      <c r="B47" t="s">
        <v>7</v>
      </c>
      <c r="C47" t="s">
        <v>3745</v>
      </c>
    </row>
    <row r="48" spans="1:8" x14ac:dyDescent="0.25">
      <c r="A48" t="s">
        <v>725</v>
      </c>
      <c r="B48" t="s">
        <v>7</v>
      </c>
      <c r="C48" t="s">
        <v>3205</v>
      </c>
    </row>
    <row r="49" spans="1:3" x14ac:dyDescent="0.25">
      <c r="A49" t="s">
        <v>1381</v>
      </c>
      <c r="B49" t="s">
        <v>7</v>
      </c>
    </row>
    <row r="50" spans="1:3" x14ac:dyDescent="0.25">
      <c r="A50" t="s">
        <v>278</v>
      </c>
      <c r="B50" t="s">
        <v>7</v>
      </c>
      <c r="C50" t="s">
        <v>3206</v>
      </c>
    </row>
    <row r="51" spans="1:3" x14ac:dyDescent="0.25">
      <c r="A51" t="s">
        <v>563</v>
      </c>
      <c r="B51" t="s">
        <v>7</v>
      </c>
      <c r="C51" t="s">
        <v>3205</v>
      </c>
    </row>
    <row r="52" spans="1:3" x14ac:dyDescent="0.25">
      <c r="A52" t="s">
        <v>32</v>
      </c>
      <c r="B52" t="s">
        <v>7</v>
      </c>
      <c r="C52" t="s">
        <v>3205</v>
      </c>
    </row>
    <row r="53" spans="1:3" x14ac:dyDescent="0.25">
      <c r="A53" s="23" t="s">
        <v>74</v>
      </c>
      <c r="B53" t="s">
        <v>7</v>
      </c>
    </row>
    <row r="54" spans="1:3" x14ac:dyDescent="0.25">
      <c r="A54" t="s">
        <v>54</v>
      </c>
      <c r="B54" t="s">
        <v>254</v>
      </c>
      <c r="C54" t="s">
        <v>3205</v>
      </c>
    </row>
    <row r="55" spans="1:3" x14ac:dyDescent="0.25">
      <c r="A55" s="64" t="s">
        <v>218</v>
      </c>
      <c r="B55" t="s">
        <v>7</v>
      </c>
      <c r="C55" t="s">
        <v>3745</v>
      </c>
    </row>
    <row r="56" spans="1:3" x14ac:dyDescent="0.25">
      <c r="A56" s="64" t="s">
        <v>6699</v>
      </c>
      <c r="B56" t="s">
        <v>7</v>
      </c>
      <c r="C56" t="s">
        <v>3205</v>
      </c>
    </row>
    <row r="57" spans="1:3" x14ac:dyDescent="0.25">
      <c r="A57" t="s">
        <v>93</v>
      </c>
      <c r="B57" t="s">
        <v>7</v>
      </c>
      <c r="C57" t="s">
        <v>3205</v>
      </c>
    </row>
    <row r="58" spans="1:3" x14ac:dyDescent="0.25">
      <c r="A58" t="s">
        <v>261</v>
      </c>
      <c r="B58" t="s">
        <v>7</v>
      </c>
      <c r="C58" t="s">
        <v>3745</v>
      </c>
    </row>
    <row r="59" spans="1:3" x14ac:dyDescent="0.25">
      <c r="A59" t="s">
        <v>344</v>
      </c>
      <c r="B59" t="s">
        <v>7</v>
      </c>
      <c r="C59" t="s">
        <v>3207</v>
      </c>
    </row>
    <row r="60" spans="1:3" x14ac:dyDescent="0.25">
      <c r="A60" t="s">
        <v>333</v>
      </c>
      <c r="B60" t="s">
        <v>7</v>
      </c>
      <c r="C60" t="s">
        <v>3207</v>
      </c>
    </row>
    <row r="61" spans="1:3" x14ac:dyDescent="0.25">
      <c r="A61" t="s">
        <v>279</v>
      </c>
      <c r="B61" t="s">
        <v>268</v>
      </c>
      <c r="C61" t="s">
        <v>3206</v>
      </c>
    </row>
    <row r="62" spans="1:3" x14ac:dyDescent="0.25">
      <c r="A62" t="s">
        <v>94</v>
      </c>
      <c r="B62" t="s">
        <v>7</v>
      </c>
      <c r="C62" t="s">
        <v>3204</v>
      </c>
    </row>
    <row r="63" spans="1:3" x14ac:dyDescent="0.25">
      <c r="A63" t="s">
        <v>216</v>
      </c>
      <c r="B63" t="s">
        <v>7</v>
      </c>
      <c r="C63" t="s">
        <v>3206</v>
      </c>
    </row>
    <row r="64" spans="1:3" x14ac:dyDescent="0.25">
      <c r="A64" t="s">
        <v>370</v>
      </c>
      <c r="B64" t="s">
        <v>7</v>
      </c>
      <c r="C64" t="s">
        <v>3206</v>
      </c>
    </row>
    <row r="65" spans="1:7" x14ac:dyDescent="0.25">
      <c r="A65" t="s">
        <v>231</v>
      </c>
      <c r="B65" t="s">
        <v>7</v>
      </c>
    </row>
    <row r="66" spans="1:7" x14ac:dyDescent="0.25">
      <c r="A66" t="s">
        <v>373</v>
      </c>
      <c r="B66" t="s">
        <v>7</v>
      </c>
      <c r="C66" t="s">
        <v>3205</v>
      </c>
    </row>
    <row r="67" spans="1:7" x14ac:dyDescent="0.25">
      <c r="A67" s="23" t="s">
        <v>96</v>
      </c>
      <c r="B67" t="s">
        <v>255</v>
      </c>
      <c r="C67" t="s">
        <v>3745</v>
      </c>
    </row>
    <row r="68" spans="1:7" x14ac:dyDescent="0.25">
      <c r="A68" t="s">
        <v>280</v>
      </c>
      <c r="B68" t="s">
        <v>268</v>
      </c>
      <c r="C68" t="s">
        <v>3206</v>
      </c>
    </row>
    <row r="69" spans="1:7" x14ac:dyDescent="0.25">
      <c r="A69" t="s">
        <v>400</v>
      </c>
      <c r="B69" t="s">
        <v>7</v>
      </c>
      <c r="C69" t="s">
        <v>3207</v>
      </c>
    </row>
    <row r="70" spans="1:7" x14ac:dyDescent="0.25">
      <c r="A70" t="s">
        <v>166</v>
      </c>
      <c r="B70" t="s">
        <v>7</v>
      </c>
      <c r="C70" t="s">
        <v>3206</v>
      </c>
    </row>
    <row r="71" spans="1:7" x14ac:dyDescent="0.25">
      <c r="A71" t="s">
        <v>33</v>
      </c>
      <c r="B71" t="s">
        <v>7</v>
      </c>
      <c r="C71" t="s">
        <v>3205</v>
      </c>
    </row>
    <row r="72" spans="1:7" x14ac:dyDescent="0.25">
      <c r="A72" t="s">
        <v>329</v>
      </c>
      <c r="B72" t="s">
        <v>7</v>
      </c>
      <c r="C72" t="s">
        <v>3205</v>
      </c>
    </row>
    <row r="73" spans="1:7" x14ac:dyDescent="0.25">
      <c r="A73" t="s">
        <v>97</v>
      </c>
      <c r="B73" t="s">
        <v>7</v>
      </c>
      <c r="C73" t="s">
        <v>3205</v>
      </c>
    </row>
    <row r="74" spans="1:7" x14ac:dyDescent="0.25">
      <c r="A74" t="s">
        <v>98</v>
      </c>
      <c r="B74" t="s">
        <v>7</v>
      </c>
      <c r="C74" t="s">
        <v>3205</v>
      </c>
    </row>
    <row r="75" spans="1:7" x14ac:dyDescent="0.25">
      <c r="A75" t="s">
        <v>378</v>
      </c>
      <c r="B75" t="s">
        <v>7</v>
      </c>
      <c r="C75" t="s">
        <v>3745</v>
      </c>
    </row>
    <row r="76" spans="1:7" x14ac:dyDescent="0.25">
      <c r="A76" t="s">
        <v>391</v>
      </c>
      <c r="B76" t="s">
        <v>7</v>
      </c>
      <c r="C76" t="s">
        <v>3205</v>
      </c>
    </row>
    <row r="77" spans="1:7" x14ac:dyDescent="0.25">
      <c r="A77" s="63" t="s">
        <v>183</v>
      </c>
      <c r="B77" t="s">
        <v>7</v>
      </c>
      <c r="C77" t="s">
        <v>3207</v>
      </c>
    </row>
    <row r="78" spans="1:7" x14ac:dyDescent="0.25">
      <c r="A78" t="s">
        <v>151</v>
      </c>
      <c r="B78" t="s">
        <v>7</v>
      </c>
      <c r="C78" t="s">
        <v>3204</v>
      </c>
      <c r="G78" t="s">
        <v>161</v>
      </c>
    </row>
    <row r="79" spans="1:7" x14ac:dyDescent="0.25">
      <c r="A79" s="62" t="s">
        <v>99</v>
      </c>
      <c r="B79" t="s">
        <v>7</v>
      </c>
      <c r="C79" t="s">
        <v>3205</v>
      </c>
    </row>
    <row r="80" spans="1:7" x14ac:dyDescent="0.25">
      <c r="A80" s="62" t="s">
        <v>397</v>
      </c>
      <c r="B80" t="s">
        <v>7</v>
      </c>
      <c r="C80" t="s">
        <v>3207</v>
      </c>
    </row>
    <row r="81" spans="1:3" x14ac:dyDescent="0.25">
      <c r="A81" s="62" t="s">
        <v>6983</v>
      </c>
      <c r="B81" t="s">
        <v>7</v>
      </c>
    </row>
    <row r="82" spans="1:3" x14ac:dyDescent="0.25">
      <c r="A82" s="62" t="s">
        <v>3703</v>
      </c>
      <c r="B82" t="s">
        <v>7</v>
      </c>
    </row>
    <row r="83" spans="1:3" x14ac:dyDescent="0.25">
      <c r="A83" s="62" t="s">
        <v>248</v>
      </c>
      <c r="B83" t="s">
        <v>7</v>
      </c>
      <c r="C83" t="s">
        <v>3205</v>
      </c>
    </row>
    <row r="84" spans="1:3" x14ac:dyDescent="0.25">
      <c r="A84" s="62" t="s">
        <v>281</v>
      </c>
      <c r="B84" t="s">
        <v>268</v>
      </c>
      <c r="C84" t="s">
        <v>3206</v>
      </c>
    </row>
    <row r="85" spans="1:3" x14ac:dyDescent="0.25">
      <c r="A85" s="62" t="s">
        <v>270</v>
      </c>
      <c r="B85" t="s">
        <v>255</v>
      </c>
    </row>
    <row r="86" spans="1:3" x14ac:dyDescent="0.25">
      <c r="A86" s="62" t="s">
        <v>282</v>
      </c>
      <c r="B86" t="s">
        <v>268</v>
      </c>
      <c r="C86" t="s">
        <v>3205</v>
      </c>
    </row>
    <row r="87" spans="1:3" x14ac:dyDescent="0.25">
      <c r="A87" s="62" t="s">
        <v>9</v>
      </c>
      <c r="B87" t="s">
        <v>7</v>
      </c>
      <c r="C87" t="s">
        <v>3204</v>
      </c>
    </row>
    <row r="88" spans="1:3" x14ac:dyDescent="0.25">
      <c r="A88" s="62" t="s">
        <v>100</v>
      </c>
      <c r="B88" t="s">
        <v>7</v>
      </c>
      <c r="C88" t="s">
        <v>3205</v>
      </c>
    </row>
    <row r="89" spans="1:3" x14ac:dyDescent="0.25">
      <c r="A89" s="62" t="s">
        <v>273</v>
      </c>
      <c r="B89" t="s">
        <v>7</v>
      </c>
      <c r="C89" t="s">
        <v>3206</v>
      </c>
    </row>
    <row r="90" spans="1:3" x14ac:dyDescent="0.25">
      <c r="A90" s="62" t="s">
        <v>414</v>
      </c>
      <c r="B90" t="s">
        <v>7</v>
      </c>
    </row>
    <row r="91" spans="1:3" x14ac:dyDescent="0.25">
      <c r="A91" s="62" t="s">
        <v>283</v>
      </c>
      <c r="B91" t="s">
        <v>268</v>
      </c>
      <c r="C91" t="s">
        <v>3205</v>
      </c>
    </row>
    <row r="92" spans="1:3" x14ac:dyDescent="0.25">
      <c r="A92" s="66" t="s">
        <v>219</v>
      </c>
      <c r="B92" t="s">
        <v>7</v>
      </c>
      <c r="C92" t="s">
        <v>3206</v>
      </c>
    </row>
    <row r="93" spans="1:3" x14ac:dyDescent="0.25">
      <c r="A93" s="62" t="s">
        <v>455</v>
      </c>
      <c r="B93" t="s">
        <v>7</v>
      </c>
    </row>
    <row r="94" spans="1:3" x14ac:dyDescent="0.25">
      <c r="A94" s="62" t="s">
        <v>38</v>
      </c>
      <c r="B94" t="s">
        <v>7</v>
      </c>
      <c r="C94" t="s">
        <v>3205</v>
      </c>
    </row>
    <row r="95" spans="1:3" x14ac:dyDescent="0.25">
      <c r="A95" s="66" t="s">
        <v>220</v>
      </c>
      <c r="B95" t="s">
        <v>7</v>
      </c>
      <c r="C95" t="s">
        <v>3205</v>
      </c>
    </row>
    <row r="96" spans="1:3" x14ac:dyDescent="0.25">
      <c r="A96" s="66" t="s">
        <v>185</v>
      </c>
      <c r="B96" t="s">
        <v>7</v>
      </c>
      <c r="C96" t="s">
        <v>3207</v>
      </c>
    </row>
    <row r="97" spans="1:6" x14ac:dyDescent="0.25">
      <c r="A97" s="62" t="s">
        <v>1582</v>
      </c>
      <c r="B97" t="s">
        <v>7</v>
      </c>
    </row>
    <row r="98" spans="1:6" x14ac:dyDescent="0.25">
      <c r="A98" s="66" t="s">
        <v>221</v>
      </c>
      <c r="B98" t="s">
        <v>7</v>
      </c>
      <c r="C98" t="s">
        <v>3205</v>
      </c>
    </row>
    <row r="99" spans="1:6" x14ac:dyDescent="0.25">
      <c r="A99" s="62" t="s">
        <v>65</v>
      </c>
      <c r="B99" t="s">
        <v>7</v>
      </c>
      <c r="C99" t="s">
        <v>3207</v>
      </c>
    </row>
    <row r="100" spans="1:6" x14ac:dyDescent="0.25">
      <c r="A100" s="62" t="s">
        <v>75</v>
      </c>
      <c r="B100" t="s">
        <v>7</v>
      </c>
      <c r="C100" t="s">
        <v>3204</v>
      </c>
    </row>
    <row r="101" spans="1:6" x14ac:dyDescent="0.25">
      <c r="A101" s="62" t="s">
        <v>57</v>
      </c>
      <c r="B101" t="s">
        <v>7</v>
      </c>
    </row>
    <row r="102" spans="1:6" x14ac:dyDescent="0.25">
      <c r="A102" s="62" t="s">
        <v>7224</v>
      </c>
      <c r="B102" t="s">
        <v>7</v>
      </c>
    </row>
    <row r="103" spans="1:6" x14ac:dyDescent="0.25">
      <c r="A103" s="62" t="s">
        <v>7226</v>
      </c>
      <c r="B103" t="s">
        <v>7</v>
      </c>
    </row>
    <row r="104" spans="1:6" x14ac:dyDescent="0.25">
      <c r="A104" s="62" t="s">
        <v>101</v>
      </c>
      <c r="B104" t="s">
        <v>7</v>
      </c>
      <c r="C104" t="s">
        <v>3204</v>
      </c>
    </row>
    <row r="105" spans="1:6" x14ac:dyDescent="0.25">
      <c r="A105" s="62" t="s">
        <v>285</v>
      </c>
      <c r="B105" t="s">
        <v>268</v>
      </c>
      <c r="C105" t="s">
        <v>3205</v>
      </c>
    </row>
    <row r="106" spans="1:6" x14ac:dyDescent="0.25">
      <c r="A106" s="62" t="s">
        <v>167</v>
      </c>
      <c r="B106" t="s">
        <v>7</v>
      </c>
      <c r="C106" t="s">
        <v>3207</v>
      </c>
    </row>
    <row r="107" spans="1:6" x14ac:dyDescent="0.25">
      <c r="A107" s="62" t="s">
        <v>406</v>
      </c>
      <c r="B107" t="s">
        <v>7</v>
      </c>
      <c r="C107" t="s">
        <v>3206</v>
      </c>
    </row>
    <row r="108" spans="1:6" x14ac:dyDescent="0.25">
      <c r="A108" s="62" t="s">
        <v>206</v>
      </c>
      <c r="B108" t="s">
        <v>7</v>
      </c>
      <c r="C108" t="s">
        <v>3206</v>
      </c>
      <c r="D108" s="8"/>
      <c r="E108" s="28"/>
      <c r="F108" s="28"/>
    </row>
    <row r="109" spans="1:6" x14ac:dyDescent="0.25">
      <c r="A109" s="62" t="s">
        <v>3189</v>
      </c>
      <c r="B109" t="s">
        <v>7</v>
      </c>
    </row>
    <row r="110" spans="1:6" x14ac:dyDescent="0.25">
      <c r="A110" s="62" t="s">
        <v>377</v>
      </c>
      <c r="B110" t="s">
        <v>7</v>
      </c>
      <c r="C110" t="s">
        <v>3204</v>
      </c>
    </row>
    <row r="111" spans="1:6" x14ac:dyDescent="0.25">
      <c r="A111" s="62" t="s">
        <v>39</v>
      </c>
      <c r="B111" t="s">
        <v>7</v>
      </c>
      <c r="C111" t="s">
        <v>3745</v>
      </c>
    </row>
    <row r="112" spans="1:6" x14ac:dyDescent="0.25">
      <c r="A112" s="66" t="s">
        <v>186</v>
      </c>
      <c r="B112" t="s">
        <v>7</v>
      </c>
      <c r="C112" t="s">
        <v>3207</v>
      </c>
    </row>
    <row r="113" spans="1:3" x14ac:dyDescent="0.25">
      <c r="A113" s="62" t="s">
        <v>1332</v>
      </c>
      <c r="B113" t="s">
        <v>7</v>
      </c>
      <c r="C113" t="s">
        <v>3206</v>
      </c>
    </row>
    <row r="114" spans="1:3" x14ac:dyDescent="0.25">
      <c r="A114" s="62" t="s">
        <v>56</v>
      </c>
      <c r="B114" t="s">
        <v>7</v>
      </c>
      <c r="C114" t="s">
        <v>3204</v>
      </c>
    </row>
    <row r="115" spans="1:3" x14ac:dyDescent="0.25">
      <c r="A115" s="62" t="s">
        <v>1933</v>
      </c>
      <c r="B115" t="s">
        <v>7</v>
      </c>
      <c r="C115" t="s">
        <v>3207</v>
      </c>
    </row>
    <row r="116" spans="1:3" x14ac:dyDescent="0.25">
      <c r="A116" s="62" t="s">
        <v>7231</v>
      </c>
      <c r="B116" t="s">
        <v>7</v>
      </c>
    </row>
    <row r="117" spans="1:3" x14ac:dyDescent="0.25">
      <c r="A117" s="62" t="s">
        <v>287</v>
      </c>
      <c r="B117" t="s">
        <v>7</v>
      </c>
      <c r="C117" t="s">
        <v>3206</v>
      </c>
    </row>
    <row r="118" spans="1:3" x14ac:dyDescent="0.25">
      <c r="A118" s="62" t="s">
        <v>3185</v>
      </c>
      <c r="B118" t="s">
        <v>7</v>
      </c>
    </row>
    <row r="119" spans="1:3" x14ac:dyDescent="0.25">
      <c r="A119" s="62" t="s">
        <v>328</v>
      </c>
      <c r="B119" t="s">
        <v>268</v>
      </c>
      <c r="C119" t="s">
        <v>3206</v>
      </c>
    </row>
    <row r="120" spans="1:3" x14ac:dyDescent="0.25">
      <c r="A120" s="62" t="s">
        <v>379</v>
      </c>
      <c r="B120" t="s">
        <v>7</v>
      </c>
      <c r="C120" t="s">
        <v>3745</v>
      </c>
    </row>
    <row r="121" spans="1:3" x14ac:dyDescent="0.25">
      <c r="A121" s="65" t="s">
        <v>102</v>
      </c>
      <c r="B121" t="s">
        <v>7</v>
      </c>
      <c r="C121" t="s">
        <v>3205</v>
      </c>
    </row>
    <row r="122" spans="1:3" x14ac:dyDescent="0.25">
      <c r="A122" s="62" t="s">
        <v>103</v>
      </c>
      <c r="B122" t="s">
        <v>7</v>
      </c>
      <c r="C122" t="s">
        <v>3205</v>
      </c>
    </row>
    <row r="123" spans="1:3" x14ac:dyDescent="0.25">
      <c r="A123" s="62" t="s">
        <v>460</v>
      </c>
      <c r="B123" t="s">
        <v>7</v>
      </c>
    </row>
    <row r="124" spans="1:3" x14ac:dyDescent="0.25">
      <c r="A124" s="62" t="s">
        <v>431</v>
      </c>
      <c r="B124" t="s">
        <v>7</v>
      </c>
      <c r="C124" t="s">
        <v>3207</v>
      </c>
    </row>
    <row r="125" spans="1:3" x14ac:dyDescent="0.25">
      <c r="A125" s="62" t="s">
        <v>104</v>
      </c>
      <c r="B125" t="s">
        <v>7</v>
      </c>
      <c r="C125" t="s">
        <v>3205</v>
      </c>
    </row>
    <row r="126" spans="1:3" x14ac:dyDescent="0.25">
      <c r="A126" s="62" t="s">
        <v>263</v>
      </c>
      <c r="B126" t="s">
        <v>7</v>
      </c>
    </row>
    <row r="127" spans="1:3" x14ac:dyDescent="0.25">
      <c r="A127" s="62" t="s">
        <v>168</v>
      </c>
      <c r="B127" t="s">
        <v>7</v>
      </c>
      <c r="C127" t="s">
        <v>3205</v>
      </c>
    </row>
    <row r="128" spans="1:3" x14ac:dyDescent="0.25">
      <c r="A128" s="62" t="s">
        <v>58</v>
      </c>
      <c r="B128" t="s">
        <v>7</v>
      </c>
      <c r="C128" t="s">
        <v>3205</v>
      </c>
    </row>
    <row r="129" spans="1:8" x14ac:dyDescent="0.25">
      <c r="A129" s="62" t="s">
        <v>205</v>
      </c>
      <c r="B129" t="s">
        <v>7</v>
      </c>
      <c r="C129" t="s">
        <v>3204</v>
      </c>
    </row>
    <row r="130" spans="1:8" x14ac:dyDescent="0.25">
      <c r="A130" s="62" t="s">
        <v>169</v>
      </c>
      <c r="B130" t="s">
        <v>7</v>
      </c>
      <c r="C130" t="s">
        <v>3204</v>
      </c>
    </row>
    <row r="131" spans="1:8" x14ac:dyDescent="0.25">
      <c r="A131" s="62" t="s">
        <v>386</v>
      </c>
      <c r="B131" t="s">
        <v>7</v>
      </c>
      <c r="C131" t="s">
        <v>3204</v>
      </c>
    </row>
    <row r="132" spans="1:8" x14ac:dyDescent="0.25">
      <c r="A132" s="62" t="s">
        <v>288</v>
      </c>
      <c r="B132" t="s">
        <v>268</v>
      </c>
      <c r="C132" t="s">
        <v>3207</v>
      </c>
    </row>
    <row r="133" spans="1:8" x14ac:dyDescent="0.25">
      <c r="A133" s="62" t="s">
        <v>170</v>
      </c>
      <c r="B133" t="s">
        <v>7</v>
      </c>
      <c r="C133" t="s">
        <v>3205</v>
      </c>
    </row>
    <row r="134" spans="1:8" x14ac:dyDescent="0.25">
      <c r="A134" s="62" t="s">
        <v>6741</v>
      </c>
      <c r="B134" t="s">
        <v>7</v>
      </c>
      <c r="C134" t="s">
        <v>3205</v>
      </c>
    </row>
    <row r="135" spans="1:8" x14ac:dyDescent="0.25">
      <c r="A135" s="62" t="s">
        <v>171</v>
      </c>
      <c r="B135" t="s">
        <v>7</v>
      </c>
      <c r="C135" t="s">
        <v>3206</v>
      </c>
      <c r="H135" t="s">
        <v>223</v>
      </c>
    </row>
    <row r="136" spans="1:8" x14ac:dyDescent="0.25">
      <c r="A136" s="62" t="s">
        <v>383</v>
      </c>
      <c r="B136" t="s">
        <v>7</v>
      </c>
      <c r="C136" t="s">
        <v>3205</v>
      </c>
    </row>
    <row r="137" spans="1:8" x14ac:dyDescent="0.25">
      <c r="A137" s="66" t="s">
        <v>187</v>
      </c>
      <c r="B137" t="s">
        <v>7</v>
      </c>
      <c r="C137" t="s">
        <v>3205</v>
      </c>
    </row>
    <row r="138" spans="1:8" x14ac:dyDescent="0.25">
      <c r="A138" s="188" t="s">
        <v>1919</v>
      </c>
      <c r="B138" t="s">
        <v>7</v>
      </c>
    </row>
    <row r="139" spans="1:8" x14ac:dyDescent="0.25">
      <c r="A139" s="188" t="s">
        <v>224</v>
      </c>
      <c r="B139" t="s">
        <v>7</v>
      </c>
      <c r="C139" t="s">
        <v>3207</v>
      </c>
    </row>
    <row r="140" spans="1:8" x14ac:dyDescent="0.25">
      <c r="A140" s="188" t="s">
        <v>236</v>
      </c>
      <c r="B140" t="s">
        <v>7</v>
      </c>
      <c r="C140" t="s">
        <v>3745</v>
      </c>
    </row>
    <row r="141" spans="1:8" x14ac:dyDescent="0.25">
      <c r="A141" s="188" t="s">
        <v>2743</v>
      </c>
      <c r="B141" t="s">
        <v>7</v>
      </c>
    </row>
    <row r="142" spans="1:8" x14ac:dyDescent="0.25">
      <c r="A142" s="188" t="s">
        <v>67</v>
      </c>
      <c r="B142" t="s">
        <v>7</v>
      </c>
      <c r="C142" t="s">
        <v>3205</v>
      </c>
    </row>
    <row r="143" spans="1:8" x14ac:dyDescent="0.25">
      <c r="A143" t="s">
        <v>105</v>
      </c>
      <c r="B143" t="s">
        <v>7</v>
      </c>
      <c r="C143" t="s">
        <v>3205</v>
      </c>
    </row>
    <row r="144" spans="1:8" x14ac:dyDescent="0.25">
      <c r="A144" t="s">
        <v>68</v>
      </c>
      <c r="B144" t="s">
        <v>7</v>
      </c>
      <c r="C144" t="s">
        <v>3206</v>
      </c>
    </row>
    <row r="145" spans="1:3" x14ac:dyDescent="0.25">
      <c r="A145" t="s">
        <v>106</v>
      </c>
      <c r="B145" t="s">
        <v>7</v>
      </c>
      <c r="C145" t="s">
        <v>3745</v>
      </c>
    </row>
    <row r="146" spans="1:3" x14ac:dyDescent="0.25">
      <c r="A146" t="s">
        <v>289</v>
      </c>
      <c r="B146" t="s">
        <v>7</v>
      </c>
      <c r="C146" t="s">
        <v>3205</v>
      </c>
    </row>
    <row r="147" spans="1:3" x14ac:dyDescent="0.25">
      <c r="A147" t="s">
        <v>2147</v>
      </c>
      <c r="B147" t="s">
        <v>7</v>
      </c>
      <c r="C147" t="s">
        <v>3207</v>
      </c>
    </row>
    <row r="148" spans="1:3" x14ac:dyDescent="0.25">
      <c r="A148" t="s">
        <v>35</v>
      </c>
      <c r="B148" t="s">
        <v>7</v>
      </c>
      <c r="C148" t="s">
        <v>3205</v>
      </c>
    </row>
    <row r="149" spans="1:3" x14ac:dyDescent="0.25">
      <c r="A149" t="s">
        <v>2054</v>
      </c>
      <c r="B149" t="s">
        <v>7</v>
      </c>
    </row>
    <row r="150" spans="1:3" x14ac:dyDescent="0.25">
      <c r="A150" t="s">
        <v>387</v>
      </c>
      <c r="B150" t="s">
        <v>7</v>
      </c>
      <c r="C150" t="s">
        <v>3206</v>
      </c>
    </row>
    <row r="151" spans="1:3" x14ac:dyDescent="0.25">
      <c r="A151" s="23" t="s">
        <v>107</v>
      </c>
      <c r="B151" t="s">
        <v>7</v>
      </c>
      <c r="C151" t="s">
        <v>3205</v>
      </c>
    </row>
    <row r="152" spans="1:3" x14ac:dyDescent="0.25">
      <c r="A152" t="s">
        <v>2414</v>
      </c>
      <c r="B152" t="s">
        <v>7</v>
      </c>
      <c r="C152" t="s">
        <v>3207</v>
      </c>
    </row>
    <row r="153" spans="1:3" x14ac:dyDescent="0.25">
      <c r="A153" t="s">
        <v>511</v>
      </c>
      <c r="B153" t="s">
        <v>7</v>
      </c>
    </row>
    <row r="154" spans="1:3" x14ac:dyDescent="0.25">
      <c r="A154" s="62" t="s">
        <v>20</v>
      </c>
      <c r="B154" t="s">
        <v>7</v>
      </c>
      <c r="C154" t="s">
        <v>3206</v>
      </c>
    </row>
    <row r="155" spans="1:3" x14ac:dyDescent="0.25">
      <c r="A155" s="62" t="s">
        <v>290</v>
      </c>
      <c r="B155" t="s">
        <v>268</v>
      </c>
      <c r="C155" t="s">
        <v>3204</v>
      </c>
    </row>
    <row r="156" spans="1:3" x14ac:dyDescent="0.25">
      <c r="A156" s="62" t="s">
        <v>6845</v>
      </c>
      <c r="B156" t="s">
        <v>268</v>
      </c>
      <c r="C156" t="s">
        <v>3205</v>
      </c>
    </row>
    <row r="157" spans="1:3" x14ac:dyDescent="0.25">
      <c r="A157" s="62" t="s">
        <v>172</v>
      </c>
      <c r="B157" t="s">
        <v>7</v>
      </c>
      <c r="C157" t="s">
        <v>3205</v>
      </c>
    </row>
    <row r="158" spans="1:3" x14ac:dyDescent="0.25">
      <c r="A158" s="62" t="s">
        <v>526</v>
      </c>
      <c r="B158" t="s">
        <v>7</v>
      </c>
    </row>
    <row r="159" spans="1:3" x14ac:dyDescent="0.25">
      <c r="A159" s="62" t="s">
        <v>757</v>
      </c>
      <c r="B159" t="s">
        <v>7</v>
      </c>
    </row>
    <row r="160" spans="1:3" x14ac:dyDescent="0.25">
      <c r="A160" s="62" t="s">
        <v>345</v>
      </c>
      <c r="B160" t="s">
        <v>7</v>
      </c>
      <c r="C160" t="s">
        <v>3206</v>
      </c>
    </row>
    <row r="161" spans="1:3" x14ac:dyDescent="0.25">
      <c r="A161" s="188" t="s">
        <v>394</v>
      </c>
      <c r="B161" t="s">
        <v>7</v>
      </c>
      <c r="C161" t="s">
        <v>3205</v>
      </c>
    </row>
    <row r="162" spans="1:3" x14ac:dyDescent="0.25">
      <c r="A162" s="62" t="s">
        <v>108</v>
      </c>
      <c r="B162" t="s">
        <v>7</v>
      </c>
      <c r="C162" t="s">
        <v>3206</v>
      </c>
    </row>
    <row r="163" spans="1:3" x14ac:dyDescent="0.25">
      <c r="A163" s="62" t="s">
        <v>259</v>
      </c>
      <c r="B163" t="s">
        <v>7</v>
      </c>
      <c r="C163" t="s">
        <v>3207</v>
      </c>
    </row>
    <row r="164" spans="1:3" x14ac:dyDescent="0.25">
      <c r="A164" s="188" t="s">
        <v>292</v>
      </c>
      <c r="B164" t="s">
        <v>268</v>
      </c>
      <c r="C164" t="s">
        <v>3207</v>
      </c>
    </row>
    <row r="165" spans="1:3" x14ac:dyDescent="0.25">
      <c r="A165" s="67" t="s">
        <v>1799</v>
      </c>
      <c r="B165" t="s">
        <v>7</v>
      </c>
    </row>
    <row r="166" spans="1:3" x14ac:dyDescent="0.25">
      <c r="A166" s="62" t="s">
        <v>763</v>
      </c>
      <c r="B166" t="s">
        <v>7</v>
      </c>
    </row>
    <row r="167" spans="1:3" x14ac:dyDescent="0.25">
      <c r="A167" s="62" t="s">
        <v>251</v>
      </c>
      <c r="B167" t="s">
        <v>255</v>
      </c>
      <c r="C167" t="s">
        <v>3207</v>
      </c>
    </row>
    <row r="168" spans="1:3" x14ac:dyDescent="0.25">
      <c r="A168" s="62" t="s">
        <v>353</v>
      </c>
      <c r="B168" t="s">
        <v>7</v>
      </c>
      <c r="C168" t="s">
        <v>3745</v>
      </c>
    </row>
    <row r="169" spans="1:3" x14ac:dyDescent="0.25">
      <c r="A169" s="62" t="s">
        <v>109</v>
      </c>
      <c r="B169" t="s">
        <v>7</v>
      </c>
      <c r="C169" t="s">
        <v>3207</v>
      </c>
    </row>
    <row r="170" spans="1:3" x14ac:dyDescent="0.25">
      <c r="A170" s="62" t="s">
        <v>6972</v>
      </c>
      <c r="B170" t="s">
        <v>7</v>
      </c>
    </row>
    <row r="171" spans="1:3" x14ac:dyDescent="0.25">
      <c r="A171" s="66" t="s">
        <v>398</v>
      </c>
      <c r="B171" t="s">
        <v>7</v>
      </c>
      <c r="C171" t="s">
        <v>3205</v>
      </c>
    </row>
    <row r="172" spans="1:3" x14ac:dyDescent="0.25">
      <c r="A172" s="62" t="s">
        <v>110</v>
      </c>
      <c r="B172" t="s">
        <v>7</v>
      </c>
      <c r="C172" t="s">
        <v>3206</v>
      </c>
    </row>
    <row r="173" spans="1:3" x14ac:dyDescent="0.25">
      <c r="A173" s="67" t="s">
        <v>396</v>
      </c>
      <c r="B173" t="s">
        <v>7</v>
      </c>
      <c r="C173" t="s">
        <v>3206</v>
      </c>
    </row>
    <row r="174" spans="1:3" x14ac:dyDescent="0.25">
      <c r="A174" s="188" t="s">
        <v>76</v>
      </c>
      <c r="B174" t="s">
        <v>7</v>
      </c>
      <c r="C174" t="s">
        <v>3204</v>
      </c>
    </row>
    <row r="175" spans="1:3" x14ac:dyDescent="0.25">
      <c r="A175" s="188" t="s">
        <v>331</v>
      </c>
      <c r="B175" t="s">
        <v>268</v>
      </c>
      <c r="C175" t="s">
        <v>3206</v>
      </c>
    </row>
    <row r="176" spans="1:3" x14ac:dyDescent="0.25">
      <c r="A176" s="188" t="s">
        <v>252</v>
      </c>
      <c r="B176" t="s">
        <v>7</v>
      </c>
      <c r="C176" t="s">
        <v>3205</v>
      </c>
    </row>
    <row r="177" spans="1:3" x14ac:dyDescent="0.25">
      <c r="A177" s="190" t="s">
        <v>222</v>
      </c>
      <c r="B177" t="s">
        <v>7</v>
      </c>
      <c r="C177" t="s">
        <v>3207</v>
      </c>
    </row>
    <row r="178" spans="1:3" x14ac:dyDescent="0.25">
      <c r="A178" s="188" t="s">
        <v>111</v>
      </c>
      <c r="B178" t="s">
        <v>7</v>
      </c>
      <c r="C178" t="s">
        <v>3205</v>
      </c>
    </row>
    <row r="179" spans="1:3" x14ac:dyDescent="0.25">
      <c r="A179" t="s">
        <v>173</v>
      </c>
      <c r="B179" t="s">
        <v>7</v>
      </c>
      <c r="C179" t="s">
        <v>3205</v>
      </c>
    </row>
    <row r="180" spans="1:3" x14ac:dyDescent="0.25">
      <c r="A180" s="64" t="s">
        <v>188</v>
      </c>
      <c r="B180" t="s">
        <v>7</v>
      </c>
    </row>
    <row r="181" spans="1:3" x14ac:dyDescent="0.25">
      <c r="A181" t="s">
        <v>644</v>
      </c>
      <c r="B181" t="s">
        <v>7</v>
      </c>
    </row>
    <row r="182" spans="1:3" x14ac:dyDescent="0.25">
      <c r="A182" t="s">
        <v>351</v>
      </c>
      <c r="B182" t="s">
        <v>7</v>
      </c>
      <c r="C182" t="s">
        <v>3205</v>
      </c>
    </row>
    <row r="183" spans="1:3" x14ac:dyDescent="0.25">
      <c r="A183" t="s">
        <v>684</v>
      </c>
      <c r="B183" t="s">
        <v>7</v>
      </c>
    </row>
    <row r="184" spans="1:3" x14ac:dyDescent="0.25">
      <c r="A184" t="s">
        <v>1470</v>
      </c>
      <c r="B184" t="s">
        <v>7</v>
      </c>
      <c r="C184" t="s">
        <v>3206</v>
      </c>
    </row>
    <row r="185" spans="1:3" x14ac:dyDescent="0.25">
      <c r="A185" t="s">
        <v>371</v>
      </c>
      <c r="B185" t="s">
        <v>7</v>
      </c>
      <c r="C185" t="s">
        <v>3206</v>
      </c>
    </row>
    <row r="186" spans="1:3" x14ac:dyDescent="0.25">
      <c r="A186" t="s">
        <v>14</v>
      </c>
      <c r="B186" t="s">
        <v>7</v>
      </c>
      <c r="C186" t="s">
        <v>3204</v>
      </c>
    </row>
    <row r="187" spans="1:3" x14ac:dyDescent="0.25">
      <c r="A187" t="s">
        <v>174</v>
      </c>
      <c r="B187" t="s">
        <v>7</v>
      </c>
      <c r="C187" t="s">
        <v>3207</v>
      </c>
    </row>
    <row r="188" spans="1:3" x14ac:dyDescent="0.25">
      <c r="A188" t="s">
        <v>695</v>
      </c>
      <c r="B188" t="s">
        <v>7</v>
      </c>
    </row>
    <row r="189" spans="1:3" x14ac:dyDescent="0.25">
      <c r="A189" t="s">
        <v>6887</v>
      </c>
      <c r="B189" t="s">
        <v>7</v>
      </c>
    </row>
    <row r="190" spans="1:3" x14ac:dyDescent="0.25">
      <c r="A190" t="s">
        <v>681</v>
      </c>
      <c r="B190" t="s">
        <v>7</v>
      </c>
    </row>
    <row r="191" spans="1:3" x14ac:dyDescent="0.25">
      <c r="A191" t="s">
        <v>262</v>
      </c>
      <c r="B191" t="s">
        <v>7</v>
      </c>
      <c r="C191" t="s">
        <v>3206</v>
      </c>
    </row>
    <row r="192" spans="1:3" x14ac:dyDescent="0.25">
      <c r="A192" t="s">
        <v>404</v>
      </c>
      <c r="B192" t="s">
        <v>7</v>
      </c>
      <c r="C192" t="s">
        <v>3206</v>
      </c>
    </row>
    <row r="193" spans="1:3" x14ac:dyDescent="0.25">
      <c r="A193" t="s">
        <v>346</v>
      </c>
      <c r="B193" t="s">
        <v>7</v>
      </c>
      <c r="C193" t="s">
        <v>3207</v>
      </c>
    </row>
    <row r="194" spans="1:3" x14ac:dyDescent="0.25">
      <c r="A194" s="63" t="s">
        <v>78</v>
      </c>
      <c r="B194" t="s">
        <v>7</v>
      </c>
      <c r="C194" t="s">
        <v>3205</v>
      </c>
    </row>
    <row r="195" spans="1:3" x14ac:dyDescent="0.25">
      <c r="A195" s="64" t="s">
        <v>189</v>
      </c>
      <c r="B195" t="s">
        <v>7</v>
      </c>
      <c r="C195" t="s">
        <v>3745</v>
      </c>
    </row>
    <row r="196" spans="1:3" x14ac:dyDescent="0.25">
      <c r="A196" t="s">
        <v>175</v>
      </c>
      <c r="B196" t="s">
        <v>7</v>
      </c>
      <c r="C196" t="s">
        <v>3206</v>
      </c>
    </row>
    <row r="197" spans="1:3" x14ac:dyDescent="0.25">
      <c r="A197" t="s">
        <v>213</v>
      </c>
      <c r="B197" t="s">
        <v>7</v>
      </c>
      <c r="C197" t="s">
        <v>3205</v>
      </c>
    </row>
    <row r="198" spans="1:3" x14ac:dyDescent="0.25">
      <c r="A198" t="s">
        <v>7228</v>
      </c>
      <c r="B198" t="s">
        <v>7</v>
      </c>
    </row>
    <row r="199" spans="1:3" x14ac:dyDescent="0.25">
      <c r="A199" t="s">
        <v>3715</v>
      </c>
      <c r="B199" t="s">
        <v>7</v>
      </c>
    </row>
    <row r="200" spans="1:3" x14ac:dyDescent="0.25">
      <c r="A200" t="s">
        <v>257</v>
      </c>
      <c r="B200" t="s">
        <v>7</v>
      </c>
      <c r="C200" t="s">
        <v>3205</v>
      </c>
    </row>
    <row r="201" spans="1:3" x14ac:dyDescent="0.25">
      <c r="A201" t="s">
        <v>402</v>
      </c>
      <c r="B201" t="s">
        <v>7</v>
      </c>
    </row>
    <row r="202" spans="1:3" x14ac:dyDescent="0.25">
      <c r="A202" t="s">
        <v>393</v>
      </c>
      <c r="B202" t="s">
        <v>7</v>
      </c>
      <c r="C202" t="s">
        <v>3205</v>
      </c>
    </row>
    <row r="203" spans="1:3" x14ac:dyDescent="0.25">
      <c r="A203" t="s">
        <v>152</v>
      </c>
      <c r="B203" t="s">
        <v>7</v>
      </c>
      <c r="C203" t="s">
        <v>3207</v>
      </c>
    </row>
    <row r="204" spans="1:3" x14ac:dyDescent="0.25">
      <c r="A204" t="s">
        <v>3270</v>
      </c>
      <c r="B204" t="s">
        <v>7</v>
      </c>
    </row>
    <row r="205" spans="1:3" x14ac:dyDescent="0.25">
      <c r="A205" t="s">
        <v>112</v>
      </c>
      <c r="B205" t="s">
        <v>7</v>
      </c>
      <c r="C205" t="s">
        <v>3205</v>
      </c>
    </row>
    <row r="206" spans="1:3" x14ac:dyDescent="0.25">
      <c r="A206" t="s">
        <v>293</v>
      </c>
      <c r="B206" t="s">
        <v>7</v>
      </c>
      <c r="C206" t="s">
        <v>3745</v>
      </c>
    </row>
    <row r="207" spans="1:3" x14ac:dyDescent="0.25">
      <c r="A207" t="s">
        <v>50</v>
      </c>
      <c r="B207" t="s">
        <v>7</v>
      </c>
      <c r="C207" t="s">
        <v>3205</v>
      </c>
    </row>
    <row r="208" spans="1:3" x14ac:dyDescent="0.25">
      <c r="A208" t="s">
        <v>265</v>
      </c>
      <c r="B208" t="s">
        <v>7</v>
      </c>
      <c r="C208" t="s">
        <v>3207</v>
      </c>
    </row>
    <row r="209" spans="1:3" x14ac:dyDescent="0.25">
      <c r="A209" t="s">
        <v>514</v>
      </c>
      <c r="B209" t="s">
        <v>7</v>
      </c>
    </row>
    <row r="210" spans="1:3" x14ac:dyDescent="0.25">
      <c r="A210" t="s">
        <v>2705</v>
      </c>
      <c r="B210" t="s">
        <v>7</v>
      </c>
      <c r="C210" t="s">
        <v>3207</v>
      </c>
    </row>
    <row r="211" spans="1:3" x14ac:dyDescent="0.25">
      <c r="A211" s="64" t="s">
        <v>190</v>
      </c>
      <c r="B211" t="s">
        <v>7</v>
      </c>
    </row>
    <row r="212" spans="1:3" x14ac:dyDescent="0.25">
      <c r="A212" t="s">
        <v>334</v>
      </c>
      <c r="B212" t="s">
        <v>7</v>
      </c>
      <c r="C212" t="s">
        <v>3207</v>
      </c>
    </row>
    <row r="213" spans="1:3" x14ac:dyDescent="0.25">
      <c r="A213" t="s">
        <v>113</v>
      </c>
      <c r="B213" t="s">
        <v>7</v>
      </c>
      <c r="C213" t="s">
        <v>3204</v>
      </c>
    </row>
    <row r="214" spans="1:3" x14ac:dyDescent="0.25">
      <c r="A214" t="s">
        <v>724</v>
      </c>
      <c r="B214" t="s">
        <v>7</v>
      </c>
    </row>
    <row r="215" spans="1:3" x14ac:dyDescent="0.25">
      <c r="A215" t="s">
        <v>250</v>
      </c>
      <c r="B215" t="s">
        <v>7</v>
      </c>
      <c r="C215" t="s">
        <v>3207</v>
      </c>
    </row>
    <row r="216" spans="1:3" x14ac:dyDescent="0.25">
      <c r="A216" t="s">
        <v>69</v>
      </c>
      <c r="B216" t="s">
        <v>7</v>
      </c>
      <c r="C216" t="s">
        <v>3207</v>
      </c>
    </row>
    <row r="217" spans="1:3" x14ac:dyDescent="0.25">
      <c r="A217" s="63" t="s">
        <v>114</v>
      </c>
      <c r="B217" t="s">
        <v>7</v>
      </c>
      <c r="C217" t="s">
        <v>3204</v>
      </c>
    </row>
    <row r="218" spans="1:3" x14ac:dyDescent="0.25">
      <c r="A218" t="s">
        <v>5636</v>
      </c>
      <c r="B218" t="s">
        <v>7</v>
      </c>
    </row>
    <row r="219" spans="1:3" x14ac:dyDescent="0.25">
      <c r="A219" t="s">
        <v>3785</v>
      </c>
      <c r="B219" t="s">
        <v>7</v>
      </c>
    </row>
    <row r="220" spans="1:3" x14ac:dyDescent="0.25">
      <c r="A220" t="s">
        <v>13</v>
      </c>
      <c r="B220" t="s">
        <v>7</v>
      </c>
      <c r="C220" t="s">
        <v>3204</v>
      </c>
    </row>
    <row r="221" spans="1:3" x14ac:dyDescent="0.25">
      <c r="A221" t="s">
        <v>115</v>
      </c>
      <c r="B221" t="s">
        <v>7</v>
      </c>
      <c r="C221" t="s">
        <v>3204</v>
      </c>
    </row>
    <row r="222" spans="1:3" x14ac:dyDescent="0.25">
      <c r="A222" t="s">
        <v>294</v>
      </c>
      <c r="B222" t="s">
        <v>7</v>
      </c>
      <c r="C222" t="s">
        <v>3207</v>
      </c>
    </row>
    <row r="223" spans="1:3" x14ac:dyDescent="0.25">
      <c r="A223" t="s">
        <v>3411</v>
      </c>
      <c r="B223" t="s">
        <v>7</v>
      </c>
    </row>
    <row r="224" spans="1:3" x14ac:dyDescent="0.25">
      <c r="A224" t="s">
        <v>424</v>
      </c>
      <c r="B224" t="s">
        <v>7</v>
      </c>
      <c r="C224" t="s">
        <v>3205</v>
      </c>
    </row>
    <row r="225" spans="1:3" x14ac:dyDescent="0.25">
      <c r="A225" t="s">
        <v>47</v>
      </c>
      <c r="B225" t="s">
        <v>7</v>
      </c>
      <c r="C225" t="s">
        <v>3204</v>
      </c>
    </row>
    <row r="226" spans="1:3" x14ac:dyDescent="0.25">
      <c r="A226" s="64" t="s">
        <v>191</v>
      </c>
      <c r="B226" t="s">
        <v>7</v>
      </c>
      <c r="C226" t="s">
        <v>3205</v>
      </c>
    </row>
    <row r="227" spans="1:3" x14ac:dyDescent="0.25">
      <c r="A227" t="s">
        <v>182</v>
      </c>
      <c r="B227" t="s">
        <v>7</v>
      </c>
      <c r="C227" t="s">
        <v>3205</v>
      </c>
    </row>
    <row r="228" spans="1:3" x14ac:dyDescent="0.25">
      <c r="A228" t="s">
        <v>435</v>
      </c>
      <c r="B228" t="s">
        <v>7</v>
      </c>
      <c r="C228" t="s">
        <v>3206</v>
      </c>
    </row>
    <row r="229" spans="1:3" x14ac:dyDescent="0.25">
      <c r="A229" t="s">
        <v>297</v>
      </c>
      <c r="B229" t="s">
        <v>268</v>
      </c>
      <c r="C229" t="s">
        <v>3207</v>
      </c>
    </row>
    <row r="230" spans="1:3" x14ac:dyDescent="0.25">
      <c r="A230" t="s">
        <v>59</v>
      </c>
      <c r="B230" t="s">
        <v>254</v>
      </c>
      <c r="C230" t="s">
        <v>3205</v>
      </c>
    </row>
    <row r="231" spans="1:3" x14ac:dyDescent="0.25">
      <c r="A231" t="s">
        <v>298</v>
      </c>
      <c r="B231" t="s">
        <v>268</v>
      </c>
    </row>
    <row r="232" spans="1:3" x14ac:dyDescent="0.25">
      <c r="A232" t="s">
        <v>116</v>
      </c>
      <c r="B232" t="s">
        <v>7</v>
      </c>
      <c r="C232" t="s">
        <v>3206</v>
      </c>
    </row>
    <row r="233" spans="1:3" x14ac:dyDescent="0.25">
      <c r="A233" t="s">
        <v>434</v>
      </c>
      <c r="B233" t="s">
        <v>7</v>
      </c>
      <c r="C233" t="s">
        <v>3744</v>
      </c>
    </row>
    <row r="234" spans="1:3" x14ac:dyDescent="0.25">
      <c r="A234" t="s">
        <v>153</v>
      </c>
      <c r="B234" t="s">
        <v>7</v>
      </c>
      <c r="C234" t="s">
        <v>3206</v>
      </c>
    </row>
    <row r="235" spans="1:3" x14ac:dyDescent="0.25">
      <c r="A235" t="s">
        <v>227</v>
      </c>
      <c r="B235" t="s">
        <v>7</v>
      </c>
      <c r="C235" t="s">
        <v>3205</v>
      </c>
    </row>
    <row r="236" spans="1:3" x14ac:dyDescent="0.25">
      <c r="A236" t="s">
        <v>347</v>
      </c>
      <c r="B236" t="s">
        <v>7</v>
      </c>
      <c r="C236" t="s">
        <v>3207</v>
      </c>
    </row>
    <row r="237" spans="1:3" x14ac:dyDescent="0.25">
      <c r="A237" t="s">
        <v>237</v>
      </c>
      <c r="B237" t="s">
        <v>7</v>
      </c>
      <c r="C237" t="s">
        <v>3205</v>
      </c>
    </row>
    <row r="238" spans="1:3" x14ac:dyDescent="0.25">
      <c r="A238" s="23" t="s">
        <v>118</v>
      </c>
      <c r="B238" t="s">
        <v>7</v>
      </c>
      <c r="C238" t="s">
        <v>3205</v>
      </c>
    </row>
    <row r="239" spans="1:3" x14ac:dyDescent="0.25">
      <c r="A239" t="s">
        <v>42</v>
      </c>
      <c r="B239" t="s">
        <v>7</v>
      </c>
      <c r="C239" t="s">
        <v>3205</v>
      </c>
    </row>
    <row r="240" spans="1:3" x14ac:dyDescent="0.25">
      <c r="A240" t="s">
        <v>31</v>
      </c>
      <c r="B240" t="s">
        <v>7</v>
      </c>
      <c r="C240" t="s">
        <v>3206</v>
      </c>
    </row>
    <row r="241" spans="1:3" x14ac:dyDescent="0.25">
      <c r="A241" t="s">
        <v>176</v>
      </c>
      <c r="B241" t="s">
        <v>255</v>
      </c>
      <c r="C241" t="s">
        <v>3205</v>
      </c>
    </row>
    <row r="242" spans="1:3" x14ac:dyDescent="0.25">
      <c r="A242" t="s">
        <v>1375</v>
      </c>
      <c r="B242" t="s">
        <v>7</v>
      </c>
    </row>
    <row r="243" spans="1:3" x14ac:dyDescent="0.25">
      <c r="A243" t="s">
        <v>119</v>
      </c>
      <c r="B243" t="s">
        <v>7</v>
      </c>
      <c r="C243" t="s">
        <v>3205</v>
      </c>
    </row>
    <row r="244" spans="1:3" x14ac:dyDescent="0.25">
      <c r="A244" t="s">
        <v>299</v>
      </c>
      <c r="B244" t="s">
        <v>7</v>
      </c>
      <c r="C244" t="s">
        <v>3206</v>
      </c>
    </row>
    <row r="245" spans="1:3" x14ac:dyDescent="0.25">
      <c r="A245" s="63" t="s">
        <v>120</v>
      </c>
      <c r="B245" t="s">
        <v>7</v>
      </c>
      <c r="C245" t="s">
        <v>3207</v>
      </c>
    </row>
    <row r="246" spans="1:3" x14ac:dyDescent="0.25">
      <c r="A246" t="s">
        <v>19</v>
      </c>
      <c r="B246" t="s">
        <v>7</v>
      </c>
      <c r="C246" t="s">
        <v>3205</v>
      </c>
    </row>
    <row r="247" spans="1:3" x14ac:dyDescent="0.25">
      <c r="A247" t="s">
        <v>238</v>
      </c>
      <c r="B247" t="s">
        <v>7</v>
      </c>
      <c r="C247" t="s">
        <v>3205</v>
      </c>
    </row>
    <row r="248" spans="1:3" x14ac:dyDescent="0.25">
      <c r="A248" t="s">
        <v>40</v>
      </c>
      <c r="B248" t="s">
        <v>7</v>
      </c>
      <c r="C248" t="s">
        <v>3205</v>
      </c>
    </row>
    <row r="249" spans="1:3" x14ac:dyDescent="0.25">
      <c r="A249" s="23" t="s">
        <v>121</v>
      </c>
      <c r="B249" t="s">
        <v>7</v>
      </c>
      <c r="C249" t="s">
        <v>3206</v>
      </c>
    </row>
    <row r="250" spans="1:3" x14ac:dyDescent="0.25">
      <c r="A250" t="s">
        <v>465</v>
      </c>
      <c r="B250" t="s">
        <v>7</v>
      </c>
    </row>
    <row r="251" spans="1:3" x14ac:dyDescent="0.25">
      <c r="A251" t="s">
        <v>15</v>
      </c>
      <c r="B251" t="s">
        <v>7</v>
      </c>
      <c r="C251" t="s">
        <v>3745</v>
      </c>
    </row>
    <row r="252" spans="1:3" x14ac:dyDescent="0.25">
      <c r="A252" t="s">
        <v>300</v>
      </c>
      <c r="B252" t="s">
        <v>7</v>
      </c>
      <c r="C252" t="s">
        <v>3204</v>
      </c>
    </row>
    <row r="253" spans="1:3" x14ac:dyDescent="0.25">
      <c r="A253" s="64" t="s">
        <v>192</v>
      </c>
      <c r="B253" t="s">
        <v>7</v>
      </c>
      <c r="C253" t="s">
        <v>3206</v>
      </c>
    </row>
    <row r="254" spans="1:3" x14ac:dyDescent="0.25">
      <c r="A254" t="s">
        <v>301</v>
      </c>
      <c r="B254" t="s">
        <v>268</v>
      </c>
      <c r="C254" t="s">
        <v>3206</v>
      </c>
    </row>
    <row r="255" spans="1:3" x14ac:dyDescent="0.25">
      <c r="A255" t="s">
        <v>122</v>
      </c>
      <c r="B255" t="s">
        <v>7</v>
      </c>
      <c r="C255" t="s">
        <v>3744</v>
      </c>
    </row>
    <row r="256" spans="1:3" x14ac:dyDescent="0.25">
      <c r="A256" t="s">
        <v>22</v>
      </c>
      <c r="B256" t="s">
        <v>7</v>
      </c>
      <c r="C256" t="s">
        <v>3205</v>
      </c>
    </row>
    <row r="257" spans="1:3" x14ac:dyDescent="0.25">
      <c r="A257" s="63" t="s">
        <v>79</v>
      </c>
      <c r="B257" t="s">
        <v>7</v>
      </c>
      <c r="C257" t="s">
        <v>3205</v>
      </c>
    </row>
    <row r="258" spans="1:3" x14ac:dyDescent="0.25">
      <c r="A258" t="s">
        <v>18</v>
      </c>
      <c r="B258" t="s">
        <v>7</v>
      </c>
      <c r="C258" t="s">
        <v>3205</v>
      </c>
    </row>
    <row r="259" spans="1:3" x14ac:dyDescent="0.25">
      <c r="A259" t="s">
        <v>124</v>
      </c>
      <c r="B259" t="s">
        <v>7</v>
      </c>
      <c r="C259" t="s">
        <v>3206</v>
      </c>
    </row>
    <row r="260" spans="1:3" x14ac:dyDescent="0.25">
      <c r="A260" t="s">
        <v>382</v>
      </c>
      <c r="B260" t="s">
        <v>7</v>
      </c>
    </row>
    <row r="261" spans="1:3" x14ac:dyDescent="0.25">
      <c r="A261" t="s">
        <v>552</v>
      </c>
      <c r="B261" t="s">
        <v>7</v>
      </c>
    </row>
    <row r="262" spans="1:3" x14ac:dyDescent="0.25">
      <c r="A262" s="64" t="s">
        <v>194</v>
      </c>
      <c r="B262" t="s">
        <v>7</v>
      </c>
      <c r="C262" t="s">
        <v>3205</v>
      </c>
    </row>
    <row r="263" spans="1:3" x14ac:dyDescent="0.25">
      <c r="A263" t="s">
        <v>62</v>
      </c>
      <c r="B263" t="s">
        <v>7</v>
      </c>
      <c r="C263" t="s">
        <v>3207</v>
      </c>
    </row>
    <row r="264" spans="1:3" x14ac:dyDescent="0.25">
      <c r="A264" t="s">
        <v>61</v>
      </c>
      <c r="B264" t="s">
        <v>7</v>
      </c>
      <c r="C264" t="s">
        <v>3206</v>
      </c>
    </row>
    <row r="265" spans="1:3" x14ac:dyDescent="0.25">
      <c r="A265" t="s">
        <v>3172</v>
      </c>
      <c r="B265" t="s">
        <v>7</v>
      </c>
    </row>
    <row r="266" spans="1:3" x14ac:dyDescent="0.25">
      <c r="A266" t="s">
        <v>6703</v>
      </c>
      <c r="B266" t="s">
        <v>7</v>
      </c>
      <c r="C266" t="s">
        <v>3204</v>
      </c>
    </row>
    <row r="267" spans="1:3" x14ac:dyDescent="0.25">
      <c r="A267" t="s">
        <v>358</v>
      </c>
      <c r="B267" t="s">
        <v>7</v>
      </c>
    </row>
    <row r="268" spans="1:3" x14ac:dyDescent="0.25">
      <c r="A268" t="s">
        <v>6757</v>
      </c>
      <c r="B268" t="s">
        <v>7</v>
      </c>
    </row>
    <row r="269" spans="1:3" x14ac:dyDescent="0.25">
      <c r="A269" t="s">
        <v>302</v>
      </c>
      <c r="B269" t="s">
        <v>268</v>
      </c>
      <c r="C269" t="s">
        <v>3206</v>
      </c>
    </row>
    <row r="270" spans="1:3" x14ac:dyDescent="0.25">
      <c r="A270" t="s">
        <v>671</v>
      </c>
      <c r="B270" t="s">
        <v>7</v>
      </c>
    </row>
    <row r="271" spans="1:3" x14ac:dyDescent="0.25">
      <c r="A271" t="s">
        <v>303</v>
      </c>
      <c r="B271" t="s">
        <v>7</v>
      </c>
      <c r="C271" t="s">
        <v>3206</v>
      </c>
    </row>
    <row r="272" spans="1:3" x14ac:dyDescent="0.25">
      <c r="A272" t="s">
        <v>239</v>
      </c>
      <c r="B272" t="s">
        <v>7</v>
      </c>
      <c r="C272" t="s">
        <v>3205</v>
      </c>
    </row>
    <row r="273" spans="1:3" x14ac:dyDescent="0.25">
      <c r="A273" t="s">
        <v>418</v>
      </c>
      <c r="B273" t="s">
        <v>7</v>
      </c>
      <c r="C273" t="s">
        <v>3206</v>
      </c>
    </row>
    <row r="274" spans="1:3" x14ac:dyDescent="0.25">
      <c r="A274" t="s">
        <v>266</v>
      </c>
      <c r="B274" t="s">
        <v>7</v>
      </c>
      <c r="C274" t="s">
        <v>3205</v>
      </c>
    </row>
    <row r="275" spans="1:3" x14ac:dyDescent="0.25">
      <c r="A275" t="s">
        <v>336</v>
      </c>
      <c r="B275" t="s">
        <v>7</v>
      </c>
      <c r="C275" t="s">
        <v>3205</v>
      </c>
    </row>
    <row r="276" spans="1:3" x14ac:dyDescent="0.25">
      <c r="A276" t="s">
        <v>493</v>
      </c>
      <c r="B276" t="s">
        <v>7</v>
      </c>
    </row>
    <row r="277" spans="1:3" x14ac:dyDescent="0.25">
      <c r="A277" t="s">
        <v>304</v>
      </c>
      <c r="B277" t="s">
        <v>268</v>
      </c>
      <c r="C277" t="s">
        <v>3206</v>
      </c>
    </row>
    <row r="278" spans="1:3" x14ac:dyDescent="0.25">
      <c r="A278" t="s">
        <v>70</v>
      </c>
      <c r="B278" t="s">
        <v>7</v>
      </c>
      <c r="C278" t="s">
        <v>3204</v>
      </c>
    </row>
    <row r="279" spans="1:3" x14ac:dyDescent="0.25">
      <c r="A279" t="s">
        <v>305</v>
      </c>
      <c r="B279" t="s">
        <v>7</v>
      </c>
    </row>
    <row r="280" spans="1:3" x14ac:dyDescent="0.25">
      <c r="A280" t="s">
        <v>125</v>
      </c>
      <c r="B280" t="s">
        <v>7</v>
      </c>
      <c r="C280" t="s">
        <v>3205</v>
      </c>
    </row>
    <row r="281" spans="1:3" x14ac:dyDescent="0.25">
      <c r="A281" t="s">
        <v>209</v>
      </c>
      <c r="B281" t="s">
        <v>7</v>
      </c>
      <c r="C281" t="s">
        <v>3206</v>
      </c>
    </row>
    <row r="282" spans="1:3" x14ac:dyDescent="0.25">
      <c r="A282" t="s">
        <v>126</v>
      </c>
      <c r="B282" t="s">
        <v>7</v>
      </c>
      <c r="C282" t="s">
        <v>3205</v>
      </c>
    </row>
    <row r="283" spans="1:3" x14ac:dyDescent="0.25">
      <c r="A283" t="s">
        <v>2644</v>
      </c>
      <c r="B283" t="s">
        <v>7</v>
      </c>
    </row>
    <row r="284" spans="1:3" x14ac:dyDescent="0.25">
      <c r="A284" t="s">
        <v>547</v>
      </c>
      <c r="B284" t="s">
        <v>7</v>
      </c>
    </row>
    <row r="285" spans="1:3" x14ac:dyDescent="0.25">
      <c r="A285" t="s">
        <v>372</v>
      </c>
      <c r="B285" t="s">
        <v>7</v>
      </c>
      <c r="C285" t="s">
        <v>3207</v>
      </c>
    </row>
    <row r="286" spans="1:3" x14ac:dyDescent="0.25">
      <c r="A286" t="s">
        <v>46</v>
      </c>
      <c r="B286" t="s">
        <v>7</v>
      </c>
      <c r="C286" t="s">
        <v>3204</v>
      </c>
    </row>
    <row r="287" spans="1:3" x14ac:dyDescent="0.25">
      <c r="A287" t="s">
        <v>80</v>
      </c>
      <c r="B287" t="s">
        <v>7</v>
      </c>
      <c r="C287" t="s">
        <v>3205</v>
      </c>
    </row>
    <row r="288" spans="1:3" x14ac:dyDescent="0.25">
      <c r="A288" t="s">
        <v>407</v>
      </c>
      <c r="B288" t="s">
        <v>7</v>
      </c>
      <c r="C288" t="s">
        <v>3206</v>
      </c>
    </row>
    <row r="289" spans="1:14" x14ac:dyDescent="0.25">
      <c r="A289" t="s">
        <v>81</v>
      </c>
      <c r="B289" t="s">
        <v>7</v>
      </c>
      <c r="C289" t="s">
        <v>3204</v>
      </c>
    </row>
    <row r="290" spans="1:14" x14ac:dyDescent="0.25">
      <c r="A290" t="s">
        <v>332</v>
      </c>
      <c r="B290" t="s">
        <v>268</v>
      </c>
      <c r="C290" t="s">
        <v>3207</v>
      </c>
    </row>
    <row r="291" spans="1:14" x14ac:dyDescent="0.25">
      <c r="A291" t="s">
        <v>384</v>
      </c>
      <c r="B291" t="s">
        <v>7</v>
      </c>
      <c r="C291" t="s">
        <v>3205</v>
      </c>
    </row>
    <row r="292" spans="1:14" x14ac:dyDescent="0.25">
      <c r="A292" t="s">
        <v>413</v>
      </c>
      <c r="B292" t="s">
        <v>7</v>
      </c>
      <c r="C292" t="s">
        <v>3205</v>
      </c>
    </row>
    <row r="293" spans="1:14" x14ac:dyDescent="0.25">
      <c r="A293" t="s">
        <v>464</v>
      </c>
      <c r="B293" t="s">
        <v>7</v>
      </c>
    </row>
    <row r="294" spans="1:14" x14ac:dyDescent="0.25">
      <c r="A294" t="s">
        <v>51</v>
      </c>
      <c r="B294" t="s">
        <v>7</v>
      </c>
      <c r="C294" t="s">
        <v>3204</v>
      </c>
    </row>
    <row r="295" spans="1:14" x14ac:dyDescent="0.25">
      <c r="A295" t="s">
        <v>459</v>
      </c>
      <c r="B295" t="s">
        <v>7</v>
      </c>
    </row>
    <row r="296" spans="1:14" x14ac:dyDescent="0.25">
      <c r="A296" t="s">
        <v>63</v>
      </c>
      <c r="B296" t="s">
        <v>7</v>
      </c>
      <c r="C296" t="s">
        <v>3207</v>
      </c>
      <c r="N296" s="63"/>
    </row>
    <row r="297" spans="1:14" x14ac:dyDescent="0.25">
      <c r="A297" t="s">
        <v>306</v>
      </c>
      <c r="B297" t="s">
        <v>7</v>
      </c>
      <c r="C297" t="s">
        <v>3207</v>
      </c>
    </row>
    <row r="298" spans="1:14" x14ac:dyDescent="0.25">
      <c r="A298" t="s">
        <v>376</v>
      </c>
      <c r="B298" t="s">
        <v>7</v>
      </c>
      <c r="C298" t="s">
        <v>3206</v>
      </c>
    </row>
    <row r="299" spans="1:14" x14ac:dyDescent="0.25">
      <c r="A299" t="s">
        <v>127</v>
      </c>
      <c r="B299" t="s">
        <v>7</v>
      </c>
    </row>
    <row r="300" spans="1:14" x14ac:dyDescent="0.25">
      <c r="A300" t="s">
        <v>7227</v>
      </c>
      <c r="B300" t="s">
        <v>7</v>
      </c>
    </row>
    <row r="301" spans="1:14" x14ac:dyDescent="0.25">
      <c r="A301" s="64" t="s">
        <v>207</v>
      </c>
      <c r="B301" t="s">
        <v>7</v>
      </c>
      <c r="C301" t="s">
        <v>3204</v>
      </c>
    </row>
    <row r="302" spans="1:14" x14ac:dyDescent="0.25">
      <c r="A302" t="s">
        <v>44</v>
      </c>
      <c r="B302" t="s">
        <v>7</v>
      </c>
      <c r="C302" t="s">
        <v>3205</v>
      </c>
    </row>
    <row r="303" spans="1:14" x14ac:dyDescent="0.25">
      <c r="A303" t="s">
        <v>1597</v>
      </c>
      <c r="B303" t="s">
        <v>7</v>
      </c>
    </row>
    <row r="304" spans="1:14" x14ac:dyDescent="0.25">
      <c r="A304" t="s">
        <v>405</v>
      </c>
      <c r="B304" t="s">
        <v>7</v>
      </c>
      <c r="C304" t="s">
        <v>3745</v>
      </c>
    </row>
    <row r="305" spans="1:3" x14ac:dyDescent="0.25">
      <c r="A305" t="s">
        <v>616</v>
      </c>
      <c r="B305" t="s">
        <v>7</v>
      </c>
    </row>
    <row r="306" spans="1:3" x14ac:dyDescent="0.25">
      <c r="A306" t="s">
        <v>6848</v>
      </c>
      <c r="B306" t="s">
        <v>7</v>
      </c>
    </row>
    <row r="307" spans="1:3" x14ac:dyDescent="0.25">
      <c r="A307" t="s">
        <v>128</v>
      </c>
      <c r="B307" t="s">
        <v>7</v>
      </c>
      <c r="C307" t="s">
        <v>3206</v>
      </c>
    </row>
    <row r="308" spans="1:3" x14ac:dyDescent="0.25">
      <c r="A308" t="s">
        <v>177</v>
      </c>
      <c r="B308" t="s">
        <v>7</v>
      </c>
      <c r="C308" t="s">
        <v>3207</v>
      </c>
    </row>
    <row r="309" spans="1:3" x14ac:dyDescent="0.25">
      <c r="A309" t="s">
        <v>401</v>
      </c>
      <c r="B309" t="s">
        <v>7</v>
      </c>
      <c r="C309" t="s">
        <v>3745</v>
      </c>
    </row>
    <row r="310" spans="1:3" x14ac:dyDescent="0.25">
      <c r="A310" t="s">
        <v>3278</v>
      </c>
      <c r="B310" t="s">
        <v>7</v>
      </c>
    </row>
    <row r="311" spans="1:3" x14ac:dyDescent="0.25">
      <c r="A311" t="s">
        <v>380</v>
      </c>
      <c r="B311" t="s">
        <v>7</v>
      </c>
      <c r="C311" t="s">
        <v>3205</v>
      </c>
    </row>
    <row r="312" spans="1:3" x14ac:dyDescent="0.25">
      <c r="A312" t="s">
        <v>25</v>
      </c>
      <c r="B312" t="s">
        <v>7</v>
      </c>
      <c r="C312" t="s">
        <v>3204</v>
      </c>
    </row>
    <row r="313" spans="1:3" x14ac:dyDescent="0.25">
      <c r="A313" t="s">
        <v>154</v>
      </c>
      <c r="B313" t="s">
        <v>7</v>
      </c>
      <c r="C313" t="s">
        <v>3207</v>
      </c>
    </row>
    <row r="314" spans="1:3" x14ac:dyDescent="0.25">
      <c r="A314" s="64" t="s">
        <v>195</v>
      </c>
      <c r="B314" t="s">
        <v>7</v>
      </c>
    </row>
    <row r="315" spans="1:3" x14ac:dyDescent="0.25">
      <c r="A315" t="s">
        <v>307</v>
      </c>
      <c r="B315" t="s">
        <v>7</v>
      </c>
    </row>
    <row r="316" spans="1:3" x14ac:dyDescent="0.25">
      <c r="A316" t="s">
        <v>3176</v>
      </c>
      <c r="B316" t="s">
        <v>7</v>
      </c>
    </row>
    <row r="317" spans="1:3" x14ac:dyDescent="0.25">
      <c r="A317" s="63" t="s">
        <v>82</v>
      </c>
      <c r="B317" t="s">
        <v>7</v>
      </c>
      <c r="C317" t="s">
        <v>3205</v>
      </c>
    </row>
    <row r="318" spans="1:3" x14ac:dyDescent="0.25">
      <c r="A318" t="s">
        <v>636</v>
      </c>
      <c r="B318" t="s">
        <v>7</v>
      </c>
    </row>
    <row r="319" spans="1:3" x14ac:dyDescent="0.25">
      <c r="A319" t="s">
        <v>3935</v>
      </c>
      <c r="B319" t="s">
        <v>7</v>
      </c>
    </row>
    <row r="320" spans="1:3" x14ac:dyDescent="0.25">
      <c r="A320" t="s">
        <v>129</v>
      </c>
      <c r="B320" t="s">
        <v>7</v>
      </c>
      <c r="C320" t="s">
        <v>3205</v>
      </c>
    </row>
    <row r="321" spans="1:3" x14ac:dyDescent="0.25">
      <c r="A321" t="s">
        <v>130</v>
      </c>
      <c r="B321" t="s">
        <v>7</v>
      </c>
      <c r="C321" t="s">
        <v>3206</v>
      </c>
    </row>
    <row r="322" spans="1:3" x14ac:dyDescent="0.25">
      <c r="A322" t="s">
        <v>178</v>
      </c>
      <c r="B322" t="s">
        <v>7</v>
      </c>
    </row>
    <row r="323" spans="1:3" x14ac:dyDescent="0.25">
      <c r="A323" t="s">
        <v>60</v>
      </c>
      <c r="B323" t="s">
        <v>7</v>
      </c>
      <c r="C323" t="s">
        <v>3205</v>
      </c>
    </row>
    <row r="324" spans="1:3" x14ac:dyDescent="0.25">
      <c r="A324" t="s">
        <v>41</v>
      </c>
      <c r="B324" t="s">
        <v>7</v>
      </c>
      <c r="C324" t="s">
        <v>3205</v>
      </c>
    </row>
    <row r="325" spans="1:3" x14ac:dyDescent="0.25">
      <c r="A325" t="s">
        <v>388</v>
      </c>
      <c r="B325" t="s">
        <v>7</v>
      </c>
      <c r="C325" t="s">
        <v>3206</v>
      </c>
    </row>
    <row r="326" spans="1:3" x14ac:dyDescent="0.25">
      <c r="A326" t="s">
        <v>83</v>
      </c>
      <c r="B326" t="s">
        <v>7</v>
      </c>
      <c r="C326" t="s">
        <v>3745</v>
      </c>
    </row>
    <row r="327" spans="1:3" x14ac:dyDescent="0.25">
      <c r="A327" t="s">
        <v>3249</v>
      </c>
      <c r="B327" t="s">
        <v>7</v>
      </c>
    </row>
    <row r="328" spans="1:3" x14ac:dyDescent="0.25">
      <c r="A328" t="s">
        <v>2987</v>
      </c>
      <c r="B328" t="s">
        <v>7</v>
      </c>
      <c r="C328" t="s">
        <v>3207</v>
      </c>
    </row>
    <row r="329" spans="1:3" x14ac:dyDescent="0.25">
      <c r="A329" t="s">
        <v>359</v>
      </c>
      <c r="B329" t="s">
        <v>7</v>
      </c>
      <c r="C329" t="s">
        <v>3207</v>
      </c>
    </row>
    <row r="330" spans="1:3" x14ac:dyDescent="0.25">
      <c r="A330" t="s">
        <v>48</v>
      </c>
      <c r="B330" t="s">
        <v>7</v>
      </c>
      <c r="C330" t="s">
        <v>3205</v>
      </c>
    </row>
    <row r="331" spans="1:3" x14ac:dyDescent="0.25">
      <c r="A331" t="s">
        <v>241</v>
      </c>
      <c r="B331" t="s">
        <v>7</v>
      </c>
      <c r="C331" t="s">
        <v>3207</v>
      </c>
    </row>
    <row r="332" spans="1:3" x14ac:dyDescent="0.25">
      <c r="A332" t="s">
        <v>349</v>
      </c>
      <c r="B332" t="s">
        <v>7</v>
      </c>
      <c r="C332" t="s">
        <v>3207</v>
      </c>
    </row>
    <row r="333" spans="1:3" x14ac:dyDescent="0.25">
      <c r="A333" t="s">
        <v>271</v>
      </c>
      <c r="B333" t="s">
        <v>255</v>
      </c>
      <c r="C333" t="s">
        <v>3206</v>
      </c>
    </row>
    <row r="334" spans="1:3" x14ac:dyDescent="0.25">
      <c r="A334" t="s">
        <v>362</v>
      </c>
      <c r="B334" t="s">
        <v>7</v>
      </c>
    </row>
    <row r="335" spans="1:3" x14ac:dyDescent="0.25">
      <c r="A335" t="s">
        <v>539</v>
      </c>
      <c r="B335" t="s">
        <v>7</v>
      </c>
    </row>
    <row r="336" spans="1:3" x14ac:dyDescent="0.25">
      <c r="A336" t="s">
        <v>338</v>
      </c>
      <c r="B336" t="s">
        <v>7</v>
      </c>
      <c r="C336" t="s">
        <v>3205</v>
      </c>
    </row>
    <row r="337" spans="1:3" x14ac:dyDescent="0.25">
      <c r="A337" t="s">
        <v>744</v>
      </c>
      <c r="B337" t="s">
        <v>7</v>
      </c>
    </row>
    <row r="338" spans="1:3" x14ac:dyDescent="0.25">
      <c r="A338" t="s">
        <v>24</v>
      </c>
      <c r="B338" t="s">
        <v>7</v>
      </c>
      <c r="C338" t="s">
        <v>3204</v>
      </c>
    </row>
    <row r="339" spans="1:3" x14ac:dyDescent="0.25">
      <c r="A339" t="s">
        <v>339</v>
      </c>
      <c r="B339" t="s">
        <v>7</v>
      </c>
      <c r="C339" t="s">
        <v>3206</v>
      </c>
    </row>
    <row r="340" spans="1:3" x14ac:dyDescent="0.25">
      <c r="A340" t="s">
        <v>179</v>
      </c>
      <c r="B340" t="s">
        <v>7</v>
      </c>
      <c r="C340" t="s">
        <v>3204</v>
      </c>
    </row>
    <row r="341" spans="1:3" x14ac:dyDescent="0.25">
      <c r="A341" t="s">
        <v>131</v>
      </c>
      <c r="B341" t="s">
        <v>7</v>
      </c>
      <c r="C341" t="s">
        <v>3206</v>
      </c>
    </row>
    <row r="342" spans="1:3" x14ac:dyDescent="0.25">
      <c r="A342" t="s">
        <v>409</v>
      </c>
      <c r="B342" t="s">
        <v>7</v>
      </c>
    </row>
    <row r="343" spans="1:3" x14ac:dyDescent="0.25">
      <c r="A343" t="s">
        <v>64</v>
      </c>
      <c r="B343" t="s">
        <v>7</v>
      </c>
      <c r="C343" t="s">
        <v>3206</v>
      </c>
    </row>
    <row r="344" spans="1:3" x14ac:dyDescent="0.25">
      <c r="A344" t="s">
        <v>308</v>
      </c>
      <c r="B344" t="s">
        <v>268</v>
      </c>
      <c r="C344" t="s">
        <v>3205</v>
      </c>
    </row>
    <row r="345" spans="1:3" x14ac:dyDescent="0.25">
      <c r="A345" t="s">
        <v>385</v>
      </c>
      <c r="B345" t="s">
        <v>7</v>
      </c>
      <c r="C345" t="s">
        <v>3205</v>
      </c>
    </row>
    <row r="346" spans="1:3" x14ac:dyDescent="0.25">
      <c r="A346" t="s">
        <v>71</v>
      </c>
      <c r="B346" t="s">
        <v>7</v>
      </c>
      <c r="C346" t="s">
        <v>3204</v>
      </c>
    </row>
    <row r="347" spans="1:3" x14ac:dyDescent="0.25">
      <c r="A347" t="s">
        <v>202</v>
      </c>
      <c r="B347" t="s">
        <v>7</v>
      </c>
      <c r="C347" t="s">
        <v>3206</v>
      </c>
    </row>
    <row r="348" spans="1:3" x14ac:dyDescent="0.25">
      <c r="A348" t="s">
        <v>132</v>
      </c>
      <c r="B348" t="s">
        <v>7</v>
      </c>
      <c r="C348" t="s">
        <v>3206</v>
      </c>
    </row>
    <row r="349" spans="1:3" x14ac:dyDescent="0.25">
      <c r="A349" t="s">
        <v>773</v>
      </c>
      <c r="B349" t="s">
        <v>7</v>
      </c>
    </row>
    <row r="350" spans="1:3" x14ac:dyDescent="0.25">
      <c r="A350" t="s">
        <v>23</v>
      </c>
      <c r="B350" t="s">
        <v>255</v>
      </c>
      <c r="C350" t="s">
        <v>3205</v>
      </c>
    </row>
    <row r="351" spans="1:3" x14ac:dyDescent="0.25">
      <c r="A351" t="s">
        <v>7230</v>
      </c>
      <c r="B351" t="s">
        <v>7</v>
      </c>
    </row>
    <row r="352" spans="1:3" x14ac:dyDescent="0.25">
      <c r="A352" t="s">
        <v>12</v>
      </c>
      <c r="B352" t="s">
        <v>7</v>
      </c>
      <c r="C352" t="s">
        <v>3205</v>
      </c>
    </row>
    <row r="353" spans="1:5" x14ac:dyDescent="0.25">
      <c r="A353" t="s">
        <v>21</v>
      </c>
      <c r="B353" t="s">
        <v>7</v>
      </c>
      <c r="C353" t="s">
        <v>3205</v>
      </c>
    </row>
    <row r="354" spans="1:5" x14ac:dyDescent="0.25">
      <c r="A354" t="s">
        <v>827</v>
      </c>
      <c r="B354" t="s">
        <v>7</v>
      </c>
    </row>
    <row r="355" spans="1:5" x14ac:dyDescent="0.25">
      <c r="A355" t="s">
        <v>17</v>
      </c>
      <c r="B355" t="s">
        <v>7</v>
      </c>
      <c r="C355" t="s">
        <v>3205</v>
      </c>
      <c r="E355" s="1" t="s">
        <v>158</v>
      </c>
    </row>
    <row r="356" spans="1:5" x14ac:dyDescent="0.25">
      <c r="A356" t="s">
        <v>309</v>
      </c>
      <c r="B356" t="s">
        <v>7</v>
      </c>
      <c r="C356" t="s">
        <v>3204</v>
      </c>
    </row>
    <row r="357" spans="1:5" x14ac:dyDescent="0.25">
      <c r="A357" t="s">
        <v>1359</v>
      </c>
      <c r="B357" t="s">
        <v>7</v>
      </c>
      <c r="C357" t="s">
        <v>3206</v>
      </c>
    </row>
    <row r="358" spans="1:5" x14ac:dyDescent="0.25">
      <c r="A358" s="64" t="s">
        <v>197</v>
      </c>
      <c r="B358" t="s">
        <v>7</v>
      </c>
      <c r="C358" t="s">
        <v>3206</v>
      </c>
    </row>
    <row r="359" spans="1:5" x14ac:dyDescent="0.25">
      <c r="A359" t="s">
        <v>642</v>
      </c>
      <c r="B359" t="s">
        <v>7</v>
      </c>
    </row>
    <row r="360" spans="1:5" x14ac:dyDescent="0.25">
      <c r="A360" t="s">
        <v>7222</v>
      </c>
      <c r="B360" t="s">
        <v>7</v>
      </c>
      <c r="C360" t="s">
        <v>3205</v>
      </c>
    </row>
    <row r="361" spans="1:5" x14ac:dyDescent="0.25">
      <c r="A361" t="s">
        <v>355</v>
      </c>
      <c r="B361" t="s">
        <v>7</v>
      </c>
      <c r="C361" t="s">
        <v>3206</v>
      </c>
    </row>
    <row r="362" spans="1:5" x14ac:dyDescent="0.25">
      <c r="A362" t="s">
        <v>408</v>
      </c>
      <c r="B362" t="s">
        <v>7</v>
      </c>
      <c r="C362" t="s">
        <v>3206</v>
      </c>
    </row>
    <row r="363" spans="1:5" x14ac:dyDescent="0.25">
      <c r="A363" s="64" t="s">
        <v>215</v>
      </c>
      <c r="B363" t="s">
        <v>7</v>
      </c>
      <c r="C363" t="s">
        <v>3205</v>
      </c>
    </row>
    <row r="364" spans="1:5" x14ac:dyDescent="0.25">
      <c r="A364" t="s">
        <v>311</v>
      </c>
      <c r="B364" t="s">
        <v>7</v>
      </c>
      <c r="C364" t="s">
        <v>3207</v>
      </c>
    </row>
    <row r="365" spans="1:5" x14ac:dyDescent="0.25">
      <c r="A365" t="s">
        <v>1520</v>
      </c>
      <c r="B365" t="s">
        <v>7</v>
      </c>
      <c r="C365" t="s">
        <v>3206</v>
      </c>
    </row>
    <row r="366" spans="1:5" x14ac:dyDescent="0.25">
      <c r="A366" t="s">
        <v>243</v>
      </c>
      <c r="B366" t="s">
        <v>7</v>
      </c>
      <c r="C366" t="s">
        <v>3205</v>
      </c>
    </row>
    <row r="367" spans="1:5" x14ac:dyDescent="0.25">
      <c r="A367" t="s">
        <v>3959</v>
      </c>
      <c r="B367" t="s">
        <v>7</v>
      </c>
    </row>
    <row r="368" spans="1:5" x14ac:dyDescent="0.25">
      <c r="A368" t="s">
        <v>313</v>
      </c>
      <c r="B368" t="s">
        <v>268</v>
      </c>
      <c r="C368" t="s">
        <v>3745</v>
      </c>
    </row>
    <row r="369" spans="1:5" x14ac:dyDescent="0.25">
      <c r="A369" t="s">
        <v>133</v>
      </c>
      <c r="B369" t="s">
        <v>7</v>
      </c>
      <c r="C369" t="s">
        <v>3207</v>
      </c>
    </row>
    <row r="370" spans="1:5" x14ac:dyDescent="0.25">
      <c r="A370" t="s">
        <v>256</v>
      </c>
      <c r="B370" t="s">
        <v>254</v>
      </c>
      <c r="C370" t="s">
        <v>3205</v>
      </c>
      <c r="E370" s="1" t="s">
        <v>342</v>
      </c>
    </row>
    <row r="371" spans="1:5" x14ac:dyDescent="0.25">
      <c r="A371" t="s">
        <v>350</v>
      </c>
      <c r="B371" t="s">
        <v>7</v>
      </c>
      <c r="C371" t="s">
        <v>3206</v>
      </c>
    </row>
    <row r="372" spans="1:5" x14ac:dyDescent="0.25">
      <c r="A372" t="s">
        <v>367</v>
      </c>
      <c r="B372" t="s">
        <v>7</v>
      </c>
      <c r="C372" t="s">
        <v>3207</v>
      </c>
    </row>
    <row r="373" spans="1:5" x14ac:dyDescent="0.25">
      <c r="A373" t="s">
        <v>436</v>
      </c>
      <c r="B373" t="s">
        <v>7</v>
      </c>
    </row>
    <row r="374" spans="1:5" x14ac:dyDescent="0.25">
      <c r="A374" t="s">
        <v>788</v>
      </c>
      <c r="B374" t="s">
        <v>7</v>
      </c>
    </row>
    <row r="375" spans="1:5" x14ac:dyDescent="0.25">
      <c r="A375" t="s">
        <v>11</v>
      </c>
      <c r="B375" t="s">
        <v>7</v>
      </c>
      <c r="C375" t="s">
        <v>3207</v>
      </c>
    </row>
    <row r="376" spans="1:5" x14ac:dyDescent="0.25">
      <c r="A376" t="s">
        <v>3211</v>
      </c>
      <c r="B376" t="s">
        <v>7</v>
      </c>
    </row>
    <row r="377" spans="1:5" x14ac:dyDescent="0.25">
      <c r="A377" t="s">
        <v>134</v>
      </c>
      <c r="B377" t="s">
        <v>7</v>
      </c>
      <c r="C377" t="s">
        <v>3204</v>
      </c>
    </row>
    <row r="378" spans="1:5" x14ac:dyDescent="0.25">
      <c r="A378" t="s">
        <v>203</v>
      </c>
      <c r="B378" t="s">
        <v>7</v>
      </c>
      <c r="C378" t="s">
        <v>3206</v>
      </c>
    </row>
    <row r="379" spans="1:5" x14ac:dyDescent="0.25">
      <c r="A379" t="s">
        <v>3427</v>
      </c>
      <c r="B379" t="s">
        <v>7</v>
      </c>
    </row>
    <row r="380" spans="1:5" x14ac:dyDescent="0.25">
      <c r="A380" s="64" t="s">
        <v>196</v>
      </c>
      <c r="B380" t="s">
        <v>7</v>
      </c>
      <c r="C380" t="s">
        <v>3205</v>
      </c>
    </row>
    <row r="381" spans="1:5" x14ac:dyDescent="0.25">
      <c r="A381" t="s">
        <v>340</v>
      </c>
      <c r="B381" t="s">
        <v>7</v>
      </c>
      <c r="C381" t="s">
        <v>3205</v>
      </c>
    </row>
    <row r="382" spans="1:5" x14ac:dyDescent="0.25">
      <c r="A382" t="s">
        <v>228</v>
      </c>
      <c r="B382" t="s">
        <v>7</v>
      </c>
      <c r="C382" t="s">
        <v>3206</v>
      </c>
    </row>
    <row r="383" spans="1:5" x14ac:dyDescent="0.25">
      <c r="A383" t="s">
        <v>244</v>
      </c>
      <c r="B383" t="s">
        <v>7</v>
      </c>
      <c r="C383" t="s">
        <v>3745</v>
      </c>
    </row>
    <row r="384" spans="1:5" x14ac:dyDescent="0.25">
      <c r="A384" t="s">
        <v>1337</v>
      </c>
      <c r="B384" t="s">
        <v>7</v>
      </c>
      <c r="C384" t="s">
        <v>3206</v>
      </c>
    </row>
    <row r="385" spans="1:3" x14ac:dyDescent="0.25">
      <c r="A385" t="s">
        <v>433</v>
      </c>
      <c r="B385" t="s">
        <v>7</v>
      </c>
    </row>
    <row r="386" spans="1:3" x14ac:dyDescent="0.25">
      <c r="A386" t="s">
        <v>272</v>
      </c>
      <c r="B386" t="s">
        <v>255</v>
      </c>
    </row>
    <row r="387" spans="1:3" x14ac:dyDescent="0.25">
      <c r="A387" t="s">
        <v>180</v>
      </c>
      <c r="B387" t="s">
        <v>7</v>
      </c>
      <c r="C387" t="s">
        <v>3745</v>
      </c>
    </row>
    <row r="388" spans="1:3" x14ac:dyDescent="0.25">
      <c r="A388" t="s">
        <v>637</v>
      </c>
      <c r="B388" t="s">
        <v>7</v>
      </c>
    </row>
    <row r="389" spans="1:3" x14ac:dyDescent="0.25">
      <c r="A389" t="s">
        <v>314</v>
      </c>
      <c r="B389" t="s">
        <v>7</v>
      </c>
      <c r="C389" t="s">
        <v>3204</v>
      </c>
    </row>
    <row r="390" spans="1:3" x14ac:dyDescent="0.25">
      <c r="A390" t="s">
        <v>501</v>
      </c>
      <c r="B390" t="s">
        <v>7</v>
      </c>
    </row>
    <row r="391" spans="1:3" x14ac:dyDescent="0.25">
      <c r="A391" t="s">
        <v>315</v>
      </c>
      <c r="B391" t="s">
        <v>7</v>
      </c>
      <c r="C391" t="s">
        <v>3206</v>
      </c>
    </row>
    <row r="392" spans="1:3" x14ac:dyDescent="0.25">
      <c r="A392" t="s">
        <v>7225</v>
      </c>
      <c r="B392" t="s">
        <v>7</v>
      </c>
      <c r="C392" t="s">
        <v>3207</v>
      </c>
    </row>
    <row r="393" spans="1:3" x14ac:dyDescent="0.25">
      <c r="A393" t="s">
        <v>53</v>
      </c>
      <c r="B393" t="s">
        <v>7</v>
      </c>
      <c r="C393" t="s">
        <v>3206</v>
      </c>
    </row>
    <row r="394" spans="1:3" x14ac:dyDescent="0.25">
      <c r="A394" s="64" t="s">
        <v>198</v>
      </c>
      <c r="B394" t="s">
        <v>7</v>
      </c>
      <c r="C394" t="s">
        <v>3205</v>
      </c>
    </row>
    <row r="395" spans="1:3" x14ac:dyDescent="0.25">
      <c r="A395" t="s">
        <v>36</v>
      </c>
      <c r="B395" t="s">
        <v>7</v>
      </c>
      <c r="C395" t="s">
        <v>3205</v>
      </c>
    </row>
    <row r="396" spans="1:3" x14ac:dyDescent="0.25">
      <c r="A396" t="s">
        <v>7223</v>
      </c>
      <c r="B396" t="s">
        <v>7</v>
      </c>
    </row>
    <row r="397" spans="1:3" x14ac:dyDescent="0.25">
      <c r="A397" t="s">
        <v>230</v>
      </c>
      <c r="B397" t="s">
        <v>7</v>
      </c>
      <c r="C397" t="s">
        <v>3205</v>
      </c>
    </row>
    <row r="398" spans="1:3" x14ac:dyDescent="0.25">
      <c r="A398" t="s">
        <v>389</v>
      </c>
      <c r="B398" t="s">
        <v>7</v>
      </c>
      <c r="C398" t="s">
        <v>3206</v>
      </c>
    </row>
    <row r="399" spans="1:3" x14ac:dyDescent="0.25">
      <c r="A399" t="s">
        <v>438</v>
      </c>
      <c r="B399" t="s">
        <v>7</v>
      </c>
      <c r="C399" t="s">
        <v>3207</v>
      </c>
    </row>
    <row r="400" spans="1:3" x14ac:dyDescent="0.25">
      <c r="A400" t="s">
        <v>425</v>
      </c>
      <c r="B400" t="s">
        <v>7</v>
      </c>
    </row>
    <row r="401" spans="1:3" x14ac:dyDescent="0.25">
      <c r="A401" t="s">
        <v>135</v>
      </c>
      <c r="B401" t="s">
        <v>7</v>
      </c>
      <c r="C401" t="s">
        <v>3206</v>
      </c>
    </row>
    <row r="402" spans="1:3" x14ac:dyDescent="0.25">
      <c r="A402" t="s">
        <v>136</v>
      </c>
      <c r="B402" t="s">
        <v>7</v>
      </c>
      <c r="C402" t="s">
        <v>3205</v>
      </c>
    </row>
    <row r="403" spans="1:3" x14ac:dyDescent="0.25">
      <c r="A403" s="23" t="s">
        <v>137</v>
      </c>
      <c r="B403" t="s">
        <v>7</v>
      </c>
      <c r="C403" t="s">
        <v>3204</v>
      </c>
    </row>
    <row r="404" spans="1:3" x14ac:dyDescent="0.25">
      <c r="A404" t="s">
        <v>260</v>
      </c>
      <c r="B404" t="s">
        <v>7</v>
      </c>
      <c r="C404" t="s">
        <v>3745</v>
      </c>
    </row>
    <row r="405" spans="1:3" x14ac:dyDescent="0.25">
      <c r="A405" t="s">
        <v>316</v>
      </c>
      <c r="B405" t="s">
        <v>7</v>
      </c>
      <c r="C405" t="s">
        <v>3206</v>
      </c>
    </row>
    <row r="406" spans="1:3" x14ac:dyDescent="0.25">
      <c r="A406" s="64" t="s">
        <v>214</v>
      </c>
      <c r="B406" t="s">
        <v>7</v>
      </c>
      <c r="C406" t="s">
        <v>3206</v>
      </c>
    </row>
    <row r="407" spans="1:3" x14ac:dyDescent="0.25">
      <c r="A407" t="s">
        <v>432</v>
      </c>
      <c r="B407" t="s">
        <v>7</v>
      </c>
      <c r="C407" t="s">
        <v>3205</v>
      </c>
    </row>
    <row r="408" spans="1:3" x14ac:dyDescent="0.25">
      <c r="A408" t="s">
        <v>30</v>
      </c>
      <c r="B408" t="s">
        <v>7</v>
      </c>
      <c r="C408" t="s">
        <v>3205</v>
      </c>
    </row>
    <row r="409" spans="1:3" x14ac:dyDescent="0.25">
      <c r="A409" t="s">
        <v>43</v>
      </c>
      <c r="B409" t="s">
        <v>7</v>
      </c>
      <c r="C409" t="s">
        <v>3745</v>
      </c>
    </row>
    <row r="410" spans="1:3" x14ac:dyDescent="0.25">
      <c r="A410" t="s">
        <v>225</v>
      </c>
      <c r="B410" t="s">
        <v>7</v>
      </c>
      <c r="C410" t="s">
        <v>3205</v>
      </c>
    </row>
    <row r="411" spans="1:3" x14ac:dyDescent="0.25">
      <c r="A411" t="s">
        <v>317</v>
      </c>
      <c r="B411" t="s">
        <v>7</v>
      </c>
      <c r="C411" t="s">
        <v>3204</v>
      </c>
    </row>
    <row r="412" spans="1:3" x14ac:dyDescent="0.25">
      <c r="A412" t="s">
        <v>199</v>
      </c>
      <c r="B412" t="s">
        <v>7</v>
      </c>
    </row>
    <row r="413" spans="1:3" x14ac:dyDescent="0.25">
      <c r="A413" t="s">
        <v>1391</v>
      </c>
      <c r="B413" t="s">
        <v>7</v>
      </c>
      <c r="C413" t="s">
        <v>3206</v>
      </c>
    </row>
    <row r="414" spans="1:3" x14ac:dyDescent="0.25">
      <c r="A414" t="s">
        <v>138</v>
      </c>
      <c r="B414" t="s">
        <v>7</v>
      </c>
      <c r="C414" t="s">
        <v>3745</v>
      </c>
    </row>
    <row r="415" spans="1:3" x14ac:dyDescent="0.25">
      <c r="A415" t="s">
        <v>341</v>
      </c>
      <c r="B415" t="s">
        <v>7</v>
      </c>
      <c r="C415" t="s">
        <v>3207</v>
      </c>
    </row>
    <row r="416" spans="1:3" x14ac:dyDescent="0.25">
      <c r="A416" t="s">
        <v>139</v>
      </c>
      <c r="B416" t="s">
        <v>255</v>
      </c>
      <c r="C416" t="s">
        <v>3206</v>
      </c>
    </row>
    <row r="417" spans="1:3" x14ac:dyDescent="0.25">
      <c r="A417" s="64" t="s">
        <v>200</v>
      </c>
      <c r="B417" t="s">
        <v>7</v>
      </c>
      <c r="C417" t="s">
        <v>3207</v>
      </c>
    </row>
    <row r="418" spans="1:3" x14ac:dyDescent="0.25">
      <c r="A418" t="s">
        <v>140</v>
      </c>
      <c r="B418" t="s">
        <v>7</v>
      </c>
      <c r="C418" t="s">
        <v>3205</v>
      </c>
    </row>
    <row r="419" spans="1:3" x14ac:dyDescent="0.25">
      <c r="A419" t="s">
        <v>3476</v>
      </c>
      <c r="B419" t="s">
        <v>7</v>
      </c>
    </row>
    <row r="420" spans="1:3" x14ac:dyDescent="0.25">
      <c r="A420" t="s">
        <v>318</v>
      </c>
      <c r="B420" t="s">
        <v>7</v>
      </c>
      <c r="C420" t="s">
        <v>3204</v>
      </c>
    </row>
    <row r="421" spans="1:3" x14ac:dyDescent="0.25">
      <c r="A421" t="s">
        <v>319</v>
      </c>
      <c r="B421" t="s">
        <v>268</v>
      </c>
      <c r="C421" t="s">
        <v>3206</v>
      </c>
    </row>
    <row r="422" spans="1:3" x14ac:dyDescent="0.25">
      <c r="A422" t="s">
        <v>247</v>
      </c>
      <c r="B422" t="s">
        <v>7</v>
      </c>
      <c r="C422" t="s">
        <v>3205</v>
      </c>
    </row>
    <row r="423" spans="1:3" x14ac:dyDescent="0.25">
      <c r="A423" t="s">
        <v>55</v>
      </c>
      <c r="B423" t="s">
        <v>7</v>
      </c>
      <c r="C423" t="s">
        <v>3205</v>
      </c>
    </row>
    <row r="424" spans="1:3" x14ac:dyDescent="0.25">
      <c r="A424" t="s">
        <v>3217</v>
      </c>
      <c r="B424" t="s">
        <v>7</v>
      </c>
    </row>
    <row r="425" spans="1:3" x14ac:dyDescent="0.25">
      <c r="A425" t="s">
        <v>320</v>
      </c>
      <c r="B425" t="s">
        <v>7</v>
      </c>
      <c r="C425" t="s">
        <v>3207</v>
      </c>
    </row>
    <row r="426" spans="1:3" x14ac:dyDescent="0.25">
      <c r="A426" t="s">
        <v>321</v>
      </c>
      <c r="B426" t="s">
        <v>268</v>
      </c>
      <c r="C426" t="s">
        <v>3207</v>
      </c>
    </row>
    <row r="427" spans="1:3" x14ac:dyDescent="0.25">
      <c r="A427" s="63" t="s">
        <v>141</v>
      </c>
      <c r="B427" t="s">
        <v>7</v>
      </c>
    </row>
    <row r="428" spans="1:3" x14ac:dyDescent="0.25">
      <c r="A428" t="s">
        <v>155</v>
      </c>
      <c r="B428" t="s">
        <v>7</v>
      </c>
      <c r="C428" t="s">
        <v>3745</v>
      </c>
    </row>
    <row r="429" spans="1:3" x14ac:dyDescent="0.25">
      <c r="A429" t="s">
        <v>322</v>
      </c>
      <c r="B429" t="s">
        <v>7</v>
      </c>
      <c r="C429" t="s">
        <v>3205</v>
      </c>
    </row>
    <row r="430" spans="1:3" x14ac:dyDescent="0.25">
      <c r="A430" t="s">
        <v>156</v>
      </c>
      <c r="B430" t="s">
        <v>7</v>
      </c>
      <c r="C430" t="s">
        <v>3207</v>
      </c>
    </row>
    <row r="431" spans="1:3" x14ac:dyDescent="0.25">
      <c r="A431" t="s">
        <v>49</v>
      </c>
      <c r="B431" t="s">
        <v>7</v>
      </c>
      <c r="C431" t="s">
        <v>3205</v>
      </c>
    </row>
    <row r="432" spans="1:3" x14ac:dyDescent="0.25">
      <c r="A432" t="s">
        <v>6936</v>
      </c>
      <c r="B432" t="s">
        <v>7</v>
      </c>
      <c r="C432" t="s">
        <v>3207</v>
      </c>
    </row>
    <row r="433" spans="1:3" x14ac:dyDescent="0.25">
      <c r="A433" t="s">
        <v>52</v>
      </c>
      <c r="B433" t="s">
        <v>7</v>
      </c>
      <c r="C433" t="s">
        <v>3205</v>
      </c>
    </row>
    <row r="434" spans="1:3" x14ac:dyDescent="0.25">
      <c r="A434" t="s">
        <v>181</v>
      </c>
      <c r="B434" t="s">
        <v>7</v>
      </c>
      <c r="C434" t="s">
        <v>3207</v>
      </c>
    </row>
    <row r="435" spans="1:3" x14ac:dyDescent="0.25">
      <c r="A435" t="s">
        <v>1405</v>
      </c>
      <c r="B435" t="s">
        <v>7</v>
      </c>
    </row>
    <row r="436" spans="1:3" x14ac:dyDescent="0.25">
      <c r="A436" t="s">
        <v>37</v>
      </c>
      <c r="B436" t="s">
        <v>7</v>
      </c>
      <c r="C436" t="s">
        <v>3205</v>
      </c>
    </row>
    <row r="437" spans="1:3" x14ac:dyDescent="0.25">
      <c r="A437" t="s">
        <v>163</v>
      </c>
      <c r="B437" t="s">
        <v>255</v>
      </c>
      <c r="C437" t="s">
        <v>3206</v>
      </c>
    </row>
    <row r="438" spans="1:3" x14ac:dyDescent="0.25">
      <c r="A438" t="s">
        <v>427</v>
      </c>
      <c r="B438" t="s">
        <v>7</v>
      </c>
    </row>
    <row r="439" spans="1:3" x14ac:dyDescent="0.25">
      <c r="A439" t="s">
        <v>85</v>
      </c>
      <c r="B439" t="s">
        <v>7</v>
      </c>
      <c r="C439" t="s">
        <v>3745</v>
      </c>
    </row>
    <row r="440" spans="1:3" x14ac:dyDescent="0.25">
      <c r="A440" t="s">
        <v>323</v>
      </c>
      <c r="B440" t="s">
        <v>7</v>
      </c>
    </row>
    <row r="441" spans="1:3" x14ac:dyDescent="0.25">
      <c r="A441" t="s">
        <v>3494</v>
      </c>
      <c r="B441" t="s">
        <v>7</v>
      </c>
    </row>
    <row r="442" spans="1:3" x14ac:dyDescent="0.25">
      <c r="A442" t="s">
        <v>142</v>
      </c>
      <c r="B442" t="s">
        <v>7</v>
      </c>
      <c r="C442" t="s">
        <v>3204</v>
      </c>
    </row>
    <row r="443" spans="1:3" x14ac:dyDescent="0.25">
      <c r="A443" t="s">
        <v>45</v>
      </c>
      <c r="B443" t="s">
        <v>7</v>
      </c>
      <c r="C443" t="s">
        <v>3745</v>
      </c>
    </row>
    <row r="444" spans="1:3" x14ac:dyDescent="0.25">
      <c r="A444" t="s">
        <v>3614</v>
      </c>
      <c r="B444" t="s">
        <v>7</v>
      </c>
    </row>
    <row r="445" spans="1:3" x14ac:dyDescent="0.25">
      <c r="A445" t="s">
        <v>354</v>
      </c>
      <c r="B445" t="s">
        <v>7</v>
      </c>
      <c r="C445" t="s">
        <v>3207</v>
      </c>
    </row>
    <row r="446" spans="1:3" x14ac:dyDescent="0.25">
      <c r="A446" t="s">
        <v>3179</v>
      </c>
      <c r="B446" t="s">
        <v>7</v>
      </c>
    </row>
    <row r="447" spans="1:3" x14ac:dyDescent="0.25">
      <c r="A447" t="s">
        <v>1927</v>
      </c>
      <c r="B447" t="s">
        <v>7</v>
      </c>
      <c r="C447" t="s">
        <v>3206</v>
      </c>
    </row>
    <row r="448" spans="1:3" x14ac:dyDescent="0.25">
      <c r="A448" t="s">
        <v>1595</v>
      </c>
      <c r="B448" t="s">
        <v>7</v>
      </c>
    </row>
    <row r="449" spans="1:5" x14ac:dyDescent="0.25">
      <c r="A449" t="s">
        <v>324</v>
      </c>
      <c r="B449" t="s">
        <v>268</v>
      </c>
      <c r="C449" t="s">
        <v>3206</v>
      </c>
    </row>
    <row r="450" spans="1:5" x14ac:dyDescent="0.25">
      <c r="A450" t="s">
        <v>3433</v>
      </c>
      <c r="B450" t="s">
        <v>7</v>
      </c>
    </row>
    <row r="451" spans="1:5" x14ac:dyDescent="0.25">
      <c r="A451" t="s">
        <v>164</v>
      </c>
      <c r="B451" t="s">
        <v>7</v>
      </c>
      <c r="C451" t="s">
        <v>3205</v>
      </c>
    </row>
    <row r="452" spans="1:5" x14ac:dyDescent="0.25">
      <c r="A452" t="s">
        <v>269</v>
      </c>
      <c r="B452" t="s">
        <v>7</v>
      </c>
      <c r="E452" s="1" t="s">
        <v>342</v>
      </c>
    </row>
    <row r="453" spans="1:5" x14ac:dyDescent="0.25">
      <c r="A453" t="s">
        <v>1335</v>
      </c>
      <c r="B453" t="s">
        <v>7</v>
      </c>
      <c r="C453" t="s">
        <v>3206</v>
      </c>
    </row>
    <row r="454" spans="1:5" x14ac:dyDescent="0.25">
      <c r="A454" s="63" t="s">
        <v>4045</v>
      </c>
      <c r="B454" t="s">
        <v>7</v>
      </c>
    </row>
    <row r="455" spans="1:5" x14ac:dyDescent="0.25">
      <c r="A455" t="s">
        <v>326</v>
      </c>
      <c r="B455" t="s">
        <v>268</v>
      </c>
    </row>
    <row r="456" spans="1:5" x14ac:dyDescent="0.25">
      <c r="A456" t="s">
        <v>352</v>
      </c>
      <c r="B456" t="s">
        <v>7</v>
      </c>
      <c r="C456" t="s">
        <v>3206</v>
      </c>
    </row>
    <row r="457" spans="1:5" x14ac:dyDescent="0.25">
      <c r="A457" t="s">
        <v>144</v>
      </c>
      <c r="B457" t="s">
        <v>7</v>
      </c>
      <c r="C457" t="s">
        <v>3205</v>
      </c>
    </row>
    <row r="458" spans="1:5" x14ac:dyDescent="0.25">
      <c r="A458" t="s">
        <v>210</v>
      </c>
      <c r="B458" t="s">
        <v>7</v>
      </c>
      <c r="C458" t="s">
        <v>3744</v>
      </c>
    </row>
    <row r="459" spans="1:5" x14ac:dyDescent="0.25">
      <c r="A459" t="s">
        <v>146</v>
      </c>
      <c r="B459" t="s">
        <v>7</v>
      </c>
      <c r="C459" t="s">
        <v>3205</v>
      </c>
    </row>
    <row r="460" spans="1:5" x14ac:dyDescent="0.25">
      <c r="A460" t="s">
        <v>208</v>
      </c>
      <c r="B460" t="s">
        <v>7</v>
      </c>
      <c r="C460" t="s">
        <v>3207</v>
      </c>
    </row>
  </sheetData>
  <sortState xmlns:xlrd2="http://schemas.microsoft.com/office/spreadsheetml/2017/richdata2" ref="A2:N460">
    <sortCondition ref="A2:A460"/>
    <sortCondition ref="B2:B460"/>
  </sortState>
  <conditionalFormatting sqref="A321:A322 A264:A299 A174:A216 A161 A127:A145 A1 A12:A26 A226:A228 A244:A255 A29:A69 A326:A1048576">
    <cfRule type="duplicateValues" dxfId="140" priority="89"/>
  </conditionalFormatting>
  <conditionalFormatting sqref="A321:A322 A264:A299 A174:A216 A161 A127:A145 A1 A12:A26 A226:A228 A244:A255 A28:A69 A326:A1048576">
    <cfRule type="duplicateValues" dxfId="139" priority="90"/>
  </conditionalFormatting>
  <conditionalFormatting sqref="A73">
    <cfRule type="duplicateValues" dxfId="138" priority="77"/>
  </conditionalFormatting>
  <conditionalFormatting sqref="A27">
    <cfRule type="duplicateValues" dxfId="137" priority="60"/>
  </conditionalFormatting>
  <conditionalFormatting sqref="A74">
    <cfRule type="duplicateValues" dxfId="136" priority="57"/>
  </conditionalFormatting>
  <conditionalFormatting sqref="A75">
    <cfRule type="duplicateValues" dxfId="135" priority="54"/>
  </conditionalFormatting>
  <conditionalFormatting sqref="A321:A322 A264:A299 A174:A216 A161 A1 A82:A111 A113:A118 A120:A145 A226:A228 A244:A255 A12:A80 A326:A1048576">
    <cfRule type="duplicateValues" dxfId="134" priority="50"/>
  </conditionalFormatting>
  <conditionalFormatting sqref="A81">
    <cfRule type="duplicateValues" dxfId="133" priority="45"/>
  </conditionalFormatting>
  <conditionalFormatting sqref="A112">
    <cfRule type="duplicateValues" dxfId="132" priority="44"/>
  </conditionalFormatting>
  <conditionalFormatting sqref="A119">
    <cfRule type="duplicateValues" dxfId="131" priority="43"/>
  </conditionalFormatting>
  <conditionalFormatting sqref="A321:A322 A264:A299 A242:A255 A1:A218 A222:A234 A326:A1048576">
    <cfRule type="duplicateValues" dxfId="130" priority="42"/>
  </conditionalFormatting>
  <conditionalFormatting sqref="D257:D261">
    <cfRule type="duplicateValues" dxfId="129" priority="36"/>
  </conditionalFormatting>
  <conditionalFormatting sqref="A321:A322 A1:A218 A222:A299 A326:A1048576">
    <cfRule type="duplicateValues" dxfId="128" priority="32"/>
  </conditionalFormatting>
  <conditionalFormatting sqref="A321:A322 A1:A218 A222:A300 A326:A1048576">
    <cfRule type="duplicateValues" dxfId="127" priority="31"/>
  </conditionalFormatting>
  <conditionalFormatting sqref="A305">
    <cfRule type="duplicateValues" dxfId="126" priority="30"/>
  </conditionalFormatting>
  <conditionalFormatting sqref="A321:A322 A1:A218 A222:A305 A326:A1048576">
    <cfRule type="duplicateValues" dxfId="125" priority="29"/>
  </conditionalFormatting>
  <conditionalFormatting sqref="A321:A322 A1:A218 A222:A314 A326:A1048576">
    <cfRule type="duplicateValues" dxfId="124" priority="27"/>
  </conditionalFormatting>
  <conditionalFormatting sqref="A147:A153">
    <cfRule type="duplicateValues" dxfId="123" priority="345"/>
  </conditionalFormatting>
  <conditionalFormatting sqref="A146:A153">
    <cfRule type="duplicateValues" dxfId="122" priority="347"/>
  </conditionalFormatting>
  <conditionalFormatting sqref="A326:A1048576 A222:A322 A1:A218">
    <cfRule type="duplicateValues" dxfId="121" priority="25"/>
  </conditionalFormatting>
  <conditionalFormatting sqref="A92:A97">
    <cfRule type="duplicateValues" dxfId="120" priority="674"/>
  </conditionalFormatting>
  <conditionalFormatting sqref="A323:A325">
    <cfRule type="duplicateValues" dxfId="119" priority="770"/>
  </conditionalFormatting>
  <conditionalFormatting sqref="A146:A160">
    <cfRule type="duplicateValues" dxfId="118" priority="1136"/>
  </conditionalFormatting>
  <conditionalFormatting sqref="A222:A1048576 A1:A218">
    <cfRule type="duplicateValues" dxfId="117" priority="23"/>
  </conditionalFormatting>
  <conditionalFormatting sqref="A256:A263">
    <cfRule type="duplicateValues" dxfId="116" priority="1338"/>
  </conditionalFormatting>
  <conditionalFormatting sqref="D257:D260">
    <cfRule type="duplicateValues" dxfId="115" priority="1342"/>
  </conditionalFormatting>
  <conditionalFormatting sqref="A256:A263 D257:D261">
    <cfRule type="duplicateValues" dxfId="114" priority="1357"/>
  </conditionalFormatting>
  <conditionalFormatting sqref="A306:A314">
    <cfRule type="duplicateValues" dxfId="113" priority="1577"/>
  </conditionalFormatting>
  <conditionalFormatting sqref="A219">
    <cfRule type="duplicateValues" dxfId="112" priority="22"/>
  </conditionalFormatting>
  <conditionalFormatting sqref="A219">
    <cfRule type="duplicateValues" dxfId="111" priority="21"/>
  </conditionalFormatting>
  <conditionalFormatting sqref="A219">
    <cfRule type="duplicateValues" dxfId="110" priority="20"/>
  </conditionalFormatting>
  <conditionalFormatting sqref="A219">
    <cfRule type="duplicateValues" dxfId="109" priority="19"/>
  </conditionalFormatting>
  <conditionalFormatting sqref="A219">
    <cfRule type="duplicateValues" dxfId="108" priority="18"/>
  </conditionalFormatting>
  <conditionalFormatting sqref="A219">
    <cfRule type="duplicateValues" dxfId="107" priority="17"/>
  </conditionalFormatting>
  <conditionalFormatting sqref="A219">
    <cfRule type="duplicateValues" dxfId="106" priority="16"/>
  </conditionalFormatting>
  <conditionalFormatting sqref="A220">
    <cfRule type="duplicateValues" dxfId="105" priority="15"/>
  </conditionalFormatting>
  <conditionalFormatting sqref="A220">
    <cfRule type="duplicateValues" dxfId="104" priority="14"/>
  </conditionalFormatting>
  <conditionalFormatting sqref="A220">
    <cfRule type="duplicateValues" dxfId="103" priority="13"/>
  </conditionalFormatting>
  <conditionalFormatting sqref="A220">
    <cfRule type="duplicateValues" dxfId="102" priority="12"/>
  </conditionalFormatting>
  <conditionalFormatting sqref="A220">
    <cfRule type="duplicateValues" dxfId="101" priority="11"/>
  </conditionalFormatting>
  <conditionalFormatting sqref="A220">
    <cfRule type="duplicateValues" dxfId="100" priority="10"/>
  </conditionalFormatting>
  <conditionalFormatting sqref="A220">
    <cfRule type="duplicateValues" dxfId="99" priority="9"/>
  </conditionalFormatting>
  <conditionalFormatting sqref="A221">
    <cfRule type="duplicateValues" dxfId="98" priority="8"/>
  </conditionalFormatting>
  <conditionalFormatting sqref="A221">
    <cfRule type="duplicateValues" dxfId="97" priority="7"/>
  </conditionalFormatting>
  <conditionalFormatting sqref="A221">
    <cfRule type="duplicateValues" dxfId="96" priority="6"/>
  </conditionalFormatting>
  <conditionalFormatting sqref="A221">
    <cfRule type="duplicateValues" dxfId="95" priority="5"/>
  </conditionalFormatting>
  <conditionalFormatting sqref="A221">
    <cfRule type="duplicateValues" dxfId="94" priority="4"/>
  </conditionalFormatting>
  <conditionalFormatting sqref="A221">
    <cfRule type="duplicateValues" dxfId="93" priority="3"/>
  </conditionalFormatting>
  <conditionalFormatting sqref="A221">
    <cfRule type="duplicateValues" dxfId="92" priority="2"/>
  </conditionalFormatting>
  <conditionalFormatting sqref="G1:G1048576 A1:A1048576">
    <cfRule type="duplicateValues" dxfId="91" priority="1"/>
  </conditionalFormatting>
  <conditionalFormatting sqref="A162:A173">
    <cfRule type="duplicateValues" dxfId="90" priority="1772"/>
  </conditionalFormatting>
  <conditionalFormatting sqref="A29:A69 A1 A12:A26">
    <cfRule type="duplicateValues" dxfId="89" priority="1902"/>
  </conditionalFormatting>
  <conditionalFormatting sqref="A315:A320">
    <cfRule type="duplicateValues" dxfId="0" priority="1951"/>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A0FF5-B5DF-4491-806C-DA9AC92C40F8}">
  <sheetPr codeName="Sheet23"/>
  <dimension ref="A2:C94"/>
  <sheetViews>
    <sheetView workbookViewId="0">
      <selection activeCell="D40" sqref="D40"/>
    </sheetView>
  </sheetViews>
  <sheetFormatPr defaultRowHeight="15" x14ac:dyDescent="0.25"/>
  <sheetData>
    <row r="2" spans="1:3" x14ac:dyDescent="0.25">
      <c r="A2" t="s">
        <v>6849</v>
      </c>
      <c r="B2" t="s">
        <v>6850</v>
      </c>
    </row>
    <row r="3" spans="1:3" x14ac:dyDescent="0.25">
      <c r="A3" t="s">
        <v>2320</v>
      </c>
      <c r="B3" t="s">
        <v>4032</v>
      </c>
      <c r="C3" t="s">
        <v>6851</v>
      </c>
    </row>
    <row r="4" spans="1:3" x14ac:dyDescent="0.25">
      <c r="A4" t="s">
        <v>6852</v>
      </c>
      <c r="C4" t="s">
        <v>6853</v>
      </c>
    </row>
    <row r="5" spans="1:3" x14ac:dyDescent="0.25">
      <c r="A5" t="s">
        <v>6854</v>
      </c>
      <c r="C5" t="s">
        <v>6855</v>
      </c>
    </row>
    <row r="6" spans="1:3" x14ac:dyDescent="0.25">
      <c r="A6" t="s">
        <v>1609</v>
      </c>
      <c r="C6" t="s">
        <v>6856</v>
      </c>
    </row>
    <row r="7" spans="1:3" x14ac:dyDescent="0.25">
      <c r="A7" t="s">
        <v>6857</v>
      </c>
      <c r="C7" t="s">
        <v>6858</v>
      </c>
    </row>
    <row r="8" spans="1:3" x14ac:dyDescent="0.25">
      <c r="A8" t="s">
        <v>6859</v>
      </c>
      <c r="C8" t="s">
        <v>6860</v>
      </c>
    </row>
    <row r="9" spans="1:3" x14ac:dyDescent="0.25">
      <c r="A9" t="s">
        <v>6861</v>
      </c>
      <c r="C9" t="s">
        <v>6862</v>
      </c>
    </row>
    <row r="10" spans="1:3" x14ac:dyDescent="0.25">
      <c r="A10" t="s">
        <v>3768</v>
      </c>
      <c r="C10" t="s">
        <v>6851</v>
      </c>
    </row>
    <row r="11" spans="1:3" x14ac:dyDescent="0.25">
      <c r="A11" t="s">
        <v>6863</v>
      </c>
      <c r="C11" t="s">
        <v>4428</v>
      </c>
    </row>
    <row r="12" spans="1:3" x14ac:dyDescent="0.25">
      <c r="A12" t="s">
        <v>6864</v>
      </c>
      <c r="C12" t="s">
        <v>6865</v>
      </c>
    </row>
    <row r="13" spans="1:3" x14ac:dyDescent="0.25">
      <c r="A13" t="s">
        <v>6866</v>
      </c>
      <c r="C13" t="s">
        <v>922</v>
      </c>
    </row>
    <row r="14" spans="1:3" x14ac:dyDescent="0.25">
      <c r="A14" t="s">
        <v>6867</v>
      </c>
      <c r="C14" t="s">
        <v>6868</v>
      </c>
    </row>
    <row r="15" spans="1:3" x14ac:dyDescent="0.25">
      <c r="A15" t="s">
        <v>3566</v>
      </c>
      <c r="C15" t="s">
        <v>6869</v>
      </c>
    </row>
    <row r="16" spans="1:3" x14ac:dyDescent="0.25">
      <c r="A16" t="s">
        <v>3857</v>
      </c>
      <c r="B16" t="s">
        <v>6870</v>
      </c>
    </row>
    <row r="17" spans="1:3" x14ac:dyDescent="0.25">
      <c r="A17" t="s">
        <v>6871</v>
      </c>
      <c r="C17" t="s">
        <v>6860</v>
      </c>
    </row>
    <row r="18" spans="1:3" x14ac:dyDescent="0.25">
      <c r="A18" t="s">
        <v>2975</v>
      </c>
      <c r="C18" t="s">
        <v>6872</v>
      </c>
    </row>
    <row r="19" spans="1:3" x14ac:dyDescent="0.25">
      <c r="A19" t="s">
        <v>3121</v>
      </c>
      <c r="C19" t="s">
        <v>6868</v>
      </c>
    </row>
    <row r="20" spans="1:3" x14ac:dyDescent="0.25">
      <c r="A20" t="s">
        <v>6873</v>
      </c>
      <c r="C20" t="s">
        <v>6874</v>
      </c>
    </row>
    <row r="21" spans="1:3" x14ac:dyDescent="0.25">
      <c r="A21" t="s">
        <v>6875</v>
      </c>
      <c r="C21" t="s">
        <v>6876</v>
      </c>
    </row>
    <row r="22" spans="1:3" x14ac:dyDescent="0.25">
      <c r="A22" t="s">
        <v>6877</v>
      </c>
    </row>
    <row r="23" spans="1:3" x14ac:dyDescent="0.25">
      <c r="A23" t="s">
        <v>6878</v>
      </c>
    </row>
    <row r="24" spans="1:3" x14ac:dyDescent="0.25">
      <c r="A24" t="s">
        <v>5663</v>
      </c>
    </row>
    <row r="25" spans="1:3" x14ac:dyDescent="0.25">
      <c r="A25" t="s">
        <v>6879</v>
      </c>
    </row>
    <row r="26" spans="1:3" x14ac:dyDescent="0.25">
      <c r="A26" t="s">
        <v>6880</v>
      </c>
    </row>
    <row r="27" spans="1:3" x14ac:dyDescent="0.25">
      <c r="A27" t="s">
        <v>6881</v>
      </c>
    </row>
    <row r="28" spans="1:3" x14ac:dyDescent="0.25">
      <c r="A28" t="s">
        <v>6882</v>
      </c>
    </row>
    <row r="29" spans="1:3" x14ac:dyDescent="0.25">
      <c r="A29" t="s">
        <v>6883</v>
      </c>
      <c r="C29" t="s">
        <v>6884</v>
      </c>
    </row>
    <row r="30" spans="1:3" x14ac:dyDescent="0.25">
      <c r="A30" t="s">
        <v>6885</v>
      </c>
    </row>
    <row r="31" spans="1:3" x14ac:dyDescent="0.25">
      <c r="A31" t="s">
        <v>6886</v>
      </c>
    </row>
    <row r="32" spans="1:3" x14ac:dyDescent="0.25">
      <c r="A32" t="s">
        <v>5855</v>
      </c>
      <c r="C32" t="s">
        <v>4066</v>
      </c>
    </row>
    <row r="33" spans="1:3" x14ac:dyDescent="0.25">
      <c r="A33" t="s">
        <v>6887</v>
      </c>
    </row>
    <row r="34" spans="1:3" x14ac:dyDescent="0.25">
      <c r="A34" t="s">
        <v>2026</v>
      </c>
      <c r="C34" t="s">
        <v>6888</v>
      </c>
    </row>
    <row r="35" spans="1:3" x14ac:dyDescent="0.25">
      <c r="A35" t="s">
        <v>6889</v>
      </c>
    </row>
    <row r="36" spans="1:3" x14ac:dyDescent="0.25">
      <c r="A36" t="s">
        <v>6890</v>
      </c>
    </row>
    <row r="37" spans="1:3" x14ac:dyDescent="0.25">
      <c r="A37" t="s">
        <v>3465</v>
      </c>
    </row>
    <row r="38" spans="1:3" x14ac:dyDescent="0.25">
      <c r="A38" t="s">
        <v>3398</v>
      </c>
    </row>
    <row r="39" spans="1:3" x14ac:dyDescent="0.25">
      <c r="A39" t="s">
        <v>6891</v>
      </c>
    </row>
    <row r="40" spans="1:3" x14ac:dyDescent="0.25">
      <c r="A40" t="s">
        <v>6892</v>
      </c>
    </row>
    <row r="41" spans="1:3" x14ac:dyDescent="0.25">
      <c r="A41" t="s">
        <v>6893</v>
      </c>
    </row>
    <row r="42" spans="1:3" x14ac:dyDescent="0.25">
      <c r="A42" t="s">
        <v>6894</v>
      </c>
    </row>
    <row r="43" spans="1:3" x14ac:dyDescent="0.25">
      <c r="A43" t="s">
        <v>6895</v>
      </c>
    </row>
    <row r="44" spans="1:3" x14ac:dyDescent="0.25">
      <c r="A44" t="s">
        <v>6896</v>
      </c>
    </row>
    <row r="45" spans="1:3" x14ac:dyDescent="0.25">
      <c r="A45" t="s">
        <v>457</v>
      </c>
      <c r="C45" t="s">
        <v>6888</v>
      </c>
    </row>
    <row r="46" spans="1:3" x14ac:dyDescent="0.25">
      <c r="A46" t="s">
        <v>40</v>
      </c>
      <c r="C46" t="s">
        <v>6888</v>
      </c>
    </row>
    <row r="47" spans="1:3" x14ac:dyDescent="0.25">
      <c r="A47" t="s">
        <v>6897</v>
      </c>
    </row>
    <row r="48" spans="1:3" x14ac:dyDescent="0.25">
      <c r="A48" t="s">
        <v>6898</v>
      </c>
    </row>
    <row r="49" spans="1:1" x14ac:dyDescent="0.25">
      <c r="A49" t="s">
        <v>6899</v>
      </c>
    </row>
    <row r="50" spans="1:1" x14ac:dyDescent="0.25">
      <c r="A50" t="s">
        <v>6900</v>
      </c>
    </row>
    <row r="51" spans="1:1" x14ac:dyDescent="0.25">
      <c r="A51" t="s">
        <v>6901</v>
      </c>
    </row>
    <row r="52" spans="1:1" x14ac:dyDescent="0.25">
      <c r="A52" t="s">
        <v>6902</v>
      </c>
    </row>
    <row r="53" spans="1:1" x14ac:dyDescent="0.25">
      <c r="A53" t="s">
        <v>6903</v>
      </c>
    </row>
    <row r="54" spans="1:1" x14ac:dyDescent="0.25">
      <c r="A54" t="s">
        <v>579</v>
      </c>
    </row>
    <row r="55" spans="1:1" x14ac:dyDescent="0.25">
      <c r="A55" t="s">
        <v>6904</v>
      </c>
    </row>
    <row r="56" spans="1:1" x14ac:dyDescent="0.25">
      <c r="A56" t="s">
        <v>6905</v>
      </c>
    </row>
    <row r="57" spans="1:1" x14ac:dyDescent="0.25">
      <c r="A57" t="s">
        <v>1659</v>
      </c>
    </row>
    <row r="58" spans="1:1" x14ac:dyDescent="0.25">
      <c r="A58" t="s">
        <v>1694</v>
      </c>
    </row>
    <row r="59" spans="1:1" x14ac:dyDescent="0.25">
      <c r="A59" t="s">
        <v>6906</v>
      </c>
    </row>
    <row r="60" spans="1:1" x14ac:dyDescent="0.25">
      <c r="A60" t="s">
        <v>6907</v>
      </c>
    </row>
    <row r="61" spans="1:1" x14ac:dyDescent="0.25">
      <c r="A61" t="s">
        <v>6908</v>
      </c>
    </row>
    <row r="62" spans="1:1" x14ac:dyDescent="0.25">
      <c r="A62" t="s">
        <v>6909</v>
      </c>
    </row>
    <row r="63" spans="1:1" x14ac:dyDescent="0.25">
      <c r="A63" t="s">
        <v>446</v>
      </c>
    </row>
    <row r="64" spans="1:1" x14ac:dyDescent="0.25">
      <c r="A64" t="s">
        <v>6910</v>
      </c>
    </row>
    <row r="65" spans="1:1" x14ac:dyDescent="0.25">
      <c r="A65" t="s">
        <v>6911</v>
      </c>
    </row>
    <row r="66" spans="1:1" x14ac:dyDescent="0.25">
      <c r="A66" t="s">
        <v>6912</v>
      </c>
    </row>
    <row r="67" spans="1:1" x14ac:dyDescent="0.25">
      <c r="A67" t="s">
        <v>6913</v>
      </c>
    </row>
    <row r="68" spans="1:1" x14ac:dyDescent="0.25">
      <c r="A68" t="s">
        <v>6914</v>
      </c>
    </row>
    <row r="69" spans="1:1" x14ac:dyDescent="0.25">
      <c r="A69" t="s">
        <v>6915</v>
      </c>
    </row>
    <row r="70" spans="1:1" x14ac:dyDescent="0.25">
      <c r="A70" t="s">
        <v>6916</v>
      </c>
    </row>
    <row r="71" spans="1:1" x14ac:dyDescent="0.25">
      <c r="A71" t="s">
        <v>6917</v>
      </c>
    </row>
    <row r="72" spans="1:1" x14ac:dyDescent="0.25">
      <c r="A72" t="s">
        <v>6918</v>
      </c>
    </row>
    <row r="73" spans="1:1" x14ac:dyDescent="0.25">
      <c r="A73" t="s">
        <v>6919</v>
      </c>
    </row>
    <row r="74" spans="1:1" x14ac:dyDescent="0.25">
      <c r="A74" t="s">
        <v>6920</v>
      </c>
    </row>
    <row r="75" spans="1:1" x14ac:dyDescent="0.25">
      <c r="A75" t="s">
        <v>3480</v>
      </c>
    </row>
    <row r="76" spans="1:1" x14ac:dyDescent="0.25">
      <c r="A76" t="s">
        <v>436</v>
      </c>
    </row>
    <row r="77" spans="1:1" x14ac:dyDescent="0.25">
      <c r="A77" t="s">
        <v>6921</v>
      </c>
    </row>
    <row r="78" spans="1:1" x14ac:dyDescent="0.25">
      <c r="A78" t="s">
        <v>3427</v>
      </c>
    </row>
    <row r="79" spans="1:1" x14ac:dyDescent="0.25">
      <c r="A79" t="s">
        <v>4108</v>
      </c>
    </row>
    <row r="80" spans="1:1" x14ac:dyDescent="0.25">
      <c r="A80" t="s">
        <v>6922</v>
      </c>
    </row>
    <row r="81" spans="1:3" x14ac:dyDescent="0.25">
      <c r="A81" t="s">
        <v>6923</v>
      </c>
    </row>
    <row r="82" spans="1:3" x14ac:dyDescent="0.25">
      <c r="A82" t="s">
        <v>6924</v>
      </c>
    </row>
    <row r="83" spans="1:3" x14ac:dyDescent="0.25">
      <c r="A83" t="s">
        <v>3798</v>
      </c>
    </row>
    <row r="84" spans="1:3" x14ac:dyDescent="0.25">
      <c r="A84" t="s">
        <v>6925</v>
      </c>
      <c r="C84" t="s">
        <v>6926</v>
      </c>
    </row>
    <row r="85" spans="1:3" x14ac:dyDescent="0.25">
      <c r="A85" t="s">
        <v>6927</v>
      </c>
    </row>
    <row r="86" spans="1:3" x14ac:dyDescent="0.25">
      <c r="A86" t="s">
        <v>6928</v>
      </c>
    </row>
    <row r="87" spans="1:3" x14ac:dyDescent="0.25">
      <c r="A87" t="s">
        <v>6929</v>
      </c>
    </row>
    <row r="88" spans="1:3" x14ac:dyDescent="0.25">
      <c r="A88" t="s">
        <v>6930</v>
      </c>
    </row>
    <row r="89" spans="1:3" x14ac:dyDescent="0.25">
      <c r="A89" t="s">
        <v>6931</v>
      </c>
    </row>
    <row r="90" spans="1:3" x14ac:dyDescent="0.25">
      <c r="A90" t="s">
        <v>3994</v>
      </c>
    </row>
    <row r="91" spans="1:3" x14ac:dyDescent="0.25">
      <c r="A91" t="s">
        <v>6932</v>
      </c>
    </row>
    <row r="92" spans="1:3" x14ac:dyDescent="0.25">
      <c r="A92" t="s">
        <v>6933</v>
      </c>
    </row>
    <row r="93" spans="1:3" x14ac:dyDescent="0.25">
      <c r="A93" t="s">
        <v>6934</v>
      </c>
    </row>
    <row r="94" spans="1:3" x14ac:dyDescent="0.25">
      <c r="A94" t="s">
        <v>6935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1" t="s">
        <v>2020</v>
      </c>
      <c r="D2" s="104" t="s">
        <v>6677</v>
      </c>
    </row>
    <row r="3" spans="2:5" x14ac:dyDescent="0.25">
      <c r="B3" s="108" t="s">
        <v>3749</v>
      </c>
      <c r="C3" s="109" t="s">
        <v>2017</v>
      </c>
    </row>
    <row r="4" spans="2:5" x14ac:dyDescent="0.25">
      <c r="B4" s="110" t="s">
        <v>3750</v>
      </c>
      <c r="C4" s="111" t="s">
        <v>2018</v>
      </c>
    </row>
    <row r="5" spans="2:5" x14ac:dyDescent="0.25">
      <c r="B5" s="110" t="s">
        <v>3751</v>
      </c>
      <c r="C5" s="111" t="s">
        <v>2019</v>
      </c>
    </row>
    <row r="6" spans="2:5" x14ac:dyDescent="0.25">
      <c r="B6" s="110" t="s">
        <v>3752</v>
      </c>
      <c r="C6" s="111" t="s">
        <v>3746</v>
      </c>
    </row>
    <row r="7" spans="2:5" x14ac:dyDescent="0.25">
      <c r="B7" s="112" t="s">
        <v>3747</v>
      </c>
      <c r="C7" s="113" t="s">
        <v>2021</v>
      </c>
    </row>
    <row r="8" spans="2:5" s="9" customFormat="1" ht="101.25" customHeight="1" x14ac:dyDescent="0.25">
      <c r="B8" s="181" t="s">
        <v>3753</v>
      </c>
      <c r="C8" s="181"/>
    </row>
    <row r="10" spans="2:5" x14ac:dyDescent="0.25">
      <c r="B10" s="105" t="s">
        <v>6672</v>
      </c>
      <c r="C10" s="106" t="s">
        <v>6671</v>
      </c>
      <c r="D10" s="104" t="s">
        <v>6673</v>
      </c>
    </row>
    <row r="11" spans="2:5" s="9" customFormat="1" ht="204.75" customHeight="1" x14ac:dyDescent="0.25">
      <c r="B11" s="181" t="s">
        <v>6675</v>
      </c>
      <c r="C11" s="181"/>
    </row>
    <row r="12" spans="2:5" s="9" customFormat="1" ht="16.5" customHeight="1" x14ac:dyDescent="0.25">
      <c r="B12" s="68"/>
      <c r="C12" s="68"/>
    </row>
    <row r="13" spans="2:5" ht="29.25" customHeight="1" x14ac:dyDescent="0.25">
      <c r="B13" s="107" t="s">
        <v>6674</v>
      </c>
      <c r="C13" s="106" t="s">
        <v>4036</v>
      </c>
      <c r="D13" s="104" t="s">
        <v>6676</v>
      </c>
    </row>
    <row r="14" spans="2:5" s="9" customFormat="1" ht="123.75" customHeight="1" x14ac:dyDescent="0.25">
      <c r="B14" s="181" t="s">
        <v>4037</v>
      </c>
      <c r="C14" s="181"/>
      <c r="E14" s="68" t="s">
        <v>6678</v>
      </c>
    </row>
  </sheetData>
  <mergeCells count="3">
    <mergeCell ref="B8:C8"/>
    <mergeCell ref="B14:C14"/>
    <mergeCell ref="B11:C1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6750</v>
      </c>
      <c r="B1" s="2"/>
      <c r="C1" s="2" t="s">
        <v>6742</v>
      </c>
      <c r="D1" s="2"/>
      <c r="E1" s="2" t="s">
        <v>4038</v>
      </c>
      <c r="F1" s="2"/>
      <c r="G1" s="2" t="s">
        <v>6743</v>
      </c>
      <c r="H1" s="2"/>
      <c r="I1" s="2" t="s">
        <v>6744</v>
      </c>
      <c r="J1" s="2"/>
      <c r="K1" s="2" t="s">
        <v>6754</v>
      </c>
      <c r="L1" s="2"/>
      <c r="M1" s="2" t="s">
        <v>6746</v>
      </c>
      <c r="N1" s="2"/>
      <c r="O1" s="2" t="s">
        <v>6747</v>
      </c>
      <c r="P1" s="2"/>
      <c r="Q1" s="2" t="s">
        <v>6748</v>
      </c>
      <c r="R1" s="2"/>
      <c r="S1" s="2" t="s">
        <v>4040</v>
      </c>
      <c r="U1" t="s">
        <v>6749</v>
      </c>
      <c r="W1" t="s">
        <v>4074</v>
      </c>
    </row>
    <row r="2" spans="1:23" x14ac:dyDescent="0.25">
      <c r="A2" t="s">
        <v>4038</v>
      </c>
      <c r="C2" t="s">
        <v>6736</v>
      </c>
      <c r="E2" t="s">
        <v>6751</v>
      </c>
      <c r="G2" t="s">
        <v>6752</v>
      </c>
      <c r="I2" t="s">
        <v>6753</v>
      </c>
      <c r="K2" t="s">
        <v>6755</v>
      </c>
      <c r="M2" t="s">
        <v>6753</v>
      </c>
      <c r="O2" t="s">
        <v>6755</v>
      </c>
      <c r="Q2" t="s">
        <v>6753</v>
      </c>
      <c r="S2" t="s">
        <v>6756</v>
      </c>
      <c r="U2" t="s">
        <v>6753</v>
      </c>
      <c r="W2" t="s">
        <v>6755</v>
      </c>
    </row>
    <row r="3" spans="1:23" x14ac:dyDescent="0.25">
      <c r="A3" t="s">
        <v>6742</v>
      </c>
    </row>
    <row r="4" spans="1:23" x14ac:dyDescent="0.25">
      <c r="A4" t="s">
        <v>6743</v>
      </c>
    </row>
    <row r="5" spans="1:23" x14ac:dyDescent="0.25">
      <c r="A5" t="s">
        <v>6744</v>
      </c>
    </row>
    <row r="6" spans="1:23" x14ac:dyDescent="0.25">
      <c r="A6" t="s">
        <v>6745</v>
      </c>
    </row>
    <row r="7" spans="1:23" x14ac:dyDescent="0.25">
      <c r="A7" t="s">
        <v>6746</v>
      </c>
    </row>
    <row r="8" spans="1:23" x14ac:dyDescent="0.25">
      <c r="A8" t="s">
        <v>6747</v>
      </c>
    </row>
    <row r="9" spans="1:23" x14ac:dyDescent="0.25">
      <c r="A9" t="s">
        <v>6748</v>
      </c>
    </row>
    <row r="10" spans="1:23" x14ac:dyDescent="0.25">
      <c r="A10" t="s">
        <v>4040</v>
      </c>
    </row>
    <row r="11" spans="1:23" x14ac:dyDescent="0.25">
      <c r="A11" t="s">
        <v>6749</v>
      </c>
    </row>
    <row r="12" spans="1:23" x14ac:dyDescent="0.25">
      <c r="A12" t="s">
        <v>4074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82" t="s">
        <v>6692</v>
      </c>
      <c r="C2" s="182"/>
      <c r="D2" s="182"/>
      <c r="E2" s="182"/>
      <c r="F2" s="182"/>
      <c r="G2" s="182"/>
      <c r="H2" s="182"/>
      <c r="I2" s="182"/>
      <c r="J2" s="182"/>
      <c r="K2" s="182"/>
      <c r="L2" s="182"/>
    </row>
  </sheetData>
  <mergeCells count="1">
    <mergeCell ref="B2:L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F0E91-D13C-43C7-8DC0-0B6001E2515F}">
  <sheetPr codeName="Sheet29"/>
  <dimension ref="A1:A373"/>
  <sheetViews>
    <sheetView workbookViewId="0">
      <selection activeCell="K15" sqref="K15"/>
    </sheetView>
  </sheetViews>
  <sheetFormatPr defaultRowHeight="15" x14ac:dyDescent="0.25"/>
  <cols>
    <col min="1" max="1" width="11.5703125" customWidth="1"/>
  </cols>
  <sheetData>
    <row r="1" spans="1:1" x14ac:dyDescent="0.25">
      <c r="A1" s="179" t="s">
        <v>7084</v>
      </c>
    </row>
    <row r="2" spans="1:1" x14ac:dyDescent="0.25">
      <c r="A2" s="180" t="s">
        <v>786</v>
      </c>
    </row>
    <row r="3" spans="1:1" x14ac:dyDescent="0.25">
      <c r="A3" s="180" t="s">
        <v>703</v>
      </c>
    </row>
    <row r="4" spans="1:1" x14ac:dyDescent="0.25">
      <c r="A4" s="180" t="s">
        <v>7085</v>
      </c>
    </row>
    <row r="5" spans="1:1" x14ac:dyDescent="0.25">
      <c r="A5" s="180" t="s">
        <v>3163</v>
      </c>
    </row>
    <row r="6" spans="1:1" x14ac:dyDescent="0.25">
      <c r="A6" s="180" t="s">
        <v>2307</v>
      </c>
    </row>
    <row r="7" spans="1:1" x14ac:dyDescent="0.25">
      <c r="A7" s="180" t="s">
        <v>3345</v>
      </c>
    </row>
    <row r="8" spans="1:1" x14ac:dyDescent="0.25">
      <c r="A8" s="180" t="s">
        <v>450</v>
      </c>
    </row>
    <row r="9" spans="1:1" x14ac:dyDescent="0.25">
      <c r="A9" s="180" t="s">
        <v>7086</v>
      </c>
    </row>
    <row r="10" spans="1:1" x14ac:dyDescent="0.25">
      <c r="A10" s="180" t="s">
        <v>1448</v>
      </c>
    </row>
    <row r="11" spans="1:1" x14ac:dyDescent="0.25">
      <c r="A11" s="180" t="s">
        <v>7087</v>
      </c>
    </row>
    <row r="12" spans="1:1" x14ac:dyDescent="0.25">
      <c r="A12" s="180" t="s">
        <v>7088</v>
      </c>
    </row>
    <row r="13" spans="1:1" x14ac:dyDescent="0.25">
      <c r="A13" s="180" t="s">
        <v>7089</v>
      </c>
    </row>
    <row r="14" spans="1:1" x14ac:dyDescent="0.25">
      <c r="A14" s="180" t="s">
        <v>2669</v>
      </c>
    </row>
    <row r="15" spans="1:1" x14ac:dyDescent="0.25">
      <c r="A15" s="180" t="s">
        <v>2111</v>
      </c>
    </row>
    <row r="16" spans="1:1" x14ac:dyDescent="0.25">
      <c r="A16" s="180" t="s">
        <v>608</v>
      </c>
    </row>
    <row r="17" spans="1:1" x14ac:dyDescent="0.25">
      <c r="A17" s="180" t="s">
        <v>7090</v>
      </c>
    </row>
    <row r="18" spans="1:1" x14ac:dyDescent="0.25">
      <c r="A18" s="180" t="s">
        <v>7091</v>
      </c>
    </row>
    <row r="19" spans="1:1" x14ac:dyDescent="0.25">
      <c r="A19" s="180" t="s">
        <v>7092</v>
      </c>
    </row>
    <row r="20" spans="1:1" x14ac:dyDescent="0.25">
      <c r="A20" s="180" t="s">
        <v>2528</v>
      </c>
    </row>
    <row r="21" spans="1:1" x14ac:dyDescent="0.25">
      <c r="A21" s="180" t="s">
        <v>3601</v>
      </c>
    </row>
    <row r="22" spans="1:1" x14ac:dyDescent="0.25">
      <c r="A22" s="180" t="s">
        <v>2173</v>
      </c>
    </row>
    <row r="23" spans="1:1" x14ac:dyDescent="0.25">
      <c r="A23" s="180" t="s">
        <v>782</v>
      </c>
    </row>
    <row r="24" spans="1:1" x14ac:dyDescent="0.25">
      <c r="A24" s="180" t="s">
        <v>7093</v>
      </c>
    </row>
    <row r="25" spans="1:1" x14ac:dyDescent="0.25">
      <c r="A25" s="180" t="s">
        <v>3823</v>
      </c>
    </row>
    <row r="26" spans="1:1" x14ac:dyDescent="0.25">
      <c r="A26" s="180" t="s">
        <v>7094</v>
      </c>
    </row>
    <row r="27" spans="1:1" x14ac:dyDescent="0.25">
      <c r="A27" s="180" t="s">
        <v>7095</v>
      </c>
    </row>
    <row r="28" spans="1:1" x14ac:dyDescent="0.25">
      <c r="A28" s="180" t="s">
        <v>7096</v>
      </c>
    </row>
    <row r="29" spans="1:1" x14ac:dyDescent="0.25">
      <c r="A29" s="180" t="s">
        <v>2811</v>
      </c>
    </row>
    <row r="30" spans="1:1" x14ac:dyDescent="0.25">
      <c r="A30" s="180" t="s">
        <v>2821</v>
      </c>
    </row>
    <row r="31" spans="1:1" x14ac:dyDescent="0.25">
      <c r="A31" s="180" t="s">
        <v>3668</v>
      </c>
    </row>
    <row r="32" spans="1:1" x14ac:dyDescent="0.25">
      <c r="A32" s="180" t="s">
        <v>3337</v>
      </c>
    </row>
    <row r="33" spans="1:1" x14ac:dyDescent="0.25">
      <c r="A33" s="180" t="s">
        <v>7097</v>
      </c>
    </row>
    <row r="34" spans="1:1" x14ac:dyDescent="0.25">
      <c r="A34" s="180" t="s">
        <v>7098</v>
      </c>
    </row>
    <row r="35" spans="1:1" x14ac:dyDescent="0.25">
      <c r="A35" s="180" t="s">
        <v>3768</v>
      </c>
    </row>
    <row r="36" spans="1:1" x14ac:dyDescent="0.25">
      <c r="A36" s="180" t="s">
        <v>7099</v>
      </c>
    </row>
    <row r="37" spans="1:1" x14ac:dyDescent="0.25">
      <c r="A37" s="180" t="s">
        <v>2441</v>
      </c>
    </row>
    <row r="38" spans="1:1" x14ac:dyDescent="0.25">
      <c r="A38" s="180" t="s">
        <v>7100</v>
      </c>
    </row>
    <row r="39" spans="1:1" x14ac:dyDescent="0.25">
      <c r="A39" s="180" t="s">
        <v>1925</v>
      </c>
    </row>
    <row r="40" spans="1:1" x14ac:dyDescent="0.25">
      <c r="A40" s="180" t="s">
        <v>1977</v>
      </c>
    </row>
    <row r="41" spans="1:1" x14ac:dyDescent="0.25">
      <c r="A41" s="180" t="s">
        <v>3841</v>
      </c>
    </row>
    <row r="42" spans="1:1" x14ac:dyDescent="0.25">
      <c r="A42" s="180" t="s">
        <v>7101</v>
      </c>
    </row>
    <row r="43" spans="1:1" x14ac:dyDescent="0.25">
      <c r="A43" s="180" t="s">
        <v>7102</v>
      </c>
    </row>
    <row r="44" spans="1:1" x14ac:dyDescent="0.25">
      <c r="A44" s="180" t="s">
        <v>3508</v>
      </c>
    </row>
    <row r="45" spans="1:1" x14ac:dyDescent="0.25">
      <c r="A45" s="180" t="s">
        <v>2467</v>
      </c>
    </row>
    <row r="46" spans="1:1" x14ac:dyDescent="0.25">
      <c r="A46" s="180" t="s">
        <v>3843</v>
      </c>
    </row>
    <row r="47" spans="1:1" x14ac:dyDescent="0.25">
      <c r="A47" s="180" t="s">
        <v>7103</v>
      </c>
    </row>
    <row r="48" spans="1:1" x14ac:dyDescent="0.25">
      <c r="A48" s="180" t="s">
        <v>2204</v>
      </c>
    </row>
    <row r="49" spans="1:1" x14ac:dyDescent="0.25">
      <c r="A49" s="180" t="s">
        <v>6760</v>
      </c>
    </row>
    <row r="50" spans="1:1" x14ac:dyDescent="0.25">
      <c r="A50" s="180" t="s">
        <v>7104</v>
      </c>
    </row>
    <row r="51" spans="1:1" x14ac:dyDescent="0.25">
      <c r="A51" s="180" t="s">
        <v>7105</v>
      </c>
    </row>
    <row r="52" spans="1:1" x14ac:dyDescent="0.25">
      <c r="A52" s="180" t="s">
        <v>7106</v>
      </c>
    </row>
    <row r="53" spans="1:1" x14ac:dyDescent="0.25">
      <c r="A53" s="180" t="s">
        <v>532</v>
      </c>
    </row>
    <row r="54" spans="1:1" x14ac:dyDescent="0.25">
      <c r="A54" s="180" t="s">
        <v>3415</v>
      </c>
    </row>
    <row r="55" spans="1:1" x14ac:dyDescent="0.25">
      <c r="A55" s="180" t="s">
        <v>7107</v>
      </c>
    </row>
    <row r="56" spans="1:1" x14ac:dyDescent="0.25">
      <c r="A56" s="180" t="s">
        <v>7108</v>
      </c>
    </row>
    <row r="57" spans="1:1" x14ac:dyDescent="0.25">
      <c r="A57" s="180" t="s">
        <v>7109</v>
      </c>
    </row>
    <row r="58" spans="1:1" x14ac:dyDescent="0.25">
      <c r="A58" s="180" t="s">
        <v>7110</v>
      </c>
    </row>
    <row r="59" spans="1:1" x14ac:dyDescent="0.25">
      <c r="A59" s="180" t="s">
        <v>753</v>
      </c>
    </row>
    <row r="60" spans="1:1" x14ac:dyDescent="0.25">
      <c r="A60" s="180" t="s">
        <v>7111</v>
      </c>
    </row>
    <row r="61" spans="1:1" x14ac:dyDescent="0.25">
      <c r="A61" s="180" t="s">
        <v>7112</v>
      </c>
    </row>
    <row r="62" spans="1:1" x14ac:dyDescent="0.25">
      <c r="A62" s="180" t="s">
        <v>3759</v>
      </c>
    </row>
    <row r="63" spans="1:1" x14ac:dyDescent="0.25">
      <c r="A63" s="180" t="s">
        <v>3850</v>
      </c>
    </row>
    <row r="64" spans="1:1" x14ac:dyDescent="0.25">
      <c r="A64" s="180" t="s">
        <v>2032</v>
      </c>
    </row>
    <row r="65" spans="1:1" x14ac:dyDescent="0.25">
      <c r="A65" s="180" t="s">
        <v>7113</v>
      </c>
    </row>
    <row r="66" spans="1:1" x14ac:dyDescent="0.25">
      <c r="A66" s="180" t="s">
        <v>3703</v>
      </c>
    </row>
    <row r="67" spans="1:1" x14ac:dyDescent="0.25">
      <c r="A67" s="180" t="s">
        <v>1424</v>
      </c>
    </row>
    <row r="68" spans="1:1" x14ac:dyDescent="0.25">
      <c r="A68" s="180" t="s">
        <v>3056</v>
      </c>
    </row>
    <row r="69" spans="1:1" x14ac:dyDescent="0.25">
      <c r="A69" s="180" t="s">
        <v>3070</v>
      </c>
    </row>
    <row r="70" spans="1:1" x14ac:dyDescent="0.25">
      <c r="A70" s="180" t="s">
        <v>1688</v>
      </c>
    </row>
    <row r="71" spans="1:1" x14ac:dyDescent="0.25">
      <c r="A71" s="180" t="s">
        <v>7114</v>
      </c>
    </row>
    <row r="72" spans="1:1" x14ac:dyDescent="0.25">
      <c r="A72" s="180" t="s">
        <v>7115</v>
      </c>
    </row>
    <row r="73" spans="1:1" x14ac:dyDescent="0.25">
      <c r="A73" s="180" t="s">
        <v>7116</v>
      </c>
    </row>
    <row r="74" spans="1:1" x14ac:dyDescent="0.25">
      <c r="A74" s="180" t="s">
        <v>7117</v>
      </c>
    </row>
    <row r="75" spans="1:1" x14ac:dyDescent="0.25">
      <c r="A75" s="180" t="s">
        <v>2493</v>
      </c>
    </row>
    <row r="76" spans="1:1" x14ac:dyDescent="0.25">
      <c r="A76" s="180" t="s">
        <v>2072</v>
      </c>
    </row>
    <row r="77" spans="1:1" x14ac:dyDescent="0.25">
      <c r="A77" s="180" t="s">
        <v>2198</v>
      </c>
    </row>
    <row r="78" spans="1:1" x14ac:dyDescent="0.25">
      <c r="A78" s="180" t="s">
        <v>3863</v>
      </c>
    </row>
    <row r="79" spans="1:1" x14ac:dyDescent="0.25">
      <c r="A79" s="180" t="s">
        <v>7118</v>
      </c>
    </row>
    <row r="80" spans="1:1" x14ac:dyDescent="0.25">
      <c r="A80" s="180" t="s">
        <v>7119</v>
      </c>
    </row>
    <row r="81" spans="1:1" x14ac:dyDescent="0.25">
      <c r="A81" s="180" t="s">
        <v>7120</v>
      </c>
    </row>
    <row r="82" spans="1:1" x14ac:dyDescent="0.25">
      <c r="A82" s="180" t="s">
        <v>452</v>
      </c>
    </row>
    <row r="83" spans="1:1" x14ac:dyDescent="0.25">
      <c r="A83" s="180" t="s">
        <v>2652</v>
      </c>
    </row>
    <row r="84" spans="1:1" x14ac:dyDescent="0.25">
      <c r="A84" s="180" t="s">
        <v>7121</v>
      </c>
    </row>
    <row r="85" spans="1:1" x14ac:dyDescent="0.25">
      <c r="A85" s="180" t="s">
        <v>7122</v>
      </c>
    </row>
    <row r="86" spans="1:1" x14ac:dyDescent="0.25">
      <c r="A86" s="180" t="s">
        <v>7123</v>
      </c>
    </row>
    <row r="87" spans="1:1" x14ac:dyDescent="0.25">
      <c r="A87" s="180" t="s">
        <v>1933</v>
      </c>
    </row>
    <row r="88" spans="1:1" x14ac:dyDescent="0.25">
      <c r="A88" s="180" t="s">
        <v>7124</v>
      </c>
    </row>
    <row r="89" spans="1:1" x14ac:dyDescent="0.25">
      <c r="A89" s="180" t="s">
        <v>7125</v>
      </c>
    </row>
    <row r="90" spans="1:1" x14ac:dyDescent="0.25">
      <c r="A90" s="180" t="s">
        <v>7126</v>
      </c>
    </row>
    <row r="91" spans="1:1" x14ac:dyDescent="0.25">
      <c r="A91" s="180" t="s">
        <v>7127</v>
      </c>
    </row>
    <row r="92" spans="1:1" x14ac:dyDescent="0.25">
      <c r="A92" s="180" t="s">
        <v>7128</v>
      </c>
    </row>
    <row r="93" spans="1:1" x14ac:dyDescent="0.25">
      <c r="A93" s="180" t="s">
        <v>661</v>
      </c>
    </row>
    <row r="94" spans="1:1" x14ac:dyDescent="0.25">
      <c r="A94" s="180" t="s">
        <v>3185</v>
      </c>
    </row>
    <row r="95" spans="1:1" x14ac:dyDescent="0.25">
      <c r="A95" s="180" t="s">
        <v>495</v>
      </c>
    </row>
    <row r="96" spans="1:1" x14ac:dyDescent="0.25">
      <c r="A96" s="180" t="s">
        <v>7129</v>
      </c>
    </row>
    <row r="97" spans="1:1" x14ac:dyDescent="0.25">
      <c r="A97" s="180" t="s">
        <v>2915</v>
      </c>
    </row>
    <row r="98" spans="1:1" x14ac:dyDescent="0.25">
      <c r="A98" s="180" t="s">
        <v>3451</v>
      </c>
    </row>
    <row r="99" spans="1:1" x14ac:dyDescent="0.25">
      <c r="A99" s="180" t="s">
        <v>3514</v>
      </c>
    </row>
    <row r="100" spans="1:1" x14ac:dyDescent="0.25">
      <c r="A100" s="180" t="s">
        <v>7130</v>
      </c>
    </row>
    <row r="101" spans="1:1" x14ac:dyDescent="0.25">
      <c r="A101" s="180" t="s">
        <v>709</v>
      </c>
    </row>
    <row r="102" spans="1:1" x14ac:dyDescent="0.25">
      <c r="A102" s="180" t="s">
        <v>3341</v>
      </c>
    </row>
    <row r="103" spans="1:1" x14ac:dyDescent="0.25">
      <c r="A103" s="180" t="s">
        <v>7065</v>
      </c>
    </row>
    <row r="104" spans="1:1" x14ac:dyDescent="0.25">
      <c r="A104" s="180" t="s">
        <v>3713</v>
      </c>
    </row>
    <row r="105" spans="1:1" x14ac:dyDescent="0.25">
      <c r="A105" s="180" t="s">
        <v>3098</v>
      </c>
    </row>
    <row r="106" spans="1:1" x14ac:dyDescent="0.25">
      <c r="A106" s="180" t="s">
        <v>7131</v>
      </c>
    </row>
    <row r="107" spans="1:1" x14ac:dyDescent="0.25">
      <c r="A107" s="180" t="s">
        <v>1584</v>
      </c>
    </row>
    <row r="108" spans="1:1" x14ac:dyDescent="0.25">
      <c r="A108" s="180" t="s">
        <v>2540</v>
      </c>
    </row>
    <row r="109" spans="1:1" x14ac:dyDescent="0.25">
      <c r="A109" s="180" t="s">
        <v>7132</v>
      </c>
    </row>
    <row r="110" spans="1:1" x14ac:dyDescent="0.25">
      <c r="A110" s="180" t="s">
        <v>1919</v>
      </c>
    </row>
    <row r="111" spans="1:1" x14ac:dyDescent="0.25">
      <c r="A111" s="180" t="s">
        <v>2626</v>
      </c>
    </row>
    <row r="112" spans="1:1" x14ac:dyDescent="0.25">
      <c r="A112" s="180" t="s">
        <v>3875</v>
      </c>
    </row>
    <row r="113" spans="1:1" x14ac:dyDescent="0.25">
      <c r="A113" s="180" t="s">
        <v>7133</v>
      </c>
    </row>
    <row r="114" spans="1:1" x14ac:dyDescent="0.25">
      <c r="A114" s="180" t="s">
        <v>2343</v>
      </c>
    </row>
    <row r="115" spans="1:1" x14ac:dyDescent="0.25">
      <c r="A115" s="180" t="s">
        <v>7134</v>
      </c>
    </row>
    <row r="116" spans="1:1" x14ac:dyDescent="0.25">
      <c r="A116" s="180" t="s">
        <v>521</v>
      </c>
    </row>
    <row r="117" spans="1:1" x14ac:dyDescent="0.25">
      <c r="A117" s="180" t="s">
        <v>7135</v>
      </c>
    </row>
    <row r="118" spans="1:1" x14ac:dyDescent="0.25">
      <c r="A118" s="180" t="s">
        <v>3407</v>
      </c>
    </row>
    <row r="119" spans="1:1" x14ac:dyDescent="0.25">
      <c r="A119" s="180" t="s">
        <v>3590</v>
      </c>
    </row>
    <row r="120" spans="1:1" x14ac:dyDescent="0.25">
      <c r="A120" s="180" t="s">
        <v>2075</v>
      </c>
    </row>
    <row r="121" spans="1:1" x14ac:dyDescent="0.25">
      <c r="A121" s="180" t="s">
        <v>6970</v>
      </c>
    </row>
    <row r="122" spans="1:1" x14ac:dyDescent="0.25">
      <c r="A122" s="180" t="s">
        <v>7136</v>
      </c>
    </row>
    <row r="123" spans="1:1" x14ac:dyDescent="0.25">
      <c r="A123" s="180" t="s">
        <v>1343</v>
      </c>
    </row>
    <row r="124" spans="1:1" x14ac:dyDescent="0.25">
      <c r="A124" s="180" t="s">
        <v>3534</v>
      </c>
    </row>
    <row r="125" spans="1:1" x14ac:dyDescent="0.25">
      <c r="A125" s="180" t="s">
        <v>7137</v>
      </c>
    </row>
    <row r="126" spans="1:1" x14ac:dyDescent="0.25">
      <c r="A126" s="180" t="s">
        <v>1857</v>
      </c>
    </row>
    <row r="127" spans="1:1" x14ac:dyDescent="0.25">
      <c r="A127" s="180" t="s">
        <v>7138</v>
      </c>
    </row>
    <row r="128" spans="1:1" x14ac:dyDescent="0.25">
      <c r="A128" s="180" t="s">
        <v>3883</v>
      </c>
    </row>
    <row r="129" spans="1:1" x14ac:dyDescent="0.25">
      <c r="A129" s="180" t="s">
        <v>3776</v>
      </c>
    </row>
    <row r="130" spans="1:1" x14ac:dyDescent="0.25">
      <c r="A130" s="180" t="s">
        <v>7139</v>
      </c>
    </row>
    <row r="131" spans="1:1" x14ac:dyDescent="0.25">
      <c r="A131" s="180" t="s">
        <v>7140</v>
      </c>
    </row>
    <row r="132" spans="1:1" x14ac:dyDescent="0.25">
      <c r="A132" s="180" t="s">
        <v>2278</v>
      </c>
    </row>
    <row r="133" spans="1:1" x14ac:dyDescent="0.25">
      <c r="A133" s="180" t="s">
        <v>7141</v>
      </c>
    </row>
    <row r="134" spans="1:1" x14ac:dyDescent="0.25">
      <c r="A134" s="180" t="s">
        <v>7142</v>
      </c>
    </row>
    <row r="135" spans="1:1" x14ac:dyDescent="0.25">
      <c r="A135" s="180" t="s">
        <v>2571</v>
      </c>
    </row>
    <row r="136" spans="1:1" x14ac:dyDescent="0.25">
      <c r="A136" s="180" t="s">
        <v>7143</v>
      </c>
    </row>
    <row r="137" spans="1:1" x14ac:dyDescent="0.25">
      <c r="A137" s="180" t="s">
        <v>7144</v>
      </c>
    </row>
    <row r="138" spans="1:1" x14ac:dyDescent="0.25">
      <c r="A138" s="180" t="s">
        <v>1320</v>
      </c>
    </row>
    <row r="139" spans="1:1" x14ac:dyDescent="0.25">
      <c r="A139" s="180" t="s">
        <v>7145</v>
      </c>
    </row>
    <row r="140" spans="1:1" x14ac:dyDescent="0.25">
      <c r="A140" s="180" t="s">
        <v>421</v>
      </c>
    </row>
    <row r="141" spans="1:1" x14ac:dyDescent="0.25">
      <c r="A141" s="180" t="s">
        <v>7146</v>
      </c>
    </row>
    <row r="142" spans="1:1" x14ac:dyDescent="0.25">
      <c r="A142" s="180" t="s">
        <v>7147</v>
      </c>
    </row>
    <row r="143" spans="1:1" x14ac:dyDescent="0.25">
      <c r="A143" s="180" t="s">
        <v>3654</v>
      </c>
    </row>
    <row r="144" spans="1:1" x14ac:dyDescent="0.25">
      <c r="A144" s="180" t="s">
        <v>7148</v>
      </c>
    </row>
    <row r="145" spans="1:1" x14ac:dyDescent="0.25">
      <c r="A145" s="180" t="s">
        <v>7149</v>
      </c>
    </row>
    <row r="146" spans="1:1" x14ac:dyDescent="0.25">
      <c r="A146" s="180" t="s">
        <v>7057</v>
      </c>
    </row>
    <row r="147" spans="1:1" x14ac:dyDescent="0.25">
      <c r="A147" s="180" t="s">
        <v>3889</v>
      </c>
    </row>
    <row r="148" spans="1:1" x14ac:dyDescent="0.25">
      <c r="A148" s="180" t="s">
        <v>2026</v>
      </c>
    </row>
    <row r="149" spans="1:1" x14ac:dyDescent="0.25">
      <c r="A149" s="180" t="s">
        <v>531</v>
      </c>
    </row>
    <row r="150" spans="1:1" x14ac:dyDescent="0.25">
      <c r="A150" s="180" t="s">
        <v>7150</v>
      </c>
    </row>
    <row r="151" spans="1:1" x14ac:dyDescent="0.25">
      <c r="A151" s="180" t="s">
        <v>2126</v>
      </c>
    </row>
    <row r="152" spans="1:1" x14ac:dyDescent="0.25">
      <c r="A152" s="180" t="s">
        <v>7151</v>
      </c>
    </row>
    <row r="153" spans="1:1" x14ac:dyDescent="0.25">
      <c r="A153" s="180" t="s">
        <v>2757</v>
      </c>
    </row>
    <row r="154" spans="1:1" x14ac:dyDescent="0.25">
      <c r="A154" s="180" t="s">
        <v>3893</v>
      </c>
    </row>
    <row r="155" spans="1:1" x14ac:dyDescent="0.25">
      <c r="A155" s="180" t="s">
        <v>7152</v>
      </c>
    </row>
    <row r="156" spans="1:1" x14ac:dyDescent="0.25">
      <c r="A156" s="180" t="s">
        <v>694</v>
      </c>
    </row>
    <row r="157" spans="1:1" x14ac:dyDescent="0.25">
      <c r="A157" s="180" t="s">
        <v>7153</v>
      </c>
    </row>
    <row r="158" spans="1:1" x14ac:dyDescent="0.25">
      <c r="A158" s="180" t="s">
        <v>7154</v>
      </c>
    </row>
    <row r="159" spans="1:1" x14ac:dyDescent="0.25">
      <c r="A159" s="180" t="s">
        <v>1364</v>
      </c>
    </row>
    <row r="160" spans="1:1" x14ac:dyDescent="0.25">
      <c r="A160" s="180" t="s">
        <v>7155</v>
      </c>
    </row>
    <row r="161" spans="1:1" x14ac:dyDescent="0.25">
      <c r="A161" s="180" t="s">
        <v>2923</v>
      </c>
    </row>
    <row r="162" spans="1:1" x14ac:dyDescent="0.25">
      <c r="A162" s="180" t="s">
        <v>777</v>
      </c>
    </row>
    <row r="163" spans="1:1" x14ac:dyDescent="0.25">
      <c r="A163" s="180" t="s">
        <v>1809</v>
      </c>
    </row>
    <row r="164" spans="1:1" x14ac:dyDescent="0.25">
      <c r="A164" s="180" t="s">
        <v>7156</v>
      </c>
    </row>
    <row r="165" spans="1:1" x14ac:dyDescent="0.25">
      <c r="A165" s="180" t="s">
        <v>1489</v>
      </c>
    </row>
    <row r="166" spans="1:1" x14ac:dyDescent="0.25">
      <c r="A166" s="180" t="s">
        <v>3898</v>
      </c>
    </row>
    <row r="167" spans="1:1" x14ac:dyDescent="0.25">
      <c r="A167" s="180" t="s">
        <v>3784</v>
      </c>
    </row>
    <row r="168" spans="1:1" x14ac:dyDescent="0.25">
      <c r="A168" s="180" t="s">
        <v>3660</v>
      </c>
    </row>
    <row r="169" spans="1:1" x14ac:dyDescent="0.25">
      <c r="A169" s="180" t="s">
        <v>7157</v>
      </c>
    </row>
    <row r="170" spans="1:1" x14ac:dyDescent="0.25">
      <c r="A170" s="180" t="s">
        <v>3900</v>
      </c>
    </row>
    <row r="171" spans="1:1" x14ac:dyDescent="0.25">
      <c r="A171" s="180" t="s">
        <v>7158</v>
      </c>
    </row>
    <row r="172" spans="1:1" x14ac:dyDescent="0.25">
      <c r="A172" s="180" t="s">
        <v>1593</v>
      </c>
    </row>
    <row r="173" spans="1:1" x14ac:dyDescent="0.25">
      <c r="A173" s="180" t="s">
        <v>3785</v>
      </c>
    </row>
    <row r="174" spans="1:1" x14ac:dyDescent="0.25">
      <c r="A174" s="180" t="s">
        <v>3632</v>
      </c>
    </row>
    <row r="175" spans="1:1" x14ac:dyDescent="0.25">
      <c r="A175" s="180" t="s">
        <v>7159</v>
      </c>
    </row>
    <row r="176" spans="1:1" x14ac:dyDescent="0.25">
      <c r="A176" s="180" t="s">
        <v>6987</v>
      </c>
    </row>
    <row r="177" spans="1:1" x14ac:dyDescent="0.25">
      <c r="A177" s="180" t="s">
        <v>3411</v>
      </c>
    </row>
    <row r="178" spans="1:1" x14ac:dyDescent="0.25">
      <c r="A178" s="180" t="s">
        <v>2178</v>
      </c>
    </row>
    <row r="179" spans="1:1" x14ac:dyDescent="0.25">
      <c r="A179" s="180" t="s">
        <v>7160</v>
      </c>
    </row>
    <row r="180" spans="1:1" x14ac:dyDescent="0.25">
      <c r="A180" s="180" t="s">
        <v>664</v>
      </c>
    </row>
    <row r="181" spans="1:1" x14ac:dyDescent="0.25">
      <c r="A181" s="180" t="s">
        <v>750</v>
      </c>
    </row>
    <row r="182" spans="1:1" x14ac:dyDescent="0.25">
      <c r="A182" s="180" t="s">
        <v>7161</v>
      </c>
    </row>
    <row r="183" spans="1:1" x14ac:dyDescent="0.25">
      <c r="A183" s="180" t="s">
        <v>7162</v>
      </c>
    </row>
    <row r="184" spans="1:1" x14ac:dyDescent="0.25">
      <c r="A184" s="180" t="s">
        <v>6764</v>
      </c>
    </row>
    <row r="185" spans="1:1" x14ac:dyDescent="0.25">
      <c r="A185" s="180" t="s">
        <v>2241</v>
      </c>
    </row>
    <row r="186" spans="1:1" x14ac:dyDescent="0.25">
      <c r="A186" s="180" t="s">
        <v>2206</v>
      </c>
    </row>
    <row r="187" spans="1:1" x14ac:dyDescent="0.25">
      <c r="A187" s="180" t="s">
        <v>520</v>
      </c>
    </row>
    <row r="188" spans="1:1" x14ac:dyDescent="0.25">
      <c r="A188" s="180" t="s">
        <v>2012</v>
      </c>
    </row>
    <row r="189" spans="1:1" x14ac:dyDescent="0.25">
      <c r="A189" s="180" t="s">
        <v>296</v>
      </c>
    </row>
    <row r="190" spans="1:1" x14ac:dyDescent="0.25">
      <c r="A190" s="180" t="s">
        <v>7163</v>
      </c>
    </row>
    <row r="191" spans="1:1" x14ac:dyDescent="0.25">
      <c r="A191" s="180" t="s">
        <v>1580</v>
      </c>
    </row>
    <row r="192" spans="1:1" x14ac:dyDescent="0.25">
      <c r="A192" s="180" t="s">
        <v>7164</v>
      </c>
    </row>
    <row r="193" spans="1:1" x14ac:dyDescent="0.25">
      <c r="A193" s="180" t="s">
        <v>523</v>
      </c>
    </row>
    <row r="194" spans="1:1" x14ac:dyDescent="0.25">
      <c r="A194" s="180" t="s">
        <v>1682</v>
      </c>
    </row>
    <row r="195" spans="1:1" x14ac:dyDescent="0.25">
      <c r="A195" s="180" t="s">
        <v>6831</v>
      </c>
    </row>
    <row r="196" spans="1:1" x14ac:dyDescent="0.25">
      <c r="A196" s="180" t="s">
        <v>3027</v>
      </c>
    </row>
    <row r="197" spans="1:1" x14ac:dyDescent="0.25">
      <c r="A197" s="180" t="s">
        <v>1468</v>
      </c>
    </row>
    <row r="198" spans="1:1" x14ac:dyDescent="0.25">
      <c r="A198" s="180" t="s">
        <v>7165</v>
      </c>
    </row>
    <row r="199" spans="1:1" x14ac:dyDescent="0.25">
      <c r="A199" s="180" t="s">
        <v>1350</v>
      </c>
    </row>
    <row r="200" spans="1:1" x14ac:dyDescent="0.25">
      <c r="A200" s="180" t="s">
        <v>466</v>
      </c>
    </row>
    <row r="201" spans="1:1" x14ac:dyDescent="0.25">
      <c r="A201" s="180" t="s">
        <v>2808</v>
      </c>
    </row>
    <row r="202" spans="1:1" x14ac:dyDescent="0.25">
      <c r="A202" s="180" t="s">
        <v>7166</v>
      </c>
    </row>
    <row r="203" spans="1:1" x14ac:dyDescent="0.25">
      <c r="A203" s="180" t="s">
        <v>2439</v>
      </c>
    </row>
    <row r="204" spans="1:1" x14ac:dyDescent="0.25">
      <c r="A204" s="180" t="s">
        <v>3090</v>
      </c>
    </row>
    <row r="205" spans="1:1" x14ac:dyDescent="0.25">
      <c r="A205" s="180" t="s">
        <v>7167</v>
      </c>
    </row>
    <row r="206" spans="1:1" x14ac:dyDescent="0.25">
      <c r="A206" s="180" t="s">
        <v>2104</v>
      </c>
    </row>
    <row r="207" spans="1:1" x14ac:dyDescent="0.25">
      <c r="A207" s="180" t="s">
        <v>807</v>
      </c>
    </row>
    <row r="208" spans="1:1" x14ac:dyDescent="0.25">
      <c r="A208" s="180" t="s">
        <v>7068</v>
      </c>
    </row>
    <row r="209" spans="1:1" x14ac:dyDescent="0.25">
      <c r="A209" s="180" t="s">
        <v>1400</v>
      </c>
    </row>
    <row r="210" spans="1:1" x14ac:dyDescent="0.25">
      <c r="A210" s="180" t="s">
        <v>559</v>
      </c>
    </row>
    <row r="211" spans="1:1" x14ac:dyDescent="0.25">
      <c r="A211" s="180" t="s">
        <v>552</v>
      </c>
    </row>
    <row r="212" spans="1:1" x14ac:dyDescent="0.25">
      <c r="A212" s="180" t="s">
        <v>589</v>
      </c>
    </row>
    <row r="213" spans="1:1" x14ac:dyDescent="0.25">
      <c r="A213" s="180" t="s">
        <v>3245</v>
      </c>
    </row>
    <row r="214" spans="1:1" x14ac:dyDescent="0.25">
      <c r="A214" s="180" t="s">
        <v>2513</v>
      </c>
    </row>
    <row r="215" spans="1:1" x14ac:dyDescent="0.25">
      <c r="A215" s="180" t="s">
        <v>426</v>
      </c>
    </row>
    <row r="216" spans="1:1" x14ac:dyDescent="0.25">
      <c r="A216" s="180" t="s">
        <v>7168</v>
      </c>
    </row>
    <row r="217" spans="1:1" x14ac:dyDescent="0.25">
      <c r="A217" s="180" t="s">
        <v>7169</v>
      </c>
    </row>
    <row r="218" spans="1:1" x14ac:dyDescent="0.25">
      <c r="A218" s="180" t="s">
        <v>2145</v>
      </c>
    </row>
    <row r="219" spans="1:1" x14ac:dyDescent="0.25">
      <c r="A219" s="180" t="s">
        <v>4277</v>
      </c>
    </row>
    <row r="220" spans="1:1" x14ac:dyDescent="0.25">
      <c r="A220" s="180" t="s">
        <v>7170</v>
      </c>
    </row>
    <row r="221" spans="1:1" x14ac:dyDescent="0.25">
      <c r="A221" s="180" t="s">
        <v>7171</v>
      </c>
    </row>
    <row r="222" spans="1:1" x14ac:dyDescent="0.25">
      <c r="A222" s="180" t="s">
        <v>7172</v>
      </c>
    </row>
    <row r="223" spans="1:1" x14ac:dyDescent="0.25">
      <c r="A223" s="180" t="s">
        <v>7173</v>
      </c>
    </row>
    <row r="224" spans="1:1" x14ac:dyDescent="0.25">
      <c r="A224" s="180" t="s">
        <v>1627</v>
      </c>
    </row>
    <row r="225" spans="1:1" x14ac:dyDescent="0.25">
      <c r="A225" s="180" t="s">
        <v>1859</v>
      </c>
    </row>
    <row r="226" spans="1:1" x14ac:dyDescent="0.25">
      <c r="A226" s="180" t="s">
        <v>1775</v>
      </c>
    </row>
    <row r="227" spans="1:1" x14ac:dyDescent="0.25">
      <c r="A227" s="180" t="s">
        <v>2066</v>
      </c>
    </row>
    <row r="228" spans="1:1" x14ac:dyDescent="0.25">
      <c r="A228" s="180" t="s">
        <v>7174</v>
      </c>
    </row>
    <row r="229" spans="1:1" x14ac:dyDescent="0.25">
      <c r="A229" s="180" t="s">
        <v>7175</v>
      </c>
    </row>
    <row r="230" spans="1:1" x14ac:dyDescent="0.25">
      <c r="A230" s="180" t="s">
        <v>1645</v>
      </c>
    </row>
    <row r="231" spans="1:1" x14ac:dyDescent="0.25">
      <c r="A231" s="180" t="s">
        <v>3241</v>
      </c>
    </row>
    <row r="232" spans="1:1" x14ac:dyDescent="0.25">
      <c r="A232" s="180" t="s">
        <v>7176</v>
      </c>
    </row>
    <row r="233" spans="1:1" x14ac:dyDescent="0.25">
      <c r="A233" s="180" t="s">
        <v>1878</v>
      </c>
    </row>
    <row r="234" spans="1:1" x14ac:dyDescent="0.25">
      <c r="A234" s="180" t="s">
        <v>7177</v>
      </c>
    </row>
    <row r="235" spans="1:1" x14ac:dyDescent="0.25">
      <c r="A235" s="180" t="s">
        <v>7178</v>
      </c>
    </row>
    <row r="236" spans="1:1" x14ac:dyDescent="0.25">
      <c r="A236" s="180" t="s">
        <v>3640</v>
      </c>
    </row>
    <row r="237" spans="1:1" x14ac:dyDescent="0.25">
      <c r="A237" s="180" t="s">
        <v>482</v>
      </c>
    </row>
    <row r="238" spans="1:1" x14ac:dyDescent="0.25">
      <c r="A238" s="180" t="s">
        <v>2351</v>
      </c>
    </row>
    <row r="239" spans="1:1" x14ac:dyDescent="0.25">
      <c r="A239" s="180" t="s">
        <v>7179</v>
      </c>
    </row>
    <row r="240" spans="1:1" x14ac:dyDescent="0.25">
      <c r="A240" s="180" t="s">
        <v>7180</v>
      </c>
    </row>
    <row r="241" spans="1:1" x14ac:dyDescent="0.25">
      <c r="A241" s="180" t="s">
        <v>3929</v>
      </c>
    </row>
    <row r="242" spans="1:1" x14ac:dyDescent="0.25">
      <c r="A242" s="180" t="s">
        <v>3930</v>
      </c>
    </row>
    <row r="243" spans="1:1" x14ac:dyDescent="0.25">
      <c r="A243" s="180" t="s">
        <v>3931</v>
      </c>
    </row>
    <row r="244" spans="1:1" x14ac:dyDescent="0.25">
      <c r="A244" s="180" t="s">
        <v>7181</v>
      </c>
    </row>
    <row r="245" spans="1:1" x14ac:dyDescent="0.25">
      <c r="A245" s="180" t="s">
        <v>7182</v>
      </c>
    </row>
    <row r="246" spans="1:1" x14ac:dyDescent="0.25">
      <c r="A246" s="180" t="s">
        <v>534</v>
      </c>
    </row>
    <row r="247" spans="1:1" x14ac:dyDescent="0.25">
      <c r="A247" s="180" t="s">
        <v>7183</v>
      </c>
    </row>
    <row r="248" spans="1:1" x14ac:dyDescent="0.25">
      <c r="A248" s="180" t="s">
        <v>1428</v>
      </c>
    </row>
    <row r="249" spans="1:1" x14ac:dyDescent="0.25">
      <c r="A249" s="180" t="s">
        <v>7184</v>
      </c>
    </row>
    <row r="250" spans="1:1" x14ac:dyDescent="0.25">
      <c r="A250" s="180" t="s">
        <v>742</v>
      </c>
    </row>
    <row r="251" spans="1:1" x14ac:dyDescent="0.25">
      <c r="A251" s="180" t="s">
        <v>7002</v>
      </c>
    </row>
    <row r="252" spans="1:1" x14ac:dyDescent="0.25">
      <c r="A252" s="180" t="s">
        <v>2048</v>
      </c>
    </row>
    <row r="253" spans="1:1" x14ac:dyDescent="0.25">
      <c r="A253" s="180" t="s">
        <v>6997</v>
      </c>
    </row>
    <row r="254" spans="1:1" x14ac:dyDescent="0.25">
      <c r="A254" s="180" t="s">
        <v>7185</v>
      </c>
    </row>
    <row r="255" spans="1:1" x14ac:dyDescent="0.25">
      <c r="A255" s="180" t="s">
        <v>599</v>
      </c>
    </row>
    <row r="256" spans="1:1" x14ac:dyDescent="0.25">
      <c r="A256" s="180" t="s">
        <v>7186</v>
      </c>
    </row>
    <row r="257" spans="1:1" x14ac:dyDescent="0.25">
      <c r="A257" s="180" t="s">
        <v>4153</v>
      </c>
    </row>
    <row r="258" spans="1:1" x14ac:dyDescent="0.25">
      <c r="A258" s="180" t="s">
        <v>3538</v>
      </c>
    </row>
    <row r="259" spans="1:1" x14ac:dyDescent="0.25">
      <c r="A259" s="180" t="s">
        <v>7187</v>
      </c>
    </row>
    <row r="260" spans="1:1" x14ac:dyDescent="0.25">
      <c r="A260" s="180" t="s">
        <v>1853</v>
      </c>
    </row>
    <row r="261" spans="1:1" x14ac:dyDescent="0.25">
      <c r="A261" s="180" t="s">
        <v>3473</v>
      </c>
    </row>
    <row r="262" spans="1:1" x14ac:dyDescent="0.25">
      <c r="A262" s="180" t="s">
        <v>2765</v>
      </c>
    </row>
    <row r="263" spans="1:1" x14ac:dyDescent="0.25">
      <c r="A263" s="180" t="s">
        <v>1379</v>
      </c>
    </row>
    <row r="264" spans="1:1" x14ac:dyDescent="0.25">
      <c r="A264" s="180" t="s">
        <v>2693</v>
      </c>
    </row>
    <row r="265" spans="1:1" x14ac:dyDescent="0.25">
      <c r="A265" s="180" t="s">
        <v>580</v>
      </c>
    </row>
    <row r="266" spans="1:1" x14ac:dyDescent="0.25">
      <c r="A266" s="180" t="s">
        <v>2783</v>
      </c>
    </row>
    <row r="267" spans="1:1" x14ac:dyDescent="0.25">
      <c r="A267" s="180" t="s">
        <v>2485</v>
      </c>
    </row>
    <row r="268" spans="1:1" x14ac:dyDescent="0.25">
      <c r="A268" s="180" t="s">
        <v>3939</v>
      </c>
    </row>
    <row r="269" spans="1:1" x14ac:dyDescent="0.25">
      <c r="A269" s="180" t="s">
        <v>780</v>
      </c>
    </row>
    <row r="270" spans="1:1" x14ac:dyDescent="0.25">
      <c r="A270" s="180" t="s">
        <v>1665</v>
      </c>
    </row>
    <row r="271" spans="1:1" x14ac:dyDescent="0.25">
      <c r="A271" s="180" t="s">
        <v>240</v>
      </c>
    </row>
    <row r="272" spans="1:1" x14ac:dyDescent="0.25">
      <c r="A272" s="180" t="s">
        <v>1967</v>
      </c>
    </row>
    <row r="273" spans="1:1" x14ac:dyDescent="0.25">
      <c r="A273" s="180" t="s">
        <v>2385</v>
      </c>
    </row>
    <row r="274" spans="1:1" x14ac:dyDescent="0.25">
      <c r="A274" s="180" t="s">
        <v>3940</v>
      </c>
    </row>
    <row r="275" spans="1:1" x14ac:dyDescent="0.25">
      <c r="A275" s="180" t="s">
        <v>7188</v>
      </c>
    </row>
    <row r="276" spans="1:1" x14ac:dyDescent="0.25">
      <c r="A276" s="180" t="s">
        <v>7189</v>
      </c>
    </row>
    <row r="277" spans="1:1" x14ac:dyDescent="0.25">
      <c r="A277" s="180" t="s">
        <v>3502</v>
      </c>
    </row>
    <row r="278" spans="1:1" x14ac:dyDescent="0.25">
      <c r="A278" s="180" t="s">
        <v>7190</v>
      </c>
    </row>
    <row r="279" spans="1:1" x14ac:dyDescent="0.25">
      <c r="A279" s="180" t="s">
        <v>3791</v>
      </c>
    </row>
    <row r="280" spans="1:1" x14ac:dyDescent="0.25">
      <c r="A280" s="180" t="s">
        <v>7191</v>
      </c>
    </row>
    <row r="281" spans="1:1" x14ac:dyDescent="0.25">
      <c r="A281" s="180" t="s">
        <v>3944</v>
      </c>
    </row>
    <row r="282" spans="1:1" x14ac:dyDescent="0.25">
      <c r="A282" s="180" t="s">
        <v>7192</v>
      </c>
    </row>
    <row r="283" spans="1:1" x14ac:dyDescent="0.25">
      <c r="A283" s="180" t="s">
        <v>2569</v>
      </c>
    </row>
    <row r="284" spans="1:1" x14ac:dyDescent="0.25">
      <c r="A284" s="180" t="s">
        <v>2194</v>
      </c>
    </row>
    <row r="285" spans="1:1" x14ac:dyDescent="0.25">
      <c r="A285" s="180" t="s">
        <v>2370</v>
      </c>
    </row>
    <row r="286" spans="1:1" x14ac:dyDescent="0.25">
      <c r="A286" s="180" t="s">
        <v>3794</v>
      </c>
    </row>
    <row r="287" spans="1:1" x14ac:dyDescent="0.25">
      <c r="A287" s="180" t="s">
        <v>7193</v>
      </c>
    </row>
    <row r="288" spans="1:1" x14ac:dyDescent="0.25">
      <c r="A288" s="180" t="s">
        <v>7194</v>
      </c>
    </row>
    <row r="289" spans="1:1" x14ac:dyDescent="0.25">
      <c r="A289" s="180" t="s">
        <v>7195</v>
      </c>
    </row>
    <row r="290" spans="1:1" x14ac:dyDescent="0.25">
      <c r="A290" s="180" t="s">
        <v>3950</v>
      </c>
    </row>
    <row r="291" spans="1:1" x14ac:dyDescent="0.25">
      <c r="A291" s="180" t="s">
        <v>3953</v>
      </c>
    </row>
    <row r="292" spans="1:1" x14ac:dyDescent="0.25">
      <c r="A292" s="180" t="s">
        <v>4302</v>
      </c>
    </row>
    <row r="293" spans="1:1" x14ac:dyDescent="0.25">
      <c r="A293" s="180" t="s">
        <v>2534</v>
      </c>
    </row>
    <row r="294" spans="1:1" x14ac:dyDescent="0.25">
      <c r="A294" s="180" t="s">
        <v>7196</v>
      </c>
    </row>
    <row r="295" spans="1:1" x14ac:dyDescent="0.25">
      <c r="A295" s="180" t="s">
        <v>7197</v>
      </c>
    </row>
    <row r="296" spans="1:1" x14ac:dyDescent="0.25">
      <c r="A296" s="180" t="s">
        <v>2235</v>
      </c>
    </row>
    <row r="297" spans="1:1" x14ac:dyDescent="0.25">
      <c r="A297" s="180" t="s">
        <v>7198</v>
      </c>
    </row>
    <row r="298" spans="1:1" x14ac:dyDescent="0.25">
      <c r="A298" s="180" t="s">
        <v>6837</v>
      </c>
    </row>
    <row r="299" spans="1:1" x14ac:dyDescent="0.25">
      <c r="A299" s="180" t="s">
        <v>4122</v>
      </c>
    </row>
    <row r="300" spans="1:1" x14ac:dyDescent="0.25">
      <c r="A300" s="180" t="s">
        <v>7199</v>
      </c>
    </row>
    <row r="301" spans="1:1" x14ac:dyDescent="0.25">
      <c r="A301" s="180" t="s">
        <v>3962</v>
      </c>
    </row>
    <row r="302" spans="1:1" x14ac:dyDescent="0.25">
      <c r="A302" s="180" t="s">
        <v>788</v>
      </c>
    </row>
    <row r="303" spans="1:1" x14ac:dyDescent="0.25">
      <c r="A303" s="180" t="s">
        <v>7200</v>
      </c>
    </row>
    <row r="304" spans="1:1" x14ac:dyDescent="0.25">
      <c r="A304" s="180" t="s">
        <v>3199</v>
      </c>
    </row>
    <row r="305" spans="1:1" x14ac:dyDescent="0.25">
      <c r="A305" s="180" t="s">
        <v>7201</v>
      </c>
    </row>
    <row r="306" spans="1:1" x14ac:dyDescent="0.25">
      <c r="A306" s="180" t="s">
        <v>2044</v>
      </c>
    </row>
    <row r="307" spans="1:1" x14ac:dyDescent="0.25">
      <c r="A307" s="180" t="s">
        <v>2266</v>
      </c>
    </row>
    <row r="308" spans="1:1" x14ac:dyDescent="0.25">
      <c r="A308" s="180" t="s">
        <v>7202</v>
      </c>
    </row>
    <row r="309" spans="1:1" x14ac:dyDescent="0.25">
      <c r="A309" s="180" t="s">
        <v>7203</v>
      </c>
    </row>
    <row r="310" spans="1:1" x14ac:dyDescent="0.25">
      <c r="A310" s="180" t="s">
        <v>4381</v>
      </c>
    </row>
    <row r="311" spans="1:1" x14ac:dyDescent="0.25">
      <c r="A311" s="180" t="s">
        <v>7204</v>
      </c>
    </row>
    <row r="312" spans="1:1" x14ac:dyDescent="0.25">
      <c r="A312" s="180" t="s">
        <v>7205</v>
      </c>
    </row>
    <row r="313" spans="1:1" x14ac:dyDescent="0.25">
      <c r="A313" s="180" t="s">
        <v>2677</v>
      </c>
    </row>
    <row r="314" spans="1:1" x14ac:dyDescent="0.25">
      <c r="A314" s="180" t="s">
        <v>7070</v>
      </c>
    </row>
    <row r="315" spans="1:1" x14ac:dyDescent="0.25">
      <c r="A315" s="180" t="s">
        <v>814</v>
      </c>
    </row>
    <row r="316" spans="1:1" x14ac:dyDescent="0.25">
      <c r="A316" s="180" t="s">
        <v>3972</v>
      </c>
    </row>
    <row r="317" spans="1:1" x14ac:dyDescent="0.25">
      <c r="A317" s="180" t="s">
        <v>3810</v>
      </c>
    </row>
    <row r="318" spans="1:1" x14ac:dyDescent="0.25">
      <c r="A318" s="180" t="s">
        <v>2634</v>
      </c>
    </row>
    <row r="319" spans="1:1" x14ac:dyDescent="0.25">
      <c r="A319" s="180" t="s">
        <v>3117</v>
      </c>
    </row>
    <row r="320" spans="1:1" x14ac:dyDescent="0.25">
      <c r="A320" s="180" t="s">
        <v>1769</v>
      </c>
    </row>
    <row r="321" spans="1:1" x14ac:dyDescent="0.25">
      <c r="A321" s="180" t="s">
        <v>617</v>
      </c>
    </row>
    <row r="322" spans="1:1" x14ac:dyDescent="0.25">
      <c r="A322" s="180" t="s">
        <v>1946</v>
      </c>
    </row>
    <row r="323" spans="1:1" x14ac:dyDescent="0.25">
      <c r="A323" s="180" t="s">
        <v>7206</v>
      </c>
    </row>
    <row r="324" spans="1:1" x14ac:dyDescent="0.25">
      <c r="A324" s="180" t="s">
        <v>7207</v>
      </c>
    </row>
    <row r="325" spans="1:1" x14ac:dyDescent="0.25">
      <c r="A325" s="180" t="s">
        <v>1435</v>
      </c>
    </row>
    <row r="326" spans="1:1" x14ac:dyDescent="0.25">
      <c r="A326" s="180" t="s">
        <v>7208</v>
      </c>
    </row>
    <row r="327" spans="1:1" x14ac:dyDescent="0.25">
      <c r="A327" s="180" t="s">
        <v>2361</v>
      </c>
    </row>
    <row r="328" spans="1:1" x14ac:dyDescent="0.25">
      <c r="A328" s="180" t="s">
        <v>7209</v>
      </c>
    </row>
    <row r="329" spans="1:1" x14ac:dyDescent="0.25">
      <c r="A329" s="180" t="s">
        <v>7210</v>
      </c>
    </row>
    <row r="330" spans="1:1" x14ac:dyDescent="0.25">
      <c r="A330" s="180" t="s">
        <v>1817</v>
      </c>
    </row>
    <row r="331" spans="1:1" x14ac:dyDescent="0.25">
      <c r="A331" s="180" t="s">
        <v>2609</v>
      </c>
    </row>
    <row r="332" spans="1:1" x14ac:dyDescent="0.25">
      <c r="A332" s="180" t="s">
        <v>1444</v>
      </c>
    </row>
    <row r="333" spans="1:1" x14ac:dyDescent="0.25">
      <c r="A333" s="180" t="s">
        <v>1937</v>
      </c>
    </row>
    <row r="334" spans="1:1" x14ac:dyDescent="0.25">
      <c r="A334" s="180" t="s">
        <v>3119</v>
      </c>
    </row>
    <row r="335" spans="1:1" x14ac:dyDescent="0.25">
      <c r="A335" s="180" t="s">
        <v>3979</v>
      </c>
    </row>
    <row r="336" spans="1:1" x14ac:dyDescent="0.25">
      <c r="A336" s="180" t="s">
        <v>7211</v>
      </c>
    </row>
    <row r="337" spans="1:1" x14ac:dyDescent="0.25">
      <c r="A337" s="180" t="s">
        <v>554</v>
      </c>
    </row>
    <row r="338" spans="1:1" x14ac:dyDescent="0.25">
      <c r="A338" s="180" t="s">
        <v>3400</v>
      </c>
    </row>
    <row r="339" spans="1:1" x14ac:dyDescent="0.25">
      <c r="A339" s="180" t="s">
        <v>7212</v>
      </c>
    </row>
    <row r="340" spans="1:1" x14ac:dyDescent="0.25">
      <c r="A340" s="180" t="s">
        <v>3217</v>
      </c>
    </row>
    <row r="341" spans="1:1" x14ac:dyDescent="0.25">
      <c r="A341" s="180" t="s">
        <v>803</v>
      </c>
    </row>
    <row r="342" spans="1:1" x14ac:dyDescent="0.25">
      <c r="A342" s="180" t="s">
        <v>3799</v>
      </c>
    </row>
    <row r="343" spans="1:1" x14ac:dyDescent="0.25">
      <c r="A343" s="180" t="s">
        <v>1963</v>
      </c>
    </row>
    <row r="344" spans="1:1" x14ac:dyDescent="0.25">
      <c r="A344" s="180" t="s">
        <v>3553</v>
      </c>
    </row>
    <row r="345" spans="1:1" x14ac:dyDescent="0.25">
      <c r="A345" s="180" t="s">
        <v>3988</v>
      </c>
    </row>
    <row r="346" spans="1:1" x14ac:dyDescent="0.25">
      <c r="A346" s="180" t="s">
        <v>2636</v>
      </c>
    </row>
    <row r="347" spans="1:1" x14ac:dyDescent="0.25">
      <c r="A347" s="180" t="s">
        <v>7213</v>
      </c>
    </row>
    <row r="348" spans="1:1" x14ac:dyDescent="0.25">
      <c r="A348" s="180" t="s">
        <v>7214</v>
      </c>
    </row>
    <row r="349" spans="1:1" x14ac:dyDescent="0.25">
      <c r="A349" s="180" t="s">
        <v>7215</v>
      </c>
    </row>
    <row r="350" spans="1:1" x14ac:dyDescent="0.25">
      <c r="A350" s="180" t="s">
        <v>16</v>
      </c>
    </row>
    <row r="351" spans="1:1" x14ac:dyDescent="0.25">
      <c r="A351" s="180" t="s">
        <v>381</v>
      </c>
    </row>
    <row r="352" spans="1:1" x14ac:dyDescent="0.25">
      <c r="A352" s="180" t="s">
        <v>1716</v>
      </c>
    </row>
    <row r="353" spans="1:1" x14ac:dyDescent="0.25">
      <c r="A353" s="180" t="s">
        <v>211</v>
      </c>
    </row>
    <row r="354" spans="1:1" x14ac:dyDescent="0.25">
      <c r="A354" s="180" t="s">
        <v>3494</v>
      </c>
    </row>
    <row r="355" spans="1:1" x14ac:dyDescent="0.25">
      <c r="A355" s="180" t="s">
        <v>1975</v>
      </c>
    </row>
    <row r="356" spans="1:1" x14ac:dyDescent="0.25">
      <c r="A356" s="180" t="s">
        <v>7216</v>
      </c>
    </row>
    <row r="357" spans="1:1" x14ac:dyDescent="0.25">
      <c r="A357" s="180" t="s">
        <v>3179</v>
      </c>
    </row>
    <row r="358" spans="1:1" x14ac:dyDescent="0.25">
      <c r="A358" s="180" t="s">
        <v>3801</v>
      </c>
    </row>
    <row r="359" spans="1:1" x14ac:dyDescent="0.25">
      <c r="A359" s="180" t="s">
        <v>3490</v>
      </c>
    </row>
    <row r="360" spans="1:1" x14ac:dyDescent="0.25">
      <c r="A360" s="180" t="s">
        <v>2857</v>
      </c>
    </row>
    <row r="361" spans="1:1" x14ac:dyDescent="0.25">
      <c r="A361" s="180" t="s">
        <v>3506</v>
      </c>
    </row>
    <row r="362" spans="1:1" x14ac:dyDescent="0.25">
      <c r="A362" s="180" t="s">
        <v>1341</v>
      </c>
    </row>
    <row r="363" spans="1:1" x14ac:dyDescent="0.25">
      <c r="A363" s="180" t="s">
        <v>2036</v>
      </c>
    </row>
    <row r="364" spans="1:1" x14ac:dyDescent="0.25">
      <c r="A364" s="180" t="s">
        <v>1560</v>
      </c>
    </row>
    <row r="365" spans="1:1" x14ac:dyDescent="0.25">
      <c r="A365" s="180" t="s">
        <v>7217</v>
      </c>
    </row>
    <row r="366" spans="1:1" x14ac:dyDescent="0.25">
      <c r="A366" s="180" t="s">
        <v>7218</v>
      </c>
    </row>
    <row r="367" spans="1:1" x14ac:dyDescent="0.25">
      <c r="A367" s="180" t="s">
        <v>1440</v>
      </c>
    </row>
    <row r="368" spans="1:1" x14ac:dyDescent="0.25">
      <c r="A368" s="180" t="s">
        <v>7219</v>
      </c>
    </row>
    <row r="369" spans="1:1" x14ac:dyDescent="0.25">
      <c r="A369" s="180" t="s">
        <v>688</v>
      </c>
    </row>
    <row r="370" spans="1:1" x14ac:dyDescent="0.25">
      <c r="A370" s="180" t="s">
        <v>7220</v>
      </c>
    </row>
    <row r="371" spans="1:1" x14ac:dyDescent="0.25">
      <c r="A371" s="180" t="s">
        <v>7221</v>
      </c>
    </row>
    <row r="372" spans="1:1" x14ac:dyDescent="0.25">
      <c r="A372" s="180" t="s">
        <v>650</v>
      </c>
    </row>
    <row r="373" spans="1:1" x14ac:dyDescent="0.25">
      <c r="A373" s="180" t="s">
        <v>3187</v>
      </c>
    </row>
  </sheetData>
  <conditionalFormatting sqref="A1:A1048576">
    <cfRule type="duplicateValues" dxfId="88"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G144"/>
  <sheetViews>
    <sheetView workbookViewId="0">
      <selection activeCell="C36" sqref="C36"/>
    </sheetView>
  </sheetViews>
  <sheetFormatPr defaultRowHeight="15" x14ac:dyDescent="0.25"/>
  <cols>
    <col min="1" max="1" width="9.140625" style="141"/>
    <col min="2" max="2" width="9.7109375" bestFit="1" customWidth="1"/>
    <col min="3" max="3" width="59.85546875" customWidth="1"/>
    <col min="4" max="4" width="69.85546875" customWidth="1"/>
    <col min="5" max="5" width="3.85546875" customWidth="1"/>
  </cols>
  <sheetData>
    <row r="1" spans="1:6" x14ac:dyDescent="0.25">
      <c r="A1" s="177" t="s">
        <v>410</v>
      </c>
      <c r="B1" s="155" t="s">
        <v>6968</v>
      </c>
      <c r="C1" s="155" t="s">
        <v>0</v>
      </c>
      <c r="D1" s="155"/>
      <c r="E1" s="162"/>
      <c r="F1" s="155" t="s">
        <v>6985</v>
      </c>
    </row>
    <row r="2" spans="1:6" x14ac:dyDescent="0.25">
      <c r="A2" s="141" t="s">
        <v>3601</v>
      </c>
      <c r="B2" s="8">
        <v>45032</v>
      </c>
      <c r="C2" t="s">
        <v>6973</v>
      </c>
      <c r="D2" s="20" t="s">
        <v>6979</v>
      </c>
    </row>
    <row r="3" spans="1:6" x14ac:dyDescent="0.25">
      <c r="A3" s="141" t="s">
        <v>2811</v>
      </c>
      <c r="B3" s="8">
        <v>45039</v>
      </c>
      <c r="C3" t="s">
        <v>6973</v>
      </c>
      <c r="D3" s="20" t="s">
        <v>6979</v>
      </c>
      <c r="F3" t="s">
        <v>158</v>
      </c>
    </row>
    <row r="4" spans="1:6" x14ac:dyDescent="0.25">
      <c r="A4" s="141" t="s">
        <v>6983</v>
      </c>
      <c r="B4" s="8">
        <v>45039</v>
      </c>
      <c r="C4" t="s">
        <v>6973</v>
      </c>
      <c r="D4" s="20" t="s">
        <v>6984</v>
      </c>
      <c r="F4" t="s">
        <v>158</v>
      </c>
    </row>
    <row r="5" spans="1:6" x14ac:dyDescent="0.25">
      <c r="A5" s="141" t="s">
        <v>2915</v>
      </c>
      <c r="B5" s="8">
        <v>45039</v>
      </c>
      <c r="C5" t="s">
        <v>6973</v>
      </c>
      <c r="D5" s="20" t="s">
        <v>6982</v>
      </c>
      <c r="F5" t="s">
        <v>6986</v>
      </c>
    </row>
    <row r="6" spans="1:6" x14ac:dyDescent="0.25">
      <c r="A6" s="141" t="s">
        <v>7012</v>
      </c>
      <c r="B6" t="s">
        <v>7021</v>
      </c>
      <c r="C6" t="s">
        <v>7014</v>
      </c>
    </row>
    <row r="7" spans="1:6" x14ac:dyDescent="0.25">
      <c r="A7" s="141" t="s">
        <v>3713</v>
      </c>
      <c r="B7" s="8">
        <v>45039</v>
      </c>
      <c r="C7" t="s">
        <v>6973</v>
      </c>
      <c r="D7" s="20" t="s">
        <v>6982</v>
      </c>
      <c r="F7" t="s">
        <v>158</v>
      </c>
    </row>
    <row r="8" spans="1:6" x14ac:dyDescent="0.25">
      <c r="A8" s="141" t="s">
        <v>205</v>
      </c>
      <c r="B8" s="8">
        <v>45060</v>
      </c>
      <c r="C8" t="s">
        <v>7004</v>
      </c>
    </row>
    <row r="9" spans="1:6" x14ac:dyDescent="0.25">
      <c r="A9" s="141" t="s">
        <v>2540</v>
      </c>
      <c r="B9" s="8">
        <v>45032</v>
      </c>
      <c r="C9" t="s">
        <v>6973</v>
      </c>
      <c r="D9" s="20" t="s">
        <v>6979</v>
      </c>
    </row>
    <row r="10" spans="1:6" x14ac:dyDescent="0.25">
      <c r="A10" s="141" t="s">
        <v>5663</v>
      </c>
      <c r="B10" s="8">
        <v>45040</v>
      </c>
      <c r="C10" t="s">
        <v>6966</v>
      </c>
      <c r="D10" s="20" t="s">
        <v>6990</v>
      </c>
    </row>
    <row r="11" spans="1:6" x14ac:dyDescent="0.25">
      <c r="A11" s="141" t="s">
        <v>422</v>
      </c>
      <c r="B11" s="8">
        <v>45065</v>
      </c>
      <c r="C11" t="s">
        <v>7007</v>
      </c>
    </row>
    <row r="12" spans="1:6" x14ac:dyDescent="0.25">
      <c r="A12" s="141" t="s">
        <v>6970</v>
      </c>
      <c r="B12" s="8">
        <v>45031</v>
      </c>
      <c r="C12" t="s">
        <v>6971</v>
      </c>
    </row>
    <row r="13" spans="1:6" x14ac:dyDescent="0.25">
      <c r="A13" s="141" t="s">
        <v>7020</v>
      </c>
      <c r="B13" s="8">
        <v>45067</v>
      </c>
    </row>
    <row r="14" spans="1:6" x14ac:dyDescent="0.25">
      <c r="A14" s="141" t="s">
        <v>1799</v>
      </c>
      <c r="B14" s="8">
        <v>45065</v>
      </c>
      <c r="C14" t="s">
        <v>7009</v>
      </c>
      <c r="D14" t="s">
        <v>7010</v>
      </c>
    </row>
    <row r="15" spans="1:6" x14ac:dyDescent="0.25">
      <c r="A15" s="141" t="s">
        <v>2208</v>
      </c>
      <c r="B15" s="8">
        <v>45040</v>
      </c>
      <c r="C15" t="s">
        <v>6966</v>
      </c>
      <c r="D15" s="20" t="s">
        <v>6989</v>
      </c>
      <c r="F15" t="s">
        <v>4032</v>
      </c>
    </row>
    <row r="16" spans="1:6" x14ac:dyDescent="0.25">
      <c r="A16" s="141" t="s">
        <v>6972</v>
      </c>
      <c r="B16" s="8">
        <v>45032</v>
      </c>
      <c r="C16" t="s">
        <v>6973</v>
      </c>
      <c r="D16" s="20" t="s">
        <v>6975</v>
      </c>
    </row>
    <row r="17" spans="1:4" x14ac:dyDescent="0.25">
      <c r="A17" s="141" t="s">
        <v>2178</v>
      </c>
      <c r="B17" s="8">
        <v>45060</v>
      </c>
      <c r="C17" t="s">
        <v>6973</v>
      </c>
    </row>
    <row r="18" spans="1:4" x14ac:dyDescent="0.25">
      <c r="A18" s="141" t="s">
        <v>7011</v>
      </c>
      <c r="B18" s="8">
        <v>45067</v>
      </c>
      <c r="C18" t="s">
        <v>7014</v>
      </c>
    </row>
    <row r="19" spans="1:4" x14ac:dyDescent="0.25">
      <c r="A19" s="141" t="s">
        <v>7018</v>
      </c>
      <c r="B19" s="8">
        <v>45067</v>
      </c>
    </row>
    <row r="20" spans="1:4" x14ac:dyDescent="0.25">
      <c r="A20" s="141" t="s">
        <v>192</v>
      </c>
      <c r="B20" s="8">
        <v>45049</v>
      </c>
      <c r="C20" t="s">
        <v>6973</v>
      </c>
    </row>
    <row r="21" spans="1:4" x14ac:dyDescent="0.25">
      <c r="A21" s="141" t="s">
        <v>7003</v>
      </c>
      <c r="B21" s="8">
        <v>45060</v>
      </c>
      <c r="C21" t="s">
        <v>7004</v>
      </c>
    </row>
    <row r="22" spans="1:4" x14ac:dyDescent="0.25">
      <c r="A22" s="141" t="s">
        <v>1859</v>
      </c>
      <c r="B22" s="8">
        <v>45067</v>
      </c>
      <c r="C22" t="s">
        <v>7014</v>
      </c>
    </row>
    <row r="23" spans="1:4" x14ac:dyDescent="0.25">
      <c r="A23" s="141" t="s">
        <v>7017</v>
      </c>
      <c r="B23" s="8">
        <v>45067</v>
      </c>
    </row>
    <row r="24" spans="1:4" x14ac:dyDescent="0.25">
      <c r="A24" s="141" t="s">
        <v>7002</v>
      </c>
      <c r="B24" s="8">
        <v>45060</v>
      </c>
      <c r="C24" t="s">
        <v>7004</v>
      </c>
    </row>
    <row r="25" spans="1:4" x14ac:dyDescent="0.25">
      <c r="A25" s="141" t="s">
        <v>2048</v>
      </c>
      <c r="B25" t="s">
        <v>7021</v>
      </c>
      <c r="C25" t="s">
        <v>7014</v>
      </c>
      <c r="D25" t="s">
        <v>7013</v>
      </c>
    </row>
    <row r="26" spans="1:4" x14ac:dyDescent="0.25">
      <c r="A26" s="141" t="s">
        <v>6997</v>
      </c>
      <c r="B26" s="8">
        <v>45060</v>
      </c>
      <c r="C26" t="s">
        <v>6973</v>
      </c>
    </row>
    <row r="27" spans="1:4" x14ac:dyDescent="0.25">
      <c r="A27" s="141" t="s">
        <v>7000</v>
      </c>
      <c r="B27" s="8">
        <v>45060</v>
      </c>
      <c r="C27" t="s">
        <v>7001</v>
      </c>
    </row>
    <row r="28" spans="1:4" x14ac:dyDescent="0.25">
      <c r="A28" s="141" t="s">
        <v>2194</v>
      </c>
      <c r="B28" s="8">
        <v>45032</v>
      </c>
      <c r="C28" t="s">
        <v>6973</v>
      </c>
      <c r="D28" s="20" t="s">
        <v>6977</v>
      </c>
    </row>
    <row r="29" spans="1:4" x14ac:dyDescent="0.25">
      <c r="A29" s="141" t="s">
        <v>637</v>
      </c>
      <c r="B29" s="8">
        <v>45064</v>
      </c>
      <c r="C29" t="s">
        <v>7006</v>
      </c>
      <c r="D29" t="s">
        <v>7008</v>
      </c>
    </row>
    <row r="30" spans="1:4" x14ac:dyDescent="0.25">
      <c r="A30" s="141" t="s">
        <v>7016</v>
      </c>
      <c r="B30" s="8">
        <v>45067</v>
      </c>
    </row>
    <row r="31" spans="1:4" x14ac:dyDescent="0.25">
      <c r="A31" s="141" t="s">
        <v>3707</v>
      </c>
      <c r="B31" s="8">
        <v>45028</v>
      </c>
      <c r="C31" t="s">
        <v>6969</v>
      </c>
    </row>
    <row r="32" spans="1:4" x14ac:dyDescent="0.25">
      <c r="A32" s="141" t="s">
        <v>7019</v>
      </c>
      <c r="B32" s="8">
        <v>45067</v>
      </c>
    </row>
    <row r="33" spans="1:4" x14ac:dyDescent="0.25">
      <c r="A33" s="141" t="s">
        <v>7063</v>
      </c>
      <c r="B33" s="8">
        <v>45084</v>
      </c>
    </row>
    <row r="34" spans="1:4" x14ac:dyDescent="0.25">
      <c r="A34" s="141" t="s">
        <v>3427</v>
      </c>
      <c r="B34" s="8">
        <v>45084</v>
      </c>
    </row>
    <row r="35" spans="1:4" x14ac:dyDescent="0.25">
      <c r="A35" s="141" t="s">
        <v>2072</v>
      </c>
      <c r="B35" s="8">
        <v>45087</v>
      </c>
    </row>
    <row r="36" spans="1:4" x14ac:dyDescent="0.25">
      <c r="A36" s="141" t="s">
        <v>799</v>
      </c>
      <c r="B36" s="8" t="s">
        <v>7077</v>
      </c>
      <c r="C36" t="s">
        <v>7078</v>
      </c>
    </row>
    <row r="37" spans="1:4" x14ac:dyDescent="0.25">
      <c r="A37" s="141" t="s">
        <v>3851</v>
      </c>
      <c r="B37" s="8" t="s">
        <v>7079</v>
      </c>
      <c r="C37" t="s">
        <v>7080</v>
      </c>
    </row>
    <row r="38" spans="1:4" x14ac:dyDescent="0.25">
      <c r="A38" s="141" t="s">
        <v>78</v>
      </c>
      <c r="B38" s="8">
        <v>45094</v>
      </c>
      <c r="C38" t="s">
        <v>7080</v>
      </c>
    </row>
    <row r="39" spans="1:4" x14ac:dyDescent="0.25">
      <c r="A39" s="141" t="s">
        <v>7081</v>
      </c>
      <c r="B39" s="8">
        <v>45094</v>
      </c>
      <c r="C39" t="s">
        <v>7080</v>
      </c>
    </row>
    <row r="40" spans="1:4" x14ac:dyDescent="0.25">
      <c r="A40" s="141" t="s">
        <v>5636</v>
      </c>
      <c r="B40" s="8">
        <v>45094</v>
      </c>
      <c r="C40" t="s">
        <v>7082</v>
      </c>
    </row>
    <row r="41" spans="1:4" x14ac:dyDescent="0.25">
      <c r="A41" s="141" t="s">
        <v>106</v>
      </c>
      <c r="B41" s="8">
        <v>45094</v>
      </c>
      <c r="C41" t="s">
        <v>7083</v>
      </c>
    </row>
    <row r="42" spans="1:4" x14ac:dyDescent="0.25">
      <c r="B42" s="8"/>
    </row>
    <row r="43" spans="1:4" x14ac:dyDescent="0.25">
      <c r="B43" s="8"/>
    </row>
    <row r="44" spans="1:4" x14ac:dyDescent="0.25">
      <c r="A44" s="183" t="s">
        <v>7064</v>
      </c>
      <c r="B44" s="183"/>
      <c r="C44" s="183"/>
      <c r="D44" s="183"/>
    </row>
    <row r="45" spans="1:4" x14ac:dyDescent="0.25">
      <c r="A45" s="141" t="s">
        <v>207</v>
      </c>
      <c r="B45" s="8"/>
    </row>
    <row r="46" spans="1:4" x14ac:dyDescent="0.25">
      <c r="A46" s="141" t="s">
        <v>46</v>
      </c>
      <c r="B46" s="8"/>
    </row>
    <row r="47" spans="1:4" x14ac:dyDescent="0.25">
      <c r="A47" s="141" t="s">
        <v>440</v>
      </c>
      <c r="B47" s="8"/>
    </row>
    <row r="48" spans="1:4" x14ac:dyDescent="0.25">
      <c r="A48" s="141" t="s">
        <v>317</v>
      </c>
      <c r="B48" s="8"/>
    </row>
    <row r="49" spans="1:2" x14ac:dyDescent="0.25">
      <c r="A49" s="141" t="s">
        <v>452</v>
      </c>
      <c r="B49" s="8"/>
    </row>
    <row r="50" spans="1:2" x14ac:dyDescent="0.25">
      <c r="A50" s="141" t="s">
        <v>199</v>
      </c>
      <c r="B50" s="8"/>
    </row>
    <row r="51" spans="1:2" x14ac:dyDescent="0.25">
      <c r="A51" s="141" t="s">
        <v>86</v>
      </c>
      <c r="B51" s="8"/>
    </row>
    <row r="52" spans="1:2" x14ac:dyDescent="0.25">
      <c r="A52" s="141" t="s">
        <v>226</v>
      </c>
      <c r="B52" s="8"/>
    </row>
    <row r="53" spans="1:2" x14ac:dyDescent="0.25">
      <c r="A53" s="141" t="s">
        <v>7065</v>
      </c>
      <c r="B53" s="8"/>
    </row>
    <row r="54" spans="1:2" x14ac:dyDescent="0.25">
      <c r="A54" s="141" t="s">
        <v>89</v>
      </c>
      <c r="B54" s="8"/>
    </row>
    <row r="55" spans="1:2" x14ac:dyDescent="0.25">
      <c r="A55" s="141" t="s">
        <v>3211</v>
      </c>
      <c r="B55" s="8"/>
    </row>
    <row r="56" spans="1:2" x14ac:dyDescent="0.25">
      <c r="A56" s="141" t="s">
        <v>3189</v>
      </c>
      <c r="B56" s="8"/>
    </row>
    <row r="57" spans="1:2" x14ac:dyDescent="0.25">
      <c r="A57" s="141" t="s">
        <v>3249</v>
      </c>
    </row>
    <row r="58" spans="1:2" x14ac:dyDescent="0.25">
      <c r="A58" s="141" t="s">
        <v>482</v>
      </c>
    </row>
    <row r="59" spans="1:2" x14ac:dyDescent="0.25">
      <c r="A59" s="141" t="s">
        <v>3185</v>
      </c>
      <c r="B59" s="8"/>
    </row>
    <row r="60" spans="1:2" x14ac:dyDescent="0.25">
      <c r="A60" s="141" t="s">
        <v>3245</v>
      </c>
      <c r="B60" s="8"/>
    </row>
    <row r="61" spans="1:2" x14ac:dyDescent="0.25">
      <c r="A61" s="141" t="s">
        <v>7066</v>
      </c>
    </row>
    <row r="62" spans="1:2" x14ac:dyDescent="0.25">
      <c r="A62" s="141" t="s">
        <v>3241</v>
      </c>
    </row>
    <row r="63" spans="1:2" x14ac:dyDescent="0.25">
      <c r="A63" s="141" t="s">
        <v>3238</v>
      </c>
    </row>
    <row r="64" spans="1:2" x14ac:dyDescent="0.25">
      <c r="A64" s="141" t="s">
        <v>6703</v>
      </c>
    </row>
    <row r="65" spans="1:3" x14ac:dyDescent="0.25">
      <c r="A65" s="141" t="s">
        <v>3158</v>
      </c>
    </row>
    <row r="66" spans="1:3" x14ac:dyDescent="0.25">
      <c r="A66" s="141" t="s">
        <v>2194</v>
      </c>
    </row>
    <row r="67" spans="1:3" x14ac:dyDescent="0.25">
      <c r="A67" s="141" t="s">
        <v>73</v>
      </c>
    </row>
    <row r="68" spans="1:3" x14ac:dyDescent="0.25">
      <c r="A68" s="141" t="s">
        <v>495</v>
      </c>
    </row>
    <row r="69" spans="1:3" x14ac:dyDescent="0.25">
      <c r="A69" s="141" t="s">
        <v>3431</v>
      </c>
      <c r="C69" t="s">
        <v>7069</v>
      </c>
    </row>
    <row r="70" spans="1:3" x14ac:dyDescent="0.25">
      <c r="A70" s="141" t="s">
        <v>1</v>
      </c>
    </row>
    <row r="71" spans="1:3" x14ac:dyDescent="0.25">
      <c r="A71" s="141" t="s">
        <v>7067</v>
      </c>
    </row>
    <row r="72" spans="1:3" x14ac:dyDescent="0.25">
      <c r="A72" s="141" t="s">
        <v>7068</v>
      </c>
      <c r="C72" t="s">
        <v>7069</v>
      </c>
    </row>
    <row r="73" spans="1:3" x14ac:dyDescent="0.25">
      <c r="A73" s="141" t="s">
        <v>51</v>
      </c>
      <c r="C73" t="s">
        <v>7071</v>
      </c>
    </row>
    <row r="74" spans="1:3" x14ac:dyDescent="0.25">
      <c r="A74" s="141" t="s">
        <v>104</v>
      </c>
      <c r="C74" t="s">
        <v>7071</v>
      </c>
    </row>
    <row r="75" spans="1:3" x14ac:dyDescent="0.25">
      <c r="A75" s="141" t="s">
        <v>87</v>
      </c>
      <c r="C75" t="s">
        <v>7072</v>
      </c>
    </row>
    <row r="76" spans="1:3" x14ac:dyDescent="0.25">
      <c r="A76" s="141" t="s">
        <v>300</v>
      </c>
      <c r="C76" t="s">
        <v>7072</v>
      </c>
    </row>
    <row r="77" spans="1:3" x14ac:dyDescent="0.25">
      <c r="A77" s="141" t="s">
        <v>7070</v>
      </c>
      <c r="C77" t="s">
        <v>7073</v>
      </c>
    </row>
    <row r="78" spans="1:3" x14ac:dyDescent="0.25">
      <c r="A78" s="141" t="s">
        <v>3962</v>
      </c>
    </row>
    <row r="79" spans="1:3" x14ac:dyDescent="0.25">
      <c r="A79" s="141" t="s">
        <v>7074</v>
      </c>
      <c r="C79" t="s">
        <v>7075</v>
      </c>
    </row>
    <row r="80" spans="1:3" x14ac:dyDescent="0.25">
      <c r="A80" s="141" t="s">
        <v>212</v>
      </c>
    </row>
    <row r="126" spans="1:7" x14ac:dyDescent="0.25">
      <c r="A126" s="178" t="s">
        <v>6995</v>
      </c>
      <c r="B126" s="160">
        <v>45055</v>
      </c>
      <c r="C126" s="159" t="s">
        <v>6996</v>
      </c>
      <c r="D126" s="159" t="s">
        <v>7023</v>
      </c>
    </row>
    <row r="127" spans="1:7" x14ac:dyDescent="0.25">
      <c r="A127" s="178" t="s">
        <v>3648</v>
      </c>
      <c r="B127" s="160">
        <v>45041</v>
      </c>
      <c r="C127" s="159" t="s">
        <v>6991</v>
      </c>
      <c r="D127" s="161" t="s">
        <v>6992</v>
      </c>
      <c r="E127" s="159"/>
      <c r="F127" s="159"/>
      <c r="G127" s="159"/>
    </row>
    <row r="128" spans="1:7" x14ac:dyDescent="0.25">
      <c r="A128" s="178" t="s">
        <v>2743</v>
      </c>
      <c r="B128" s="160">
        <v>45067</v>
      </c>
      <c r="C128" s="159" t="s">
        <v>7014</v>
      </c>
      <c r="D128" s="159" t="s">
        <v>7015</v>
      </c>
    </row>
    <row r="129" spans="1:7" x14ac:dyDescent="0.25">
      <c r="A129" s="178" t="s">
        <v>2439</v>
      </c>
      <c r="B129" s="160">
        <v>45060</v>
      </c>
      <c r="C129" s="159" t="s">
        <v>7004</v>
      </c>
      <c r="D129" s="159" t="s">
        <v>7022</v>
      </c>
    </row>
    <row r="130" spans="1:7" x14ac:dyDescent="0.25">
      <c r="A130" s="178" t="s">
        <v>6998</v>
      </c>
      <c r="B130" s="160">
        <v>45060</v>
      </c>
      <c r="C130" s="159"/>
      <c r="D130" s="159" t="s">
        <v>6999</v>
      </c>
    </row>
    <row r="131" spans="1:7" x14ac:dyDescent="0.25">
      <c r="A131" s="178" t="s">
        <v>6976</v>
      </c>
      <c r="B131" s="160">
        <v>45032</v>
      </c>
      <c r="C131" s="159" t="s">
        <v>6973</v>
      </c>
      <c r="D131" s="161" t="s">
        <v>6978</v>
      </c>
      <c r="E131" s="159"/>
      <c r="F131" s="159"/>
      <c r="G131" s="159"/>
    </row>
    <row r="134" spans="1:7" x14ac:dyDescent="0.25">
      <c r="A134" s="183" t="s">
        <v>7055</v>
      </c>
      <c r="B134" s="183"/>
      <c r="C134" s="183"/>
      <c r="D134" s="183"/>
    </row>
    <row r="135" spans="1:7" ht="90.75" thickBot="1" x14ac:dyDescent="0.3">
      <c r="A135" s="164" t="s">
        <v>7025</v>
      </c>
      <c r="B135" s="164" t="s">
        <v>7026</v>
      </c>
      <c r="C135" s="164" t="s">
        <v>7027</v>
      </c>
    </row>
    <row r="136" spans="1:7" ht="136.5" thickTop="1" thickBot="1" x14ac:dyDescent="0.3">
      <c r="A136" s="165" t="s">
        <v>7028</v>
      </c>
      <c r="B136" s="166" t="s">
        <v>7029</v>
      </c>
      <c r="C136" s="166" t="s">
        <v>7030</v>
      </c>
    </row>
    <row r="137" spans="1:7" ht="75.75" thickBot="1" x14ac:dyDescent="0.3">
      <c r="A137" s="167" t="s">
        <v>7031</v>
      </c>
      <c r="B137" s="166" t="s">
        <v>7032</v>
      </c>
      <c r="C137" s="166" t="s">
        <v>7033</v>
      </c>
    </row>
    <row r="138" spans="1:7" ht="60.75" thickBot="1" x14ac:dyDescent="0.3">
      <c r="A138" s="167" t="s">
        <v>7034</v>
      </c>
      <c r="B138" s="166" t="s">
        <v>7035</v>
      </c>
      <c r="C138" s="166" t="s">
        <v>7036</v>
      </c>
    </row>
    <row r="139" spans="1:7" ht="75.75" thickBot="1" x14ac:dyDescent="0.3">
      <c r="A139" s="167" t="s">
        <v>7037</v>
      </c>
      <c r="B139" s="166" t="s">
        <v>7038</v>
      </c>
      <c r="C139" s="166" t="s">
        <v>7039</v>
      </c>
    </row>
    <row r="140" spans="1:7" ht="105.75" thickBot="1" x14ac:dyDescent="0.3">
      <c r="A140" s="167" t="s">
        <v>7040</v>
      </c>
      <c r="B140" s="166" t="s">
        <v>7041</v>
      </c>
      <c r="C140" s="166" t="s">
        <v>7042</v>
      </c>
    </row>
    <row r="141" spans="1:7" ht="75.75" thickBot="1" x14ac:dyDescent="0.3">
      <c r="A141" s="167" t="s">
        <v>7043</v>
      </c>
      <c r="B141" s="166" t="s">
        <v>7044</v>
      </c>
      <c r="C141" s="166" t="s">
        <v>7045</v>
      </c>
    </row>
    <row r="142" spans="1:7" ht="75.75" thickBot="1" x14ac:dyDescent="0.3">
      <c r="A142" s="167" t="s">
        <v>7046</v>
      </c>
      <c r="B142" s="166" t="s">
        <v>7047</v>
      </c>
      <c r="C142" s="166" t="s">
        <v>7048</v>
      </c>
    </row>
    <row r="143" spans="1:7" ht="90.75" thickBot="1" x14ac:dyDescent="0.3">
      <c r="A143" s="167" t="s">
        <v>7049</v>
      </c>
      <c r="B143" s="166" t="s">
        <v>7050</v>
      </c>
      <c r="C143" s="166" t="s">
        <v>7051</v>
      </c>
    </row>
    <row r="144" spans="1:7" ht="90" x14ac:dyDescent="0.25">
      <c r="A144" s="168" t="s">
        <v>7052</v>
      </c>
      <c r="B144" s="169" t="s">
        <v>7053</v>
      </c>
      <c r="C144" s="169" t="s">
        <v>7054</v>
      </c>
    </row>
  </sheetData>
  <sortState xmlns:xlrd2="http://schemas.microsoft.com/office/spreadsheetml/2017/richdata2" ref="A2:G125">
    <sortCondition ref="A2:A125"/>
    <sortCondition ref="B2:B125"/>
  </sortState>
  <mergeCells count="2">
    <mergeCell ref="A134:D134"/>
    <mergeCell ref="A44:D44"/>
  </mergeCells>
  <conditionalFormatting sqref="A145:A1048576 A1:A19 A21:A32 A35 A125:A134 A59:A60 A45:A54 A43">
    <cfRule type="duplicateValues" dxfId="87" priority="1658"/>
  </conditionalFormatting>
  <conditionalFormatting sqref="A61">
    <cfRule type="duplicateValues" dxfId="86" priority="74"/>
  </conditionalFormatting>
  <conditionalFormatting sqref="A55:A56 A58">
    <cfRule type="duplicateValues" dxfId="85" priority="73"/>
  </conditionalFormatting>
  <conditionalFormatting sqref="A57">
    <cfRule type="duplicateValues" dxfId="84" priority="72"/>
  </conditionalFormatting>
  <conditionalFormatting sqref="A44">
    <cfRule type="duplicateValues" dxfId="83" priority="71"/>
  </conditionalFormatting>
  <conditionalFormatting sqref="A124">
    <cfRule type="duplicateValues" dxfId="82" priority="70"/>
  </conditionalFormatting>
  <conditionalFormatting sqref="A123">
    <cfRule type="duplicateValues" dxfId="81" priority="69"/>
  </conditionalFormatting>
  <conditionalFormatting sqref="A122">
    <cfRule type="duplicateValues" dxfId="80" priority="68"/>
  </conditionalFormatting>
  <conditionalFormatting sqref="A121">
    <cfRule type="duplicateValues" dxfId="79" priority="67"/>
  </conditionalFormatting>
  <conditionalFormatting sqref="A120">
    <cfRule type="duplicateValues" dxfId="78" priority="66"/>
  </conditionalFormatting>
  <conditionalFormatting sqref="A119">
    <cfRule type="duplicateValues" dxfId="77" priority="65"/>
  </conditionalFormatting>
  <conditionalFormatting sqref="A118">
    <cfRule type="duplicateValues" dxfId="76" priority="64"/>
  </conditionalFormatting>
  <conditionalFormatting sqref="A117">
    <cfRule type="duplicateValues" dxfId="75" priority="63"/>
  </conditionalFormatting>
  <conditionalFormatting sqref="A116">
    <cfRule type="duplicateValues" dxfId="74" priority="62"/>
  </conditionalFormatting>
  <conditionalFormatting sqref="A115">
    <cfRule type="duplicateValues" dxfId="73" priority="61"/>
  </conditionalFormatting>
  <conditionalFormatting sqref="A114">
    <cfRule type="duplicateValues" dxfId="72" priority="60"/>
  </conditionalFormatting>
  <conditionalFormatting sqref="A113">
    <cfRule type="duplicateValues" dxfId="71" priority="59"/>
  </conditionalFormatting>
  <conditionalFormatting sqref="A112">
    <cfRule type="duplicateValues" dxfId="70" priority="58"/>
  </conditionalFormatting>
  <conditionalFormatting sqref="A111">
    <cfRule type="duplicateValues" dxfId="69" priority="57"/>
  </conditionalFormatting>
  <conditionalFormatting sqref="A110">
    <cfRule type="duplicateValues" dxfId="68" priority="56"/>
  </conditionalFormatting>
  <conditionalFormatting sqref="A109">
    <cfRule type="duplicateValues" dxfId="67" priority="55"/>
  </conditionalFormatting>
  <conditionalFormatting sqref="A108">
    <cfRule type="duplicateValues" dxfId="66" priority="54"/>
  </conditionalFormatting>
  <conditionalFormatting sqref="A107">
    <cfRule type="duplicateValues" dxfId="65" priority="53"/>
  </conditionalFormatting>
  <conditionalFormatting sqref="A106">
    <cfRule type="duplicateValues" dxfId="64" priority="52"/>
  </conditionalFormatting>
  <conditionalFormatting sqref="A105">
    <cfRule type="duplicateValues" dxfId="63" priority="51"/>
  </conditionalFormatting>
  <conditionalFormatting sqref="A104">
    <cfRule type="duplicateValues" dxfId="62" priority="50"/>
  </conditionalFormatting>
  <conditionalFormatting sqref="A103">
    <cfRule type="duplicateValues" dxfId="61" priority="49"/>
  </conditionalFormatting>
  <conditionalFormatting sqref="A102">
    <cfRule type="duplicateValues" dxfId="60" priority="48"/>
  </conditionalFormatting>
  <conditionalFormatting sqref="A101">
    <cfRule type="duplicateValues" dxfId="59" priority="47"/>
  </conditionalFormatting>
  <conditionalFormatting sqref="A100">
    <cfRule type="duplicateValues" dxfId="58" priority="46"/>
  </conditionalFormatting>
  <conditionalFormatting sqref="A99">
    <cfRule type="duplicateValues" dxfId="57" priority="45"/>
  </conditionalFormatting>
  <conditionalFormatting sqref="A98">
    <cfRule type="duplicateValues" dxfId="56" priority="44"/>
  </conditionalFormatting>
  <conditionalFormatting sqref="A97">
    <cfRule type="duplicateValues" dxfId="55" priority="43"/>
  </conditionalFormatting>
  <conditionalFormatting sqref="A96">
    <cfRule type="duplicateValues" dxfId="54" priority="42"/>
  </conditionalFormatting>
  <conditionalFormatting sqref="A95">
    <cfRule type="duplicateValues" dxfId="53" priority="41"/>
  </conditionalFormatting>
  <conditionalFormatting sqref="A94">
    <cfRule type="duplicateValues" dxfId="52" priority="40"/>
  </conditionalFormatting>
  <conditionalFormatting sqref="A93">
    <cfRule type="duplicateValues" dxfId="51" priority="39"/>
  </conditionalFormatting>
  <conditionalFormatting sqref="A92">
    <cfRule type="duplicateValues" dxfId="50" priority="38"/>
  </conditionalFormatting>
  <conditionalFormatting sqref="A91">
    <cfRule type="duplicateValues" dxfId="49" priority="37"/>
  </conditionalFormatting>
  <conditionalFormatting sqref="A90">
    <cfRule type="duplicateValues" dxfId="48" priority="36"/>
  </conditionalFormatting>
  <conditionalFormatting sqref="A89">
    <cfRule type="duplicateValues" dxfId="47" priority="35"/>
  </conditionalFormatting>
  <conditionalFormatting sqref="A88">
    <cfRule type="duplicateValues" dxfId="46" priority="34"/>
  </conditionalFormatting>
  <conditionalFormatting sqref="A87">
    <cfRule type="duplicateValues" dxfId="45" priority="33"/>
  </conditionalFormatting>
  <conditionalFormatting sqref="A86">
    <cfRule type="duplicateValues" dxfId="44" priority="32"/>
  </conditionalFormatting>
  <conditionalFormatting sqref="A85">
    <cfRule type="duplicateValues" dxfId="43" priority="31"/>
  </conditionalFormatting>
  <conditionalFormatting sqref="A84">
    <cfRule type="duplicateValues" dxfId="42" priority="30"/>
  </conditionalFormatting>
  <conditionalFormatting sqref="A83">
    <cfRule type="duplicateValues" dxfId="41" priority="29"/>
  </conditionalFormatting>
  <conditionalFormatting sqref="A82">
    <cfRule type="duplicateValues" dxfId="40" priority="28"/>
  </conditionalFormatting>
  <conditionalFormatting sqref="A81">
    <cfRule type="duplicateValues" dxfId="39" priority="27"/>
  </conditionalFormatting>
  <conditionalFormatting sqref="A80">
    <cfRule type="duplicateValues" dxfId="38" priority="26"/>
  </conditionalFormatting>
  <conditionalFormatting sqref="A79">
    <cfRule type="duplicateValues" dxfId="37" priority="25"/>
  </conditionalFormatting>
  <conditionalFormatting sqref="A78">
    <cfRule type="duplicateValues" dxfId="36" priority="24"/>
  </conditionalFormatting>
  <conditionalFormatting sqref="A77">
    <cfRule type="duplicateValues" dxfId="35" priority="23"/>
  </conditionalFormatting>
  <conditionalFormatting sqref="A76">
    <cfRule type="duplicateValues" dxfId="34" priority="22"/>
  </conditionalFormatting>
  <conditionalFormatting sqref="A75">
    <cfRule type="duplicateValues" dxfId="33" priority="21"/>
  </conditionalFormatting>
  <conditionalFormatting sqref="A74">
    <cfRule type="duplicateValues" dxfId="32" priority="20"/>
  </conditionalFormatting>
  <conditionalFormatting sqref="A73">
    <cfRule type="duplicateValues" dxfId="31" priority="19"/>
  </conditionalFormatting>
  <conditionalFormatting sqref="A72">
    <cfRule type="duplicateValues" dxfId="30" priority="18"/>
  </conditionalFormatting>
  <conditionalFormatting sqref="A71">
    <cfRule type="duplicateValues" dxfId="29" priority="17"/>
  </conditionalFormatting>
  <conditionalFormatting sqref="A70">
    <cfRule type="duplicateValues" dxfId="28" priority="16"/>
  </conditionalFormatting>
  <conditionalFormatting sqref="A69">
    <cfRule type="duplicateValues" dxfId="27" priority="15"/>
  </conditionalFormatting>
  <conditionalFormatting sqref="A68">
    <cfRule type="duplicateValues" dxfId="26" priority="14"/>
  </conditionalFormatting>
  <conditionalFormatting sqref="A67">
    <cfRule type="duplicateValues" dxfId="25" priority="13"/>
  </conditionalFormatting>
  <conditionalFormatting sqref="A66">
    <cfRule type="duplicateValues" dxfId="24" priority="12"/>
  </conditionalFormatting>
  <conditionalFormatting sqref="A65">
    <cfRule type="duplicateValues" dxfId="23" priority="11"/>
  </conditionalFormatting>
  <conditionalFormatting sqref="A64">
    <cfRule type="duplicateValues" dxfId="22" priority="10"/>
  </conditionalFormatting>
  <conditionalFormatting sqref="A63">
    <cfRule type="duplicateValues" dxfId="21" priority="9"/>
  </conditionalFormatting>
  <conditionalFormatting sqref="A62">
    <cfRule type="duplicateValues" dxfId="20" priority="8"/>
  </conditionalFormatting>
  <conditionalFormatting sqref="A42">
    <cfRule type="duplicateValues" dxfId="19" priority="7"/>
  </conditionalFormatting>
  <conditionalFormatting sqref="A41">
    <cfRule type="duplicateValues" dxfId="18" priority="6"/>
  </conditionalFormatting>
  <conditionalFormatting sqref="A40">
    <cfRule type="duplicateValues" dxfId="17" priority="5"/>
  </conditionalFormatting>
  <conditionalFormatting sqref="A39">
    <cfRule type="duplicateValues" dxfId="16" priority="4"/>
  </conditionalFormatting>
  <conditionalFormatting sqref="A38">
    <cfRule type="duplicateValues" dxfId="15" priority="3"/>
  </conditionalFormatting>
  <conditionalFormatting sqref="A37">
    <cfRule type="duplicateValues" dxfId="14" priority="2"/>
  </conditionalFormatting>
  <conditionalFormatting sqref="A36">
    <cfRule type="duplicateValues" dxfId="13" priority="1"/>
  </conditionalFormatting>
  <hyperlinks>
    <hyperlink ref="A136" r:id="rId1" display="https://www.fool.com/quote/nasdaq/crwd/" xr:uid="{BF3291CD-2568-41C7-B773-0EDF03A1F8D2}"/>
    <hyperlink ref="A137" r:id="rId2" display="https://www.fool.com/quote/nasdaq/zs/" xr:uid="{0EADFC6F-EDF7-44AF-BCA7-C768B764E24F}"/>
    <hyperlink ref="A138" r:id="rId3" display="https://www.fool.com/quote/nasdaq/okta/" xr:uid="{DAAEE0D3-6D27-4959-B371-E03D6956FCBE}"/>
    <hyperlink ref="A139" r:id="rId4" display="https://www.fool.com/quote/nyse/s/" xr:uid="{FAE7E0A0-0E87-4E23-B57E-6C535B25A7F7}"/>
    <hyperlink ref="A140" r:id="rId5" display="https://www.fool.com/quote/nyse/panw/" xr:uid="{205ABB1F-D28A-41B8-BD27-5DA4BE9E9CF7}"/>
    <hyperlink ref="A141" r:id="rId6" display="https://www.fool.com/quote/nasdaq/ftnt/" xr:uid="{046B401D-D33F-4A86-8263-FD21FE86CE99}"/>
    <hyperlink ref="A142" r:id="rId7" display="https://www.fool.com/quote/nasdaq/splk/" xr:uid="{1C915FFD-7AD5-414A-89C5-9FD090459F1A}"/>
    <hyperlink ref="A143" r:id="rId8" display="https://www.fool.com/quote/nasdaq/ddog/" xr:uid="{4B311F3F-3664-4C37-A677-DDA7D4413703}"/>
    <hyperlink ref="A144" r:id="rId9" display="https://www.fool.com/quote/nasdaq/akam/" xr:uid="{A087B585-4FCE-49A2-B210-DE0919D847CE}"/>
  </hyperlinks>
  <pageMargins left="0.7" right="0.7" top="0.75" bottom="0.75" header="0.3" footer="0.3"/>
  <pageSetup orientation="portrait" r:id="rId1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20"/>
  <sheetViews>
    <sheetView workbookViewId="0">
      <selection activeCell="C4" sqref="C4"/>
    </sheetView>
  </sheetViews>
  <sheetFormatPr defaultRowHeight="15" x14ac:dyDescent="0.25"/>
  <cols>
    <col min="2" max="2" width="10.42578125" style="156" customWidth="1"/>
    <col min="3" max="3" width="19.42578125" style="141" customWidth="1"/>
    <col min="4" max="4" width="15.5703125" style="1" customWidth="1"/>
    <col min="5" max="5" width="56.7109375" customWidth="1"/>
  </cols>
  <sheetData>
    <row r="1" spans="1:5" s="174" customFormat="1" x14ac:dyDescent="0.25">
      <c r="A1" s="4" t="s">
        <v>410</v>
      </c>
      <c r="B1" s="173" t="s">
        <v>419</v>
      </c>
      <c r="C1" s="4" t="s">
        <v>420</v>
      </c>
      <c r="D1" s="4"/>
      <c r="E1" s="4" t="s">
        <v>0</v>
      </c>
    </row>
    <row r="2" spans="1:5" x14ac:dyDescent="0.25">
      <c r="A2" t="s">
        <v>3962</v>
      </c>
      <c r="B2" s="156">
        <v>45017</v>
      </c>
      <c r="D2" s="141"/>
    </row>
    <row r="3" spans="1:5" x14ac:dyDescent="0.25">
      <c r="A3" t="s">
        <v>6846</v>
      </c>
      <c r="B3" s="156">
        <v>45017</v>
      </c>
      <c r="D3" s="141"/>
    </row>
    <row r="4" spans="1:5" x14ac:dyDescent="0.25">
      <c r="A4" t="s">
        <v>2540</v>
      </c>
      <c r="B4" s="156">
        <v>45032</v>
      </c>
      <c r="C4" s="141" t="s">
        <v>6974</v>
      </c>
      <c r="D4" s="141"/>
    </row>
    <row r="5" spans="1:5" x14ac:dyDescent="0.25">
      <c r="A5" t="s">
        <v>6972</v>
      </c>
      <c r="B5" s="156">
        <v>45032</v>
      </c>
      <c r="C5" s="141" t="s">
        <v>6974</v>
      </c>
      <c r="D5" s="141"/>
    </row>
    <row r="6" spans="1:5" x14ac:dyDescent="0.25">
      <c r="A6" t="s">
        <v>3601</v>
      </c>
      <c r="B6" s="156">
        <v>45032</v>
      </c>
      <c r="C6" s="141" t="s">
        <v>6974</v>
      </c>
      <c r="D6" s="141"/>
    </row>
    <row r="7" spans="1:5" x14ac:dyDescent="0.25">
      <c r="A7" t="s">
        <v>6976</v>
      </c>
      <c r="B7" s="156">
        <v>45032</v>
      </c>
      <c r="C7" s="141" t="s">
        <v>6974</v>
      </c>
      <c r="D7" s="141"/>
    </row>
    <row r="8" spans="1:5" x14ac:dyDescent="0.25">
      <c r="A8" t="s">
        <v>2194</v>
      </c>
      <c r="B8" s="156">
        <v>45032</v>
      </c>
      <c r="C8" s="141" t="s">
        <v>6974</v>
      </c>
      <c r="D8" s="141"/>
    </row>
    <row r="9" spans="1:5" x14ac:dyDescent="0.25">
      <c r="A9" t="s">
        <v>3935</v>
      </c>
      <c r="B9" s="156">
        <v>45032</v>
      </c>
      <c r="C9" s="141" t="s">
        <v>6974</v>
      </c>
      <c r="D9" s="141"/>
      <c r="E9" t="s">
        <v>6994</v>
      </c>
    </row>
    <row r="10" spans="1:5" x14ac:dyDescent="0.25">
      <c r="A10" t="s">
        <v>6980</v>
      </c>
      <c r="B10" s="156">
        <v>45032</v>
      </c>
      <c r="C10" s="141" t="s">
        <v>6974</v>
      </c>
      <c r="D10" s="141"/>
      <c r="E10" t="s">
        <v>6981</v>
      </c>
    </row>
    <row r="11" spans="1:5" x14ac:dyDescent="0.25">
      <c r="A11" t="s">
        <v>2811</v>
      </c>
      <c r="B11" s="156">
        <v>45039</v>
      </c>
      <c r="C11" s="141" t="s">
        <v>6974</v>
      </c>
      <c r="D11" s="141"/>
    </row>
    <row r="12" spans="1:5" x14ac:dyDescent="0.25">
      <c r="A12" t="s">
        <v>6987</v>
      </c>
      <c r="B12" s="156">
        <v>45040</v>
      </c>
      <c r="C12" s="141" t="s">
        <v>6966</v>
      </c>
      <c r="D12" s="141" t="s">
        <v>6851</v>
      </c>
      <c r="E12" s="141" t="s">
        <v>6988</v>
      </c>
    </row>
    <row r="13" spans="1:5" x14ac:dyDescent="0.25">
      <c r="A13" t="s">
        <v>2320</v>
      </c>
      <c r="B13" s="156">
        <v>45060</v>
      </c>
      <c r="C13" s="141" t="s">
        <v>6974</v>
      </c>
      <c r="D13" s="1" t="s">
        <v>6851</v>
      </c>
      <c r="E13" t="s">
        <v>7005</v>
      </c>
    </row>
    <row r="14" spans="1:5" x14ac:dyDescent="0.25">
      <c r="A14" t="s">
        <v>1381</v>
      </c>
      <c r="E14" t="s">
        <v>7005</v>
      </c>
    </row>
    <row r="15" spans="1:5" x14ac:dyDescent="0.25">
      <c r="A15" t="s">
        <v>501</v>
      </c>
      <c r="E15" t="s">
        <v>7005</v>
      </c>
    </row>
    <row r="16" spans="1:5" x14ac:dyDescent="0.25">
      <c r="A16" t="s">
        <v>7018</v>
      </c>
      <c r="B16" s="156">
        <v>45067</v>
      </c>
      <c r="C16" s="141" t="s">
        <v>6974</v>
      </c>
    </row>
    <row r="17" spans="1:5" x14ac:dyDescent="0.25">
      <c r="A17" t="s">
        <v>3630</v>
      </c>
      <c r="E17" t="s">
        <v>7024</v>
      </c>
    </row>
    <row r="18" spans="1:5" x14ac:dyDescent="0.25">
      <c r="A18" t="s">
        <v>7057</v>
      </c>
      <c r="B18" s="156">
        <v>45073</v>
      </c>
      <c r="C18" s="141" t="s">
        <v>7058</v>
      </c>
      <c r="E18" t="s">
        <v>7059</v>
      </c>
    </row>
    <row r="19" spans="1:5" x14ac:dyDescent="0.25">
      <c r="A19" t="s">
        <v>3965</v>
      </c>
      <c r="B19" s="156">
        <v>45076</v>
      </c>
      <c r="C19" s="141" t="s">
        <v>7060</v>
      </c>
    </row>
    <row r="20" spans="1:5" x14ac:dyDescent="0.25">
      <c r="A20" t="s">
        <v>4388</v>
      </c>
      <c r="B20" s="156">
        <v>45078</v>
      </c>
      <c r="C20" s="141" t="s">
        <v>7061</v>
      </c>
      <c r="E20" t="s">
        <v>7076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5"/>
  <sheetViews>
    <sheetView topLeftCell="A45" workbookViewId="0">
      <selection activeCell="C80" sqref="C80"/>
    </sheetView>
  </sheetViews>
  <sheetFormatPr defaultRowHeight="15" x14ac:dyDescent="0.25"/>
  <cols>
    <col min="3" max="3" width="65.28515625" customWidth="1"/>
    <col min="4" max="4" width="2" style="148" customWidth="1"/>
    <col min="8" max="8" width="2" style="148" customWidth="1"/>
    <col min="12" max="12" width="2" style="148" customWidth="1"/>
    <col min="14" max="14" width="9.7109375" bestFit="1" customWidth="1"/>
    <col min="15" max="15" width="54.140625" customWidth="1"/>
    <col min="16" max="16" width="2" style="148" customWidth="1"/>
    <col min="20" max="20" width="2" style="148" customWidth="1"/>
    <col min="24" max="24" width="2" style="148" customWidth="1"/>
  </cols>
  <sheetData>
    <row r="1" spans="1:24" x14ac:dyDescent="0.25">
      <c r="A1" s="184" t="s">
        <v>6964</v>
      </c>
      <c r="B1" s="185"/>
      <c r="C1" s="185"/>
      <c r="D1" s="152"/>
      <c r="E1" s="186" t="s">
        <v>6862</v>
      </c>
      <c r="F1" s="185"/>
      <c r="G1" s="185"/>
      <c r="H1" s="147"/>
      <c r="I1" s="184" t="s">
        <v>6965</v>
      </c>
      <c r="J1" s="185"/>
      <c r="K1" s="185"/>
      <c r="L1" s="147"/>
      <c r="M1" s="184" t="s">
        <v>6966</v>
      </c>
      <c r="N1" s="185"/>
      <c r="O1" s="185"/>
      <c r="P1" s="147"/>
      <c r="Q1" s="184" t="s">
        <v>6967</v>
      </c>
      <c r="R1" s="185"/>
      <c r="S1" s="185"/>
      <c r="T1" s="147"/>
      <c r="U1" s="184" t="s">
        <v>305</v>
      </c>
      <c r="V1" s="185"/>
      <c r="W1" s="185"/>
      <c r="X1" s="147"/>
    </row>
    <row r="2" spans="1:24" x14ac:dyDescent="0.25">
      <c r="A2" s="144" t="s">
        <v>86</v>
      </c>
      <c r="B2" s="118"/>
      <c r="C2" s="126"/>
      <c r="D2" s="153"/>
      <c r="E2" s="144" t="s">
        <v>5605</v>
      </c>
      <c r="I2" s="144"/>
      <c r="M2" s="163" t="s">
        <v>637</v>
      </c>
      <c r="N2" s="8">
        <v>45064</v>
      </c>
      <c r="O2" t="s">
        <v>7006</v>
      </c>
      <c r="Q2" s="144"/>
      <c r="U2" s="144" t="s">
        <v>6846</v>
      </c>
    </row>
    <row r="3" spans="1:24" x14ac:dyDescent="0.25">
      <c r="A3" s="144" t="s">
        <v>212</v>
      </c>
      <c r="B3" s="118"/>
      <c r="C3" s="126"/>
      <c r="D3" s="153"/>
      <c r="E3" s="144" t="s">
        <v>3445</v>
      </c>
      <c r="I3" s="144"/>
      <c r="M3" s="144"/>
      <c r="Q3" s="144"/>
      <c r="U3" s="144" t="s">
        <v>3962</v>
      </c>
    </row>
    <row r="4" spans="1:24" x14ac:dyDescent="0.25">
      <c r="A4" s="144" t="s">
        <v>6846</v>
      </c>
      <c r="B4" s="118"/>
      <c r="C4" s="145" t="s">
        <v>305</v>
      </c>
      <c r="D4" s="153"/>
      <c r="E4" s="144" t="s">
        <v>6861</v>
      </c>
      <c r="I4" s="144"/>
      <c r="M4" s="144"/>
      <c r="Q4" s="144"/>
      <c r="U4" s="144" t="s">
        <v>435</v>
      </c>
    </row>
    <row r="5" spans="1:24" x14ac:dyDescent="0.25">
      <c r="A5" s="144" t="s">
        <v>87</v>
      </c>
      <c r="B5" s="118"/>
      <c r="C5" s="145" t="s">
        <v>6940</v>
      </c>
      <c r="D5" s="153"/>
      <c r="E5" s="144" t="s">
        <v>6962</v>
      </c>
      <c r="I5" s="144"/>
      <c r="M5" s="144"/>
      <c r="Q5" s="144"/>
      <c r="U5" s="144"/>
    </row>
    <row r="6" spans="1:24" x14ac:dyDescent="0.25">
      <c r="A6" s="144" t="s">
        <v>204</v>
      </c>
      <c r="B6" s="118"/>
      <c r="C6" s="145" t="s">
        <v>6946</v>
      </c>
      <c r="D6" s="153"/>
      <c r="E6" s="144" t="s">
        <v>6963</v>
      </c>
      <c r="I6" s="144"/>
      <c r="M6" s="144"/>
      <c r="Q6" s="144"/>
      <c r="U6" s="144"/>
    </row>
    <row r="7" spans="1:24" x14ac:dyDescent="0.25">
      <c r="A7" s="144" t="s">
        <v>150</v>
      </c>
      <c r="B7" s="118"/>
      <c r="C7" s="145" t="s">
        <v>6938</v>
      </c>
      <c r="D7" s="153"/>
      <c r="E7" s="144" t="s">
        <v>3375</v>
      </c>
      <c r="I7" s="144"/>
      <c r="M7" s="144"/>
      <c r="Q7" s="144"/>
      <c r="U7" s="144"/>
    </row>
    <row r="8" spans="1:24" x14ac:dyDescent="0.25">
      <c r="A8" s="144" t="s">
        <v>3158</v>
      </c>
      <c r="B8" s="118"/>
      <c r="C8" s="145" t="s">
        <v>6940</v>
      </c>
      <c r="D8" s="153"/>
      <c r="E8" s="144" t="s">
        <v>3221</v>
      </c>
      <c r="I8" s="144"/>
      <c r="M8" s="144"/>
      <c r="Q8" s="144"/>
      <c r="U8" s="144"/>
    </row>
    <row r="9" spans="1:24" x14ac:dyDescent="0.25">
      <c r="A9" s="144" t="s">
        <v>73</v>
      </c>
      <c r="B9" s="118"/>
      <c r="C9" s="126"/>
      <c r="D9" s="153"/>
      <c r="E9" s="144" t="s">
        <v>3223</v>
      </c>
      <c r="I9" s="144"/>
      <c r="M9" s="144"/>
      <c r="Q9" s="144"/>
      <c r="U9" s="144"/>
    </row>
    <row r="10" spans="1:24" x14ac:dyDescent="0.25">
      <c r="A10" s="144" t="s">
        <v>278</v>
      </c>
      <c r="B10" s="118"/>
      <c r="C10" s="126"/>
      <c r="D10" s="153"/>
    </row>
    <row r="11" spans="1:24" x14ac:dyDescent="0.25">
      <c r="A11" s="144" t="s">
        <v>279</v>
      </c>
      <c r="B11" s="118"/>
      <c r="C11" s="145" t="s">
        <v>6947</v>
      </c>
      <c r="D11" s="153"/>
    </row>
    <row r="12" spans="1:24" x14ac:dyDescent="0.25">
      <c r="A12" s="144" t="s">
        <v>99</v>
      </c>
      <c r="B12" s="118"/>
      <c r="C12" s="126"/>
      <c r="D12" s="153"/>
    </row>
    <row r="13" spans="1:24" x14ac:dyDescent="0.25">
      <c r="A13" s="144" t="s">
        <v>270</v>
      </c>
      <c r="B13" s="118"/>
      <c r="C13" s="126"/>
      <c r="D13" s="153"/>
    </row>
    <row r="14" spans="1:24" x14ac:dyDescent="0.25">
      <c r="A14" s="144" t="s">
        <v>9</v>
      </c>
      <c r="B14" s="118"/>
      <c r="C14" s="126"/>
      <c r="D14" s="153"/>
    </row>
    <row r="15" spans="1:24" x14ac:dyDescent="0.25">
      <c r="A15" s="144" t="s">
        <v>414</v>
      </c>
      <c r="B15" s="118"/>
      <c r="C15" s="145" t="s">
        <v>6945</v>
      </c>
      <c r="D15" s="153"/>
    </row>
    <row r="16" spans="1:24" x14ac:dyDescent="0.25">
      <c r="A16" s="144" t="s">
        <v>38</v>
      </c>
      <c r="B16" s="118"/>
      <c r="C16" s="126"/>
      <c r="D16" s="153"/>
    </row>
    <row r="17" spans="1:4" x14ac:dyDescent="0.25">
      <c r="A17" s="144" t="s">
        <v>285</v>
      </c>
      <c r="B17" s="118"/>
      <c r="C17" s="145" t="s">
        <v>6952</v>
      </c>
      <c r="D17" s="153"/>
    </row>
    <row r="18" spans="1:4" x14ac:dyDescent="0.25">
      <c r="A18" s="144" t="s">
        <v>1332</v>
      </c>
      <c r="B18" s="118"/>
      <c r="C18" s="126"/>
      <c r="D18" s="153"/>
    </row>
    <row r="19" spans="1:4" x14ac:dyDescent="0.25">
      <c r="A19" s="144" t="s">
        <v>356</v>
      </c>
      <c r="B19" s="118"/>
      <c r="C19" s="145" t="s">
        <v>6957</v>
      </c>
      <c r="D19" s="153"/>
    </row>
    <row r="20" spans="1:4" x14ac:dyDescent="0.25">
      <c r="A20" s="144" t="s">
        <v>224</v>
      </c>
      <c r="B20" s="118"/>
      <c r="C20" s="126"/>
      <c r="D20" s="153"/>
    </row>
    <row r="21" spans="1:4" x14ac:dyDescent="0.25">
      <c r="A21" s="144" t="s">
        <v>67</v>
      </c>
      <c r="B21" s="118"/>
      <c r="C21" s="145" t="s">
        <v>6942</v>
      </c>
      <c r="D21" s="153"/>
    </row>
    <row r="22" spans="1:4" x14ac:dyDescent="0.25">
      <c r="A22" s="144" t="s">
        <v>2414</v>
      </c>
      <c r="B22" s="118"/>
      <c r="C22" s="145" t="s">
        <v>305</v>
      </c>
      <c r="D22" s="153"/>
    </row>
    <row r="23" spans="1:4" x14ac:dyDescent="0.25">
      <c r="A23" s="144" t="s">
        <v>108</v>
      </c>
      <c r="B23" s="118"/>
      <c r="C23" s="126"/>
      <c r="D23" s="153"/>
    </row>
    <row r="24" spans="1:4" x14ac:dyDescent="0.25">
      <c r="A24" s="144" t="s">
        <v>713</v>
      </c>
      <c r="B24" s="118"/>
      <c r="C24" s="145" t="s">
        <v>6959</v>
      </c>
      <c r="D24" s="153"/>
    </row>
    <row r="25" spans="1:4" x14ac:dyDescent="0.25">
      <c r="A25" s="144" t="s">
        <v>110</v>
      </c>
      <c r="B25" s="118"/>
      <c r="C25" s="145" t="s">
        <v>6951</v>
      </c>
      <c r="D25" s="153"/>
    </row>
    <row r="26" spans="1:4" x14ac:dyDescent="0.25">
      <c r="A26" s="144" t="s">
        <v>76</v>
      </c>
      <c r="B26" s="118"/>
      <c r="C26" s="126"/>
      <c r="D26" s="153"/>
    </row>
    <row r="27" spans="1:4" x14ac:dyDescent="0.25">
      <c r="A27" s="144" t="s">
        <v>331</v>
      </c>
      <c r="B27" s="118"/>
      <c r="C27" s="126"/>
      <c r="D27" s="153"/>
    </row>
    <row r="28" spans="1:4" x14ac:dyDescent="0.25">
      <c r="A28" s="144" t="s">
        <v>684</v>
      </c>
      <c r="B28" s="118"/>
      <c r="C28" s="145" t="s">
        <v>6941</v>
      </c>
      <c r="D28" s="153"/>
    </row>
    <row r="29" spans="1:4" x14ac:dyDescent="0.25">
      <c r="A29" s="144" t="s">
        <v>14</v>
      </c>
      <c r="B29" s="118"/>
      <c r="C29" s="126"/>
      <c r="D29" s="153"/>
    </row>
    <row r="30" spans="1:4" x14ac:dyDescent="0.25">
      <c r="A30" s="144" t="s">
        <v>5636</v>
      </c>
      <c r="B30" s="118"/>
      <c r="C30" s="145" t="s">
        <v>6961</v>
      </c>
      <c r="D30" s="153"/>
    </row>
    <row r="31" spans="1:4" x14ac:dyDescent="0.25">
      <c r="A31" s="144" t="s">
        <v>435</v>
      </c>
      <c r="B31" s="118"/>
      <c r="C31" s="126"/>
      <c r="D31" s="153"/>
    </row>
    <row r="32" spans="1:4" x14ac:dyDescent="0.25">
      <c r="A32" s="144" t="s">
        <v>227</v>
      </c>
      <c r="B32" s="118"/>
      <c r="C32" s="126"/>
      <c r="D32" s="153"/>
    </row>
    <row r="33" spans="1:4" x14ac:dyDescent="0.25">
      <c r="A33" s="144" t="s">
        <v>193</v>
      </c>
      <c r="B33" s="118"/>
      <c r="C33" s="126"/>
      <c r="D33" s="153"/>
    </row>
    <row r="34" spans="1:4" x14ac:dyDescent="0.25">
      <c r="A34" s="144" t="s">
        <v>122</v>
      </c>
      <c r="B34" s="118"/>
      <c r="C34" s="126"/>
      <c r="D34" s="153"/>
    </row>
    <row r="35" spans="1:4" x14ac:dyDescent="0.25">
      <c r="A35" s="144" t="s">
        <v>61</v>
      </c>
      <c r="B35" s="118"/>
      <c r="C35" s="145" t="s">
        <v>6955</v>
      </c>
      <c r="D35" s="153"/>
    </row>
    <row r="36" spans="1:4" x14ac:dyDescent="0.25">
      <c r="A36" s="144" t="s">
        <v>6703</v>
      </c>
      <c r="B36" s="118"/>
      <c r="C36" s="126"/>
      <c r="D36" s="153"/>
    </row>
    <row r="37" spans="1:4" x14ac:dyDescent="0.25">
      <c r="A37" s="144" t="s">
        <v>125</v>
      </c>
      <c r="B37" s="118"/>
      <c r="C37" s="145" t="s">
        <v>6944</v>
      </c>
      <c r="D37" s="153"/>
    </row>
    <row r="38" spans="1:4" x14ac:dyDescent="0.25">
      <c r="A38" s="144" t="s">
        <v>51</v>
      </c>
      <c r="B38" s="118"/>
      <c r="C38" s="145" t="s">
        <v>6950</v>
      </c>
      <c r="D38" s="153"/>
    </row>
    <row r="39" spans="1:4" x14ac:dyDescent="0.25">
      <c r="A39" s="144" t="s">
        <v>306</v>
      </c>
      <c r="B39" s="118"/>
      <c r="C39" s="145" t="s">
        <v>6943</v>
      </c>
      <c r="D39" s="153"/>
    </row>
    <row r="40" spans="1:4" x14ac:dyDescent="0.25">
      <c r="A40" s="144" t="s">
        <v>1597</v>
      </c>
      <c r="B40" s="118"/>
      <c r="C40" s="126"/>
      <c r="D40" s="153"/>
    </row>
    <row r="41" spans="1:4" x14ac:dyDescent="0.25">
      <c r="A41" s="144" t="s">
        <v>128</v>
      </c>
      <c r="B41" s="118"/>
      <c r="C41" s="145" t="s">
        <v>6949</v>
      </c>
      <c r="D41" s="153"/>
    </row>
    <row r="42" spans="1:4" x14ac:dyDescent="0.25">
      <c r="A42" s="144" t="s">
        <v>307</v>
      </c>
      <c r="B42" s="118"/>
      <c r="C42" s="145" t="s">
        <v>6960</v>
      </c>
      <c r="D42" s="153"/>
    </row>
    <row r="43" spans="1:4" x14ac:dyDescent="0.25">
      <c r="A43" s="144" t="s">
        <v>82</v>
      </c>
      <c r="B43" s="118"/>
      <c r="C43" s="126"/>
      <c r="D43" s="153"/>
    </row>
    <row r="44" spans="1:4" x14ac:dyDescent="0.25">
      <c r="A44" s="144" t="s">
        <v>130</v>
      </c>
      <c r="B44" s="118"/>
      <c r="C44" s="145" t="s">
        <v>6958</v>
      </c>
      <c r="D44" s="153"/>
    </row>
    <row r="45" spans="1:4" x14ac:dyDescent="0.25">
      <c r="A45" s="144" t="s">
        <v>24</v>
      </c>
      <c r="B45" s="118"/>
      <c r="C45" s="145" t="s">
        <v>6957</v>
      </c>
      <c r="D45" s="153"/>
    </row>
    <row r="46" spans="1:4" x14ac:dyDescent="0.25">
      <c r="A46" s="144" t="s">
        <v>64</v>
      </c>
      <c r="B46" s="118"/>
      <c r="C46" s="145" t="s">
        <v>6956</v>
      </c>
      <c r="D46" s="153"/>
    </row>
    <row r="47" spans="1:4" x14ac:dyDescent="0.25">
      <c r="A47" s="144" t="s">
        <v>132</v>
      </c>
      <c r="B47" s="118"/>
      <c r="C47" s="145" t="s">
        <v>6953</v>
      </c>
      <c r="D47" s="153"/>
    </row>
    <row r="48" spans="1:4" x14ac:dyDescent="0.25">
      <c r="A48" s="144" t="s">
        <v>367</v>
      </c>
      <c r="B48" s="118"/>
      <c r="C48" s="126"/>
      <c r="D48" s="153"/>
    </row>
    <row r="49" spans="1:4" x14ac:dyDescent="0.25">
      <c r="A49" s="144" t="s">
        <v>433</v>
      </c>
      <c r="B49" s="118"/>
      <c r="C49" s="145" t="s">
        <v>6940</v>
      </c>
      <c r="D49" s="153"/>
    </row>
    <row r="50" spans="1:4" x14ac:dyDescent="0.25">
      <c r="A50" s="144" t="s">
        <v>272</v>
      </c>
      <c r="B50" s="118"/>
      <c r="C50" s="126"/>
      <c r="D50" s="153"/>
    </row>
    <row r="51" spans="1:4" x14ac:dyDescent="0.25">
      <c r="A51" s="144" t="s">
        <v>225</v>
      </c>
      <c r="B51" s="118"/>
      <c r="C51" s="126"/>
      <c r="D51" s="153"/>
    </row>
    <row r="52" spans="1:4" x14ac:dyDescent="0.25">
      <c r="A52" s="144" t="s">
        <v>6948</v>
      </c>
      <c r="B52" s="118"/>
      <c r="C52" s="126"/>
      <c r="D52" s="153"/>
    </row>
    <row r="53" spans="1:4" x14ac:dyDescent="0.25">
      <c r="A53" s="144" t="s">
        <v>322</v>
      </c>
      <c r="B53" s="118"/>
      <c r="C53" s="145" t="s">
        <v>6943</v>
      </c>
      <c r="D53" s="153"/>
    </row>
    <row r="54" spans="1:4" x14ac:dyDescent="0.25">
      <c r="A54" s="144" t="s">
        <v>52</v>
      </c>
      <c r="B54" s="118"/>
      <c r="C54" s="145" t="s">
        <v>6943</v>
      </c>
      <c r="D54" s="153"/>
    </row>
    <row r="55" spans="1:4" x14ac:dyDescent="0.25">
      <c r="A55" s="144" t="s">
        <v>37</v>
      </c>
      <c r="B55" s="118"/>
      <c r="C55" s="145" t="s">
        <v>6943</v>
      </c>
      <c r="D55" s="153"/>
    </row>
    <row r="56" spans="1:4" x14ac:dyDescent="0.25">
      <c r="A56" s="144" t="s">
        <v>85</v>
      </c>
      <c r="B56" s="118"/>
      <c r="C56" s="126"/>
      <c r="D56" s="153"/>
    </row>
    <row r="57" spans="1:4" x14ac:dyDescent="0.25">
      <c r="A57" s="144" t="s">
        <v>1335</v>
      </c>
      <c r="B57" s="118"/>
      <c r="C57" s="126"/>
      <c r="D57" s="153"/>
    </row>
    <row r="58" spans="1:4" x14ac:dyDescent="0.25">
      <c r="A58" s="144" t="s">
        <v>326</v>
      </c>
      <c r="B58" s="118"/>
      <c r="C58" s="126"/>
      <c r="D58" s="153"/>
    </row>
    <row r="59" spans="1:4" x14ac:dyDescent="0.25">
      <c r="A59" s="144" t="s">
        <v>144</v>
      </c>
      <c r="B59" s="118"/>
      <c r="C59" s="145" t="s">
        <v>6939</v>
      </c>
      <c r="D59" s="153"/>
    </row>
    <row r="60" spans="1:4" x14ac:dyDescent="0.25">
      <c r="A60" s="144" t="s">
        <v>146</v>
      </c>
      <c r="B60" s="118"/>
      <c r="C60" s="145" t="s">
        <v>6954</v>
      </c>
      <c r="D60" s="153"/>
    </row>
    <row r="61" spans="1:4" x14ac:dyDescent="0.25">
      <c r="A61" s="157" t="s">
        <v>376</v>
      </c>
      <c r="B61" s="118"/>
      <c r="C61" s="158" t="s">
        <v>6993</v>
      </c>
      <c r="D61" s="153"/>
    </row>
    <row r="62" spans="1:4" x14ac:dyDescent="0.25">
      <c r="A62" s="149"/>
      <c r="B62" s="150"/>
      <c r="C62" s="151"/>
      <c r="D62" s="154"/>
    </row>
    <row r="63" spans="1:4" x14ac:dyDescent="0.25">
      <c r="A63" s="170" t="s">
        <v>73</v>
      </c>
      <c r="B63" s="172">
        <v>45072</v>
      </c>
      <c r="C63" s="171" t="s">
        <v>7056</v>
      </c>
    </row>
    <row r="64" spans="1:4" x14ac:dyDescent="0.25">
      <c r="A64" s="175" t="s">
        <v>85</v>
      </c>
      <c r="B64" s="8">
        <v>45080</v>
      </c>
      <c r="C64" s="176" t="s">
        <v>7062</v>
      </c>
    </row>
    <row r="65" spans="1:3" x14ac:dyDescent="0.25">
      <c r="A65" s="175" t="s">
        <v>51</v>
      </c>
      <c r="B65" s="8">
        <v>45080</v>
      </c>
      <c r="C65" s="176" t="s">
        <v>7062</v>
      </c>
    </row>
  </sheetData>
  <mergeCells count="6">
    <mergeCell ref="M1:O1"/>
    <mergeCell ref="U1:W1"/>
    <mergeCell ref="Q1:S1"/>
    <mergeCell ref="A1:C1"/>
    <mergeCell ref="I1:K1"/>
    <mergeCell ref="E1:G1"/>
  </mergeCells>
  <conditionalFormatting sqref="A2:A49">
    <cfRule type="duplicateValues" dxfId="12" priority="2"/>
  </conditionalFormatting>
  <conditionalFormatting sqref="A2:A59">
    <cfRule type="duplicateValues" dxfId="11"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C41" sqref="C41"/>
    </sheetView>
  </sheetViews>
  <sheetFormatPr defaultColWidth="8.85546875" defaultRowHeight="12" x14ac:dyDescent="0.2"/>
  <cols>
    <col min="1" max="1" width="8.85546875" style="123" customWidth="1"/>
    <col min="2" max="2" width="10.7109375" style="118" customWidth="1"/>
    <col min="3" max="3" width="51.28515625" style="126" customWidth="1"/>
    <col min="4" max="4" width="12" style="126" customWidth="1"/>
    <col min="5" max="5" width="12.85546875" style="126" customWidth="1"/>
    <col min="6" max="6" width="3.85546875" style="123" customWidth="1"/>
    <col min="7" max="7" width="6.42578125" style="123" customWidth="1"/>
    <col min="8" max="8" width="10.7109375" style="118" customWidth="1"/>
    <col min="9" max="9" width="51.28515625" style="126" customWidth="1"/>
    <col min="10" max="10" width="12" style="126" customWidth="1"/>
    <col min="11" max="11" width="12.85546875" style="126" customWidth="1"/>
    <col min="12" max="12" width="3.85546875" style="123" customWidth="1"/>
    <col min="13" max="13" width="9.5703125" style="123" customWidth="1"/>
    <col min="14" max="14" width="13.140625" style="118" customWidth="1"/>
    <col min="15" max="15" width="28.42578125" style="126" customWidth="1"/>
    <col min="16" max="16" width="3.85546875" style="123" customWidth="1"/>
    <col min="17" max="17" width="9.5703125" style="123" customWidth="1"/>
    <col min="18" max="18" width="13.140625" style="118" customWidth="1"/>
    <col min="19" max="19" width="28.42578125" style="126" customWidth="1"/>
    <col min="20" max="20" width="3.85546875" style="123" customWidth="1"/>
    <col min="21" max="21" width="7.85546875" style="118" customWidth="1"/>
    <col min="22" max="22" width="14.85546875" style="123" customWidth="1"/>
    <col min="23" max="23" width="3.85546875" style="123" customWidth="1"/>
    <col min="24" max="24" width="11.28515625" style="123" customWidth="1"/>
    <col min="25" max="25" width="13.7109375" style="118" customWidth="1"/>
    <col min="26" max="26" width="3.85546875" style="123" customWidth="1"/>
    <col min="27" max="27" width="11.85546875" style="123" customWidth="1"/>
    <col min="28" max="28" width="15.5703125" style="118" customWidth="1"/>
    <col min="29" max="29" width="3.85546875" style="123" customWidth="1"/>
    <col min="30" max="16384" width="8.85546875" style="118"/>
  </cols>
  <sheetData>
    <row r="1" spans="1:29" ht="57" customHeight="1" x14ac:dyDescent="0.2">
      <c r="A1" s="114" t="s">
        <v>410</v>
      </c>
      <c r="B1" s="115" t="s">
        <v>6698</v>
      </c>
      <c r="C1" s="116" t="s">
        <v>6758</v>
      </c>
      <c r="D1" s="116" t="s">
        <v>4421</v>
      </c>
      <c r="E1" s="116" t="s">
        <v>6711</v>
      </c>
      <c r="F1" s="115"/>
      <c r="G1" s="114" t="s">
        <v>410</v>
      </c>
      <c r="H1" s="115" t="s">
        <v>6698</v>
      </c>
      <c r="I1" s="116" t="s">
        <v>6702</v>
      </c>
      <c r="J1" s="116" t="s">
        <v>4421</v>
      </c>
      <c r="K1" s="116" t="s">
        <v>6711</v>
      </c>
      <c r="L1" s="115"/>
      <c r="M1" s="114" t="s">
        <v>410</v>
      </c>
      <c r="N1" s="115" t="s">
        <v>6698</v>
      </c>
      <c r="O1" s="116" t="s">
        <v>6680</v>
      </c>
      <c r="P1" s="115"/>
      <c r="Q1" s="114" t="s">
        <v>410</v>
      </c>
      <c r="R1" s="115" t="s">
        <v>6697</v>
      </c>
      <c r="S1" s="116" t="s">
        <v>6680</v>
      </c>
      <c r="T1" s="115"/>
      <c r="U1" s="117" t="s">
        <v>410</v>
      </c>
      <c r="V1" s="115" t="s">
        <v>5627</v>
      </c>
      <c r="W1" s="115"/>
      <c r="X1" s="114" t="s">
        <v>5635</v>
      </c>
      <c r="Y1" s="115" t="s">
        <v>5629</v>
      </c>
      <c r="Z1" s="115"/>
      <c r="AA1" s="114" t="s">
        <v>5634</v>
      </c>
      <c r="AB1" s="115" t="s">
        <v>5633</v>
      </c>
      <c r="AC1" s="115"/>
    </row>
    <row r="2" spans="1:29" x14ac:dyDescent="0.2">
      <c r="A2" s="118" t="s">
        <v>59</v>
      </c>
      <c r="B2" s="119">
        <v>0</v>
      </c>
      <c r="C2" s="120" t="s">
        <v>6696</v>
      </c>
      <c r="D2" s="120" t="s">
        <v>6716</v>
      </c>
      <c r="E2" s="120" t="s">
        <v>4047</v>
      </c>
      <c r="F2" s="121"/>
      <c r="G2" s="118" t="s">
        <v>59</v>
      </c>
      <c r="H2" s="119">
        <v>15000</v>
      </c>
      <c r="I2" s="120" t="s">
        <v>6696</v>
      </c>
      <c r="J2" s="120" t="s">
        <v>6716</v>
      </c>
      <c r="K2" s="120" t="s">
        <v>4047</v>
      </c>
      <c r="L2" s="121"/>
      <c r="M2" s="118" t="s">
        <v>59</v>
      </c>
      <c r="N2" s="119">
        <v>0</v>
      </c>
      <c r="O2" s="120" t="s">
        <v>6696</v>
      </c>
      <c r="P2" s="121"/>
      <c r="Q2" s="118" t="s">
        <v>104</v>
      </c>
      <c r="R2" s="119">
        <v>0</v>
      </c>
      <c r="S2" s="120" t="s">
        <v>6684</v>
      </c>
      <c r="T2" s="121"/>
      <c r="U2" s="118" t="s">
        <v>104</v>
      </c>
      <c r="V2" s="119">
        <v>25000</v>
      </c>
      <c r="W2" s="121"/>
      <c r="X2" s="118" t="s">
        <v>104</v>
      </c>
      <c r="Y2" s="119">
        <v>20000</v>
      </c>
      <c r="Z2" s="121"/>
      <c r="AA2" s="118" t="s">
        <v>104</v>
      </c>
      <c r="AB2" s="119">
        <v>20000</v>
      </c>
      <c r="AC2" s="121"/>
    </row>
    <row r="3" spans="1:29" x14ac:dyDescent="0.2">
      <c r="A3" s="118" t="s">
        <v>5622</v>
      </c>
      <c r="B3" s="119">
        <v>0</v>
      </c>
      <c r="C3" s="120" t="s">
        <v>6701</v>
      </c>
      <c r="D3" s="120" t="s">
        <v>6713</v>
      </c>
      <c r="E3" s="120" t="s">
        <v>6714</v>
      </c>
      <c r="F3" s="121"/>
      <c r="G3" s="118" t="s">
        <v>5622</v>
      </c>
      <c r="H3" s="119">
        <v>12500</v>
      </c>
      <c r="I3" s="120" t="s">
        <v>6701</v>
      </c>
      <c r="J3" s="120" t="s">
        <v>6713</v>
      </c>
      <c r="K3" s="120" t="s">
        <v>6714</v>
      </c>
      <c r="L3" s="121"/>
      <c r="M3" s="118" t="s">
        <v>104</v>
      </c>
      <c r="N3" s="119">
        <v>0</v>
      </c>
      <c r="O3" s="120" t="s">
        <v>6684</v>
      </c>
      <c r="P3" s="121"/>
      <c r="Q3" s="118" t="s">
        <v>511</v>
      </c>
      <c r="R3" s="119">
        <v>0</v>
      </c>
      <c r="S3" s="120" t="s">
        <v>6683</v>
      </c>
      <c r="T3" s="121"/>
      <c r="U3" s="118" t="s">
        <v>26</v>
      </c>
      <c r="V3" s="119">
        <v>20000</v>
      </c>
      <c r="W3" s="121"/>
      <c r="X3" s="118" t="s">
        <v>26</v>
      </c>
      <c r="Y3" s="119">
        <v>20000</v>
      </c>
      <c r="Z3" s="121"/>
      <c r="AA3" s="118" t="s">
        <v>81</v>
      </c>
      <c r="AB3" s="119">
        <v>20000</v>
      </c>
      <c r="AC3" s="121"/>
    </row>
    <row r="4" spans="1:29" x14ac:dyDescent="0.2">
      <c r="A4" s="118" t="s">
        <v>6700</v>
      </c>
      <c r="B4" s="119">
        <v>0</v>
      </c>
      <c r="C4" s="120" t="s">
        <v>6728</v>
      </c>
      <c r="D4" s="120" t="s">
        <v>6713</v>
      </c>
      <c r="E4" s="120" t="s">
        <v>6714</v>
      </c>
      <c r="F4" s="121"/>
      <c r="G4" s="118" t="s">
        <v>6700</v>
      </c>
      <c r="H4" s="119">
        <v>7500</v>
      </c>
      <c r="I4" s="120" t="s">
        <v>6728</v>
      </c>
      <c r="J4" s="120" t="s">
        <v>6713</v>
      </c>
      <c r="K4" s="120" t="s">
        <v>6714</v>
      </c>
      <c r="L4" s="121"/>
      <c r="M4" s="118" t="s">
        <v>511</v>
      </c>
      <c r="N4" s="119">
        <v>0</v>
      </c>
      <c r="O4" s="120" t="s">
        <v>6683</v>
      </c>
      <c r="P4" s="121"/>
      <c r="Q4" s="118" t="s">
        <v>351</v>
      </c>
      <c r="R4" s="119">
        <v>0</v>
      </c>
      <c r="S4" s="120" t="s">
        <v>6683</v>
      </c>
      <c r="T4" s="121"/>
      <c r="U4" s="118" t="s">
        <v>51</v>
      </c>
      <c r="V4" s="119">
        <v>20000</v>
      </c>
      <c r="W4" s="121"/>
      <c r="X4" s="118" t="s">
        <v>81</v>
      </c>
      <c r="Y4" s="119">
        <v>20000</v>
      </c>
      <c r="Z4" s="121"/>
      <c r="AA4" s="118" t="s">
        <v>51</v>
      </c>
      <c r="AB4" s="119">
        <v>20000</v>
      </c>
      <c r="AC4" s="121"/>
    </row>
    <row r="5" spans="1:29" x14ac:dyDescent="0.2">
      <c r="A5" s="118" t="s">
        <v>51</v>
      </c>
      <c r="B5" s="119">
        <v>0</v>
      </c>
      <c r="C5" s="120" t="s">
        <v>6729</v>
      </c>
      <c r="D5" s="120" t="s">
        <v>6713</v>
      </c>
      <c r="E5" s="120" t="s">
        <v>6714</v>
      </c>
      <c r="F5" s="121"/>
      <c r="G5" s="118" t="s">
        <v>51</v>
      </c>
      <c r="H5" s="119">
        <v>7500</v>
      </c>
      <c r="I5" s="120" t="s">
        <v>6729</v>
      </c>
      <c r="J5" s="120" t="s">
        <v>6713</v>
      </c>
      <c r="K5" s="120" t="s">
        <v>6714</v>
      </c>
      <c r="L5" s="121"/>
      <c r="M5" s="118" t="s">
        <v>351</v>
      </c>
      <c r="N5" s="119">
        <v>0</v>
      </c>
      <c r="O5" s="120" t="s">
        <v>6683</v>
      </c>
      <c r="P5" s="121"/>
      <c r="Q5" s="118" t="s">
        <v>3158</v>
      </c>
      <c r="R5" s="119">
        <v>0</v>
      </c>
      <c r="S5" s="120" t="s">
        <v>6679</v>
      </c>
      <c r="T5" s="121"/>
      <c r="U5" s="118" t="s">
        <v>24</v>
      </c>
      <c r="V5" s="119">
        <v>20000</v>
      </c>
      <c r="W5" s="121"/>
      <c r="X5" s="118" t="s">
        <v>51</v>
      </c>
      <c r="Y5" s="119">
        <v>20000</v>
      </c>
      <c r="Z5" s="121"/>
      <c r="AA5" s="118" t="s">
        <v>24</v>
      </c>
      <c r="AB5" s="119">
        <v>20000</v>
      </c>
      <c r="AC5" s="121"/>
    </row>
    <row r="6" spans="1:29" x14ac:dyDescent="0.2">
      <c r="A6" s="118" t="s">
        <v>9</v>
      </c>
      <c r="B6" s="119">
        <v>0</v>
      </c>
      <c r="C6" s="138" t="s">
        <v>6740</v>
      </c>
      <c r="D6" s="120" t="s">
        <v>6713</v>
      </c>
      <c r="E6" s="120" t="s">
        <v>6715</v>
      </c>
      <c r="F6" s="121"/>
      <c r="G6" s="118" t="s">
        <v>9</v>
      </c>
      <c r="H6" s="119">
        <v>7500</v>
      </c>
      <c r="I6" s="138" t="s">
        <v>6740</v>
      </c>
      <c r="J6" s="120" t="s">
        <v>6713</v>
      </c>
      <c r="K6" s="120" t="s">
        <v>6715</v>
      </c>
      <c r="L6" s="121"/>
      <c r="M6" s="118" t="s">
        <v>3158</v>
      </c>
      <c r="N6" s="119">
        <v>0</v>
      </c>
      <c r="O6" s="120" t="s">
        <v>6679</v>
      </c>
      <c r="P6" s="121"/>
      <c r="Q6" s="118" t="s">
        <v>81</v>
      </c>
      <c r="R6" s="119">
        <v>0</v>
      </c>
      <c r="S6" s="120" t="s">
        <v>6679</v>
      </c>
      <c r="T6" s="121"/>
      <c r="U6" s="118" t="s">
        <v>3221</v>
      </c>
      <c r="V6" s="119">
        <v>20000</v>
      </c>
      <c r="W6" s="121"/>
      <c r="X6" s="118" t="s">
        <v>24</v>
      </c>
      <c r="Y6" s="119">
        <v>20000</v>
      </c>
      <c r="Z6" s="121"/>
      <c r="AA6" s="118" t="s">
        <v>3221</v>
      </c>
      <c r="AB6" s="119">
        <v>20000</v>
      </c>
      <c r="AC6" s="121"/>
    </row>
    <row r="7" spans="1:29" x14ac:dyDescent="0.2">
      <c r="A7" s="118" t="s">
        <v>3158</v>
      </c>
      <c r="B7" s="119">
        <v>0</v>
      </c>
      <c r="C7" s="120" t="s">
        <v>6710</v>
      </c>
      <c r="D7" s="120" t="s">
        <v>6712</v>
      </c>
      <c r="E7" s="120" t="s">
        <v>6718</v>
      </c>
      <c r="F7" s="121"/>
      <c r="G7" s="118" t="s">
        <v>3158</v>
      </c>
      <c r="H7" s="119">
        <v>0</v>
      </c>
      <c r="I7" s="120" t="s">
        <v>6710</v>
      </c>
      <c r="J7" s="120" t="s">
        <v>6712</v>
      </c>
      <c r="K7" s="120" t="s">
        <v>6718</v>
      </c>
      <c r="L7" s="121"/>
      <c r="M7" s="118" t="s">
        <v>81</v>
      </c>
      <c r="N7" s="119">
        <v>0</v>
      </c>
      <c r="O7" s="120" t="s">
        <v>6679</v>
      </c>
      <c r="P7" s="121"/>
      <c r="Q7" s="118" t="s">
        <v>128</v>
      </c>
      <c r="R7" s="119">
        <v>0</v>
      </c>
      <c r="S7" s="120" t="s">
        <v>6679</v>
      </c>
      <c r="T7" s="121"/>
      <c r="U7" s="118" t="s">
        <v>351</v>
      </c>
      <c r="V7" s="119">
        <v>15000</v>
      </c>
      <c r="W7" s="121"/>
      <c r="X7" s="118" t="s">
        <v>3221</v>
      </c>
      <c r="Y7" s="119">
        <v>20000</v>
      </c>
      <c r="Z7" s="121"/>
      <c r="AA7" s="118" t="s">
        <v>13</v>
      </c>
      <c r="AB7" s="119">
        <v>15000</v>
      </c>
      <c r="AC7" s="121"/>
    </row>
    <row r="8" spans="1:29" x14ac:dyDescent="0.2">
      <c r="A8" s="118" t="s">
        <v>433</v>
      </c>
      <c r="B8" s="119">
        <v>0</v>
      </c>
      <c r="C8" s="120" t="s">
        <v>6704</v>
      </c>
      <c r="D8" s="120" t="s">
        <v>6712</v>
      </c>
      <c r="E8" s="120" t="s">
        <v>6718</v>
      </c>
      <c r="F8" s="121"/>
      <c r="G8" s="118" t="s">
        <v>433</v>
      </c>
      <c r="H8" s="119">
        <v>0</v>
      </c>
      <c r="I8" s="120" t="s">
        <v>6704</v>
      </c>
      <c r="J8" s="120" t="s">
        <v>6712</v>
      </c>
      <c r="K8" s="120" t="s">
        <v>6718</v>
      </c>
      <c r="L8" s="121"/>
      <c r="M8" s="118" t="s">
        <v>128</v>
      </c>
      <c r="N8" s="119">
        <v>0</v>
      </c>
      <c r="O8" s="120" t="s">
        <v>6679</v>
      </c>
      <c r="P8" s="121"/>
      <c r="Q8" s="118" t="s">
        <v>433</v>
      </c>
      <c r="R8" s="119">
        <v>0</v>
      </c>
      <c r="S8" s="120" t="s">
        <v>6679</v>
      </c>
      <c r="T8" s="121"/>
      <c r="U8" s="118" t="s">
        <v>13</v>
      </c>
      <c r="V8" s="119">
        <v>15000</v>
      </c>
      <c r="W8" s="121"/>
      <c r="X8" s="118" t="s">
        <v>351</v>
      </c>
      <c r="Y8" s="119">
        <v>15000</v>
      </c>
      <c r="Z8" s="121"/>
      <c r="AA8" s="118" t="s">
        <v>511</v>
      </c>
      <c r="AB8" s="119">
        <v>10000</v>
      </c>
      <c r="AC8" s="121"/>
    </row>
    <row r="9" spans="1:29" x14ac:dyDescent="0.2">
      <c r="A9" s="118" t="s">
        <v>13</v>
      </c>
      <c r="B9" s="119">
        <v>0</v>
      </c>
      <c r="C9" s="120" t="s">
        <v>6706</v>
      </c>
      <c r="D9" s="120" t="s">
        <v>6712</v>
      </c>
      <c r="E9" s="120" t="s">
        <v>6718</v>
      </c>
      <c r="F9" s="121"/>
      <c r="G9" s="118" t="s">
        <v>199</v>
      </c>
      <c r="H9" s="119">
        <v>0</v>
      </c>
      <c r="I9" s="120" t="s">
        <v>6705</v>
      </c>
      <c r="J9" s="120" t="s">
        <v>6712</v>
      </c>
      <c r="K9" s="120" t="s">
        <v>6718</v>
      </c>
      <c r="L9" s="121"/>
      <c r="M9" s="118" t="s">
        <v>433</v>
      </c>
      <c r="N9" s="119">
        <v>0</v>
      </c>
      <c r="O9" s="120" t="s">
        <v>6679</v>
      </c>
      <c r="P9" s="121"/>
      <c r="Q9" s="118" t="s">
        <v>199</v>
      </c>
      <c r="R9" s="119">
        <v>0</v>
      </c>
      <c r="S9" s="120" t="s">
        <v>6679</v>
      </c>
      <c r="T9" s="121"/>
      <c r="U9" s="118" t="s">
        <v>81</v>
      </c>
      <c r="V9" s="119">
        <v>15000</v>
      </c>
      <c r="W9" s="121"/>
      <c r="X9" s="118" t="s">
        <v>13</v>
      </c>
      <c r="Y9" s="119">
        <v>15000</v>
      </c>
      <c r="Z9" s="121"/>
      <c r="AA9" s="118" t="s">
        <v>351</v>
      </c>
      <c r="AB9" s="119">
        <v>10000</v>
      </c>
      <c r="AC9" s="121"/>
    </row>
    <row r="10" spans="1:29" x14ac:dyDescent="0.2">
      <c r="A10" s="118" t="s">
        <v>435</v>
      </c>
      <c r="B10" s="119">
        <v>0</v>
      </c>
      <c r="C10" s="120" t="s">
        <v>6708</v>
      </c>
      <c r="D10" s="120" t="s">
        <v>6712</v>
      </c>
      <c r="E10" s="120" t="s">
        <v>6720</v>
      </c>
      <c r="F10" s="121"/>
      <c r="G10" s="118" t="s">
        <v>13</v>
      </c>
      <c r="H10" s="119">
        <v>0</v>
      </c>
      <c r="I10" s="120" t="s">
        <v>6706</v>
      </c>
      <c r="J10" s="120" t="s">
        <v>6712</v>
      </c>
      <c r="K10" s="120" t="s">
        <v>6718</v>
      </c>
      <c r="L10" s="121"/>
      <c r="M10" s="118" t="s">
        <v>199</v>
      </c>
      <c r="N10" s="119">
        <v>0</v>
      </c>
      <c r="O10" s="120" t="s">
        <v>6679</v>
      </c>
      <c r="P10" s="121"/>
      <c r="Q10" s="118" t="s">
        <v>13</v>
      </c>
      <c r="R10" s="119">
        <v>0</v>
      </c>
      <c r="S10" s="120" t="s">
        <v>4032</v>
      </c>
      <c r="T10" s="121"/>
      <c r="U10" s="118" t="s">
        <v>468</v>
      </c>
      <c r="V10" s="119">
        <v>15000</v>
      </c>
      <c r="W10" s="121"/>
      <c r="X10" s="118" t="s">
        <v>210</v>
      </c>
      <c r="Y10" s="119">
        <v>15000</v>
      </c>
      <c r="Z10" s="121"/>
      <c r="AA10" s="118" t="s">
        <v>435</v>
      </c>
      <c r="AB10" s="119">
        <v>10000</v>
      </c>
      <c r="AC10" s="121"/>
    </row>
    <row r="11" spans="1:29" x14ac:dyDescent="0.2">
      <c r="A11" s="118" t="s">
        <v>3221</v>
      </c>
      <c r="B11" s="119">
        <v>0</v>
      </c>
      <c r="C11" s="120" t="s">
        <v>6707</v>
      </c>
      <c r="D11" s="120" t="s">
        <v>6712</v>
      </c>
      <c r="E11" s="120" t="s">
        <v>6721</v>
      </c>
      <c r="F11" s="121"/>
      <c r="G11" s="118" t="s">
        <v>435</v>
      </c>
      <c r="H11" s="119">
        <v>0</v>
      </c>
      <c r="I11" s="120" t="s">
        <v>6708</v>
      </c>
      <c r="J11" s="120" t="s">
        <v>6712</v>
      </c>
      <c r="K11" s="120" t="s">
        <v>6720</v>
      </c>
      <c r="L11" s="121"/>
      <c r="M11" s="118" t="s">
        <v>13</v>
      </c>
      <c r="N11" s="119">
        <v>0</v>
      </c>
      <c r="O11" s="120" t="s">
        <v>4032</v>
      </c>
      <c r="P11" s="121"/>
      <c r="Q11" s="118" t="s">
        <v>435</v>
      </c>
      <c r="R11" s="119">
        <v>0</v>
      </c>
      <c r="S11" s="120" t="s">
        <v>4032</v>
      </c>
      <c r="T11" s="121"/>
      <c r="U11" s="118" t="s">
        <v>210</v>
      </c>
      <c r="V11" s="119">
        <v>15000</v>
      </c>
      <c r="W11" s="121"/>
      <c r="X11" s="118" t="s">
        <v>3249</v>
      </c>
      <c r="Y11" s="119">
        <v>10000</v>
      </c>
      <c r="Z11" s="121"/>
      <c r="AA11" s="118" t="s">
        <v>3249</v>
      </c>
      <c r="AB11" s="119">
        <v>10000</v>
      </c>
      <c r="AC11" s="121"/>
    </row>
    <row r="12" spans="1:29" x14ac:dyDescent="0.2">
      <c r="A12" s="118" t="s">
        <v>24</v>
      </c>
      <c r="B12" s="119">
        <v>0</v>
      </c>
      <c r="C12" s="120" t="s">
        <v>6706</v>
      </c>
      <c r="D12" s="120" t="s">
        <v>6716</v>
      </c>
      <c r="E12" s="120" t="s">
        <v>6722</v>
      </c>
      <c r="F12" s="121"/>
      <c r="G12" s="118" t="s">
        <v>3221</v>
      </c>
      <c r="H12" s="119">
        <v>0</v>
      </c>
      <c r="I12" s="120" t="s">
        <v>6707</v>
      </c>
      <c r="J12" s="120" t="s">
        <v>6712</v>
      </c>
      <c r="K12" s="120" t="s">
        <v>6721</v>
      </c>
      <c r="L12" s="121"/>
      <c r="M12" s="118" t="s">
        <v>435</v>
      </c>
      <c r="N12" s="119">
        <v>0</v>
      </c>
      <c r="O12" s="120" t="s">
        <v>4032</v>
      </c>
      <c r="P12" s="121"/>
      <c r="Q12" s="118" t="s">
        <v>51</v>
      </c>
      <c r="R12" s="119">
        <v>0</v>
      </c>
      <c r="S12" s="120" t="s">
        <v>4032</v>
      </c>
      <c r="T12" s="121"/>
      <c r="U12" s="118" t="s">
        <v>5062</v>
      </c>
      <c r="V12" s="119">
        <v>10000</v>
      </c>
      <c r="W12" s="121"/>
      <c r="X12" s="118" t="s">
        <v>3201</v>
      </c>
      <c r="Y12" s="119">
        <v>10000</v>
      </c>
      <c r="Z12" s="121"/>
      <c r="AA12" s="118" t="s">
        <v>3201</v>
      </c>
      <c r="AB12" s="119">
        <v>10000</v>
      </c>
      <c r="AC12" s="121"/>
    </row>
    <row r="13" spans="1:29" x14ac:dyDescent="0.2">
      <c r="A13" s="118" t="s">
        <v>6703</v>
      </c>
      <c r="B13" s="119">
        <v>0</v>
      </c>
      <c r="C13" s="120" t="s">
        <v>6682</v>
      </c>
      <c r="D13" s="120" t="s">
        <v>6713</v>
      </c>
      <c r="E13" s="120" t="s">
        <v>6723</v>
      </c>
      <c r="F13" s="121"/>
      <c r="G13" s="118" t="s">
        <v>24</v>
      </c>
      <c r="H13" s="119">
        <v>0</v>
      </c>
      <c r="I13" s="120" t="s">
        <v>6706</v>
      </c>
      <c r="J13" s="120" t="s">
        <v>6716</v>
      </c>
      <c r="K13" s="120" t="s">
        <v>6722</v>
      </c>
      <c r="L13" s="121"/>
      <c r="M13" s="118" t="s">
        <v>51</v>
      </c>
      <c r="N13" s="119">
        <v>0</v>
      </c>
      <c r="O13" s="120" t="s">
        <v>4032</v>
      </c>
      <c r="P13" s="121"/>
      <c r="Q13" s="118" t="s">
        <v>24</v>
      </c>
      <c r="R13" s="119">
        <v>0</v>
      </c>
      <c r="S13" s="120" t="s">
        <v>4032</v>
      </c>
      <c r="T13" s="121"/>
      <c r="U13" s="118" t="s">
        <v>3249</v>
      </c>
      <c r="V13" s="119">
        <v>10000</v>
      </c>
      <c r="W13" s="121"/>
      <c r="X13" s="118" t="s">
        <v>1889</v>
      </c>
      <c r="Y13" s="119">
        <v>10000</v>
      </c>
      <c r="Z13" s="121"/>
      <c r="AA13" s="118" t="s">
        <v>1889</v>
      </c>
      <c r="AB13" s="119">
        <v>10000</v>
      </c>
      <c r="AC13" s="121"/>
    </row>
    <row r="14" spans="1:29" x14ac:dyDescent="0.2">
      <c r="A14" s="118" t="s">
        <v>3225</v>
      </c>
      <c r="B14" s="119">
        <v>0</v>
      </c>
      <c r="C14" s="120" t="s">
        <v>6695</v>
      </c>
      <c r="D14" s="120" t="s">
        <v>6713</v>
      </c>
      <c r="E14" s="120" t="s">
        <v>6724</v>
      </c>
      <c r="F14" s="121"/>
      <c r="G14" s="118" t="s">
        <v>6703</v>
      </c>
      <c r="H14" s="119">
        <v>0</v>
      </c>
      <c r="I14" s="120" t="s">
        <v>6682</v>
      </c>
      <c r="J14" s="120" t="s">
        <v>6713</v>
      </c>
      <c r="K14" s="120" t="s">
        <v>6723</v>
      </c>
      <c r="L14" s="121"/>
      <c r="M14" s="118" t="s">
        <v>24</v>
      </c>
      <c r="N14" s="119">
        <v>0</v>
      </c>
      <c r="O14" s="120" t="s">
        <v>4032</v>
      </c>
      <c r="P14" s="121"/>
      <c r="Q14" s="118" t="s">
        <v>3221</v>
      </c>
      <c r="R14" s="119">
        <v>0</v>
      </c>
      <c r="S14" s="120" t="s">
        <v>6686</v>
      </c>
      <c r="T14" s="121"/>
      <c r="U14" s="118" t="s">
        <v>3201</v>
      </c>
      <c r="V14" s="119">
        <v>10000</v>
      </c>
      <c r="W14" s="121"/>
      <c r="X14" s="118" t="s">
        <v>433</v>
      </c>
      <c r="Y14" s="119">
        <v>10000</v>
      </c>
      <c r="Z14" s="121"/>
      <c r="AA14" s="118" t="s">
        <v>433</v>
      </c>
      <c r="AB14" s="119">
        <v>10000</v>
      </c>
      <c r="AC14" s="121"/>
    </row>
    <row r="15" spans="1:29" x14ac:dyDescent="0.2">
      <c r="A15" s="118" t="s">
        <v>3238</v>
      </c>
      <c r="B15" s="119">
        <v>0</v>
      </c>
      <c r="C15" s="137" t="s">
        <v>6739</v>
      </c>
      <c r="D15" s="120" t="s">
        <v>6713</v>
      </c>
      <c r="E15" s="120" t="s">
        <v>6725</v>
      </c>
      <c r="F15" s="121"/>
      <c r="G15" s="118" t="s">
        <v>3225</v>
      </c>
      <c r="H15" s="119">
        <v>0</v>
      </c>
      <c r="I15" s="120" t="s">
        <v>6695</v>
      </c>
      <c r="J15" s="120" t="s">
        <v>6713</v>
      </c>
      <c r="K15" s="120" t="s">
        <v>6724</v>
      </c>
      <c r="L15" s="121"/>
      <c r="M15" s="118" t="s">
        <v>3221</v>
      </c>
      <c r="N15" s="119">
        <v>0</v>
      </c>
      <c r="O15" s="120" t="s">
        <v>6686</v>
      </c>
      <c r="P15" s="121"/>
      <c r="Q15" s="118" t="s">
        <v>26</v>
      </c>
      <c r="R15" s="119">
        <v>0</v>
      </c>
      <c r="S15" s="120" t="s">
        <v>6682</v>
      </c>
      <c r="T15" s="121"/>
      <c r="U15" s="118" t="s">
        <v>1889</v>
      </c>
      <c r="V15" s="119">
        <v>10000</v>
      </c>
      <c r="W15" s="121"/>
      <c r="X15" s="118" t="s">
        <v>468</v>
      </c>
      <c r="Y15" s="119">
        <v>10000</v>
      </c>
      <c r="Z15" s="121"/>
      <c r="AA15" s="118" t="s">
        <v>468</v>
      </c>
      <c r="AB15" s="119">
        <v>10000</v>
      </c>
      <c r="AC15" s="121"/>
    </row>
    <row r="16" spans="1:29" x14ac:dyDescent="0.2">
      <c r="A16" s="118" t="s">
        <v>1889</v>
      </c>
      <c r="B16" s="119">
        <v>0</v>
      </c>
      <c r="C16" s="120" t="s">
        <v>6681</v>
      </c>
      <c r="D16" s="120" t="s">
        <v>6712</v>
      </c>
      <c r="E16" s="120" t="s">
        <v>6717</v>
      </c>
      <c r="F16" s="121"/>
      <c r="G16" s="118" t="s">
        <v>3238</v>
      </c>
      <c r="H16" s="119">
        <v>0</v>
      </c>
      <c r="I16" s="137" t="s">
        <v>6739</v>
      </c>
      <c r="J16" s="120" t="s">
        <v>6713</v>
      </c>
      <c r="K16" s="120" t="s">
        <v>6725</v>
      </c>
      <c r="L16" s="121"/>
      <c r="M16" s="118" t="s">
        <v>26</v>
      </c>
      <c r="N16" s="119">
        <v>0</v>
      </c>
      <c r="O16" s="120" t="s">
        <v>6682</v>
      </c>
      <c r="P16" s="121"/>
      <c r="Q16" s="118" t="s">
        <v>3225</v>
      </c>
      <c r="R16" s="119">
        <v>0</v>
      </c>
      <c r="S16" s="120" t="s">
        <v>6682</v>
      </c>
      <c r="T16" s="121"/>
      <c r="U16" s="118" t="s">
        <v>433</v>
      </c>
      <c r="V16" s="119">
        <v>10000</v>
      </c>
      <c r="W16" s="121"/>
      <c r="X16" s="118" t="s">
        <v>3238</v>
      </c>
      <c r="Y16" s="119">
        <v>10000</v>
      </c>
      <c r="Z16" s="121"/>
      <c r="AA16" s="118" t="s">
        <v>3238</v>
      </c>
      <c r="AB16" s="119">
        <v>10000</v>
      </c>
      <c r="AC16" s="121"/>
    </row>
    <row r="17" spans="1:29" x14ac:dyDescent="0.2">
      <c r="A17" s="118" t="s">
        <v>3389</v>
      </c>
      <c r="B17" s="119">
        <v>0</v>
      </c>
      <c r="C17" s="120" t="s">
        <v>6691</v>
      </c>
      <c r="D17" s="120" t="s">
        <v>6712</v>
      </c>
      <c r="E17" s="120" t="s">
        <v>6725</v>
      </c>
      <c r="F17" s="121"/>
      <c r="G17" s="118" t="s">
        <v>1889</v>
      </c>
      <c r="H17" s="119">
        <v>0</v>
      </c>
      <c r="I17" s="120" t="s">
        <v>6681</v>
      </c>
      <c r="J17" s="120" t="s">
        <v>6712</v>
      </c>
      <c r="K17" s="120" t="s">
        <v>6717</v>
      </c>
      <c r="L17" s="121"/>
      <c r="M17" s="118" t="s">
        <v>1889</v>
      </c>
      <c r="N17" s="119">
        <v>0</v>
      </c>
      <c r="O17" s="120" t="s">
        <v>6681</v>
      </c>
      <c r="P17" s="121"/>
      <c r="Q17" s="118" t="s">
        <v>3238</v>
      </c>
      <c r="R17" s="119">
        <v>0</v>
      </c>
      <c r="S17" s="120" t="s">
        <v>6682</v>
      </c>
      <c r="T17" s="121"/>
      <c r="U17" s="118" t="s">
        <v>3238</v>
      </c>
      <c r="V17" s="119">
        <v>10000</v>
      </c>
      <c r="W17" s="121"/>
      <c r="X17" s="118" t="s">
        <v>391</v>
      </c>
      <c r="Y17" s="119">
        <v>5000</v>
      </c>
      <c r="Z17" s="121"/>
      <c r="AA17" s="118" t="s">
        <v>391</v>
      </c>
      <c r="AB17" s="119">
        <v>5000</v>
      </c>
      <c r="AC17" s="121"/>
    </row>
    <row r="18" spans="1:29" x14ac:dyDescent="0.2">
      <c r="A18" s="118" t="s">
        <v>3217</v>
      </c>
      <c r="B18" s="119">
        <v>0</v>
      </c>
      <c r="C18" s="120" t="s">
        <v>6691</v>
      </c>
      <c r="D18" s="120" t="s">
        <v>6712</v>
      </c>
      <c r="E18" s="120" t="s">
        <v>6725</v>
      </c>
      <c r="F18" s="121"/>
      <c r="G18" s="118" t="s">
        <v>3389</v>
      </c>
      <c r="H18" s="119">
        <v>0</v>
      </c>
      <c r="I18" s="120" t="s">
        <v>6691</v>
      </c>
      <c r="J18" s="120" t="s">
        <v>6712</v>
      </c>
      <c r="K18" s="120" t="s">
        <v>6725</v>
      </c>
      <c r="L18" s="121"/>
      <c r="M18" s="118" t="s">
        <v>3389</v>
      </c>
      <c r="N18" s="119">
        <v>0</v>
      </c>
      <c r="O18" s="120" t="s">
        <v>6691</v>
      </c>
      <c r="P18" s="121"/>
      <c r="Q18" s="118" t="s">
        <v>1889</v>
      </c>
      <c r="R18" s="119">
        <v>0</v>
      </c>
      <c r="S18" s="120" t="s">
        <v>6681</v>
      </c>
      <c r="T18" s="121"/>
      <c r="U18" s="118" t="s">
        <v>391</v>
      </c>
      <c r="V18" s="119">
        <v>5000</v>
      </c>
      <c r="W18" s="121"/>
      <c r="X18" s="118" t="s">
        <v>273</v>
      </c>
      <c r="Y18" s="119">
        <v>5000</v>
      </c>
      <c r="Z18" s="121"/>
      <c r="AA18" s="118" t="s">
        <v>273</v>
      </c>
      <c r="AB18" s="119">
        <v>5000</v>
      </c>
      <c r="AC18" s="121"/>
    </row>
    <row r="19" spans="1:29" x14ac:dyDescent="0.2">
      <c r="A19" s="118" t="s">
        <v>5062</v>
      </c>
      <c r="B19" s="119">
        <v>0</v>
      </c>
      <c r="C19" s="120" t="s">
        <v>6709</v>
      </c>
      <c r="D19" s="120" t="s">
        <v>6719</v>
      </c>
      <c r="E19" s="120" t="s">
        <v>6723</v>
      </c>
      <c r="F19" s="121"/>
      <c r="G19" s="118" t="s">
        <v>3217</v>
      </c>
      <c r="H19" s="119">
        <v>0</v>
      </c>
      <c r="I19" s="120" t="s">
        <v>6691</v>
      </c>
      <c r="J19" s="120" t="s">
        <v>6712</v>
      </c>
      <c r="K19" s="120" t="s">
        <v>6725</v>
      </c>
      <c r="L19" s="121"/>
      <c r="M19" s="118" t="s">
        <v>3217</v>
      </c>
      <c r="N19" s="119">
        <v>0</v>
      </c>
      <c r="O19" s="120" t="s">
        <v>6691</v>
      </c>
      <c r="P19" s="121"/>
      <c r="Q19" s="118" t="s">
        <v>3389</v>
      </c>
      <c r="R19" s="119">
        <v>0</v>
      </c>
      <c r="S19" s="120" t="s">
        <v>6691</v>
      </c>
      <c r="T19" s="121"/>
      <c r="U19" s="118" t="s">
        <v>273</v>
      </c>
      <c r="V19" s="119">
        <v>5000</v>
      </c>
      <c r="W19" s="121"/>
      <c r="X19" s="118" t="s">
        <v>5062</v>
      </c>
      <c r="Y19" s="119">
        <v>5000</v>
      </c>
      <c r="Z19" s="121"/>
      <c r="AA19" s="118" t="s">
        <v>5062</v>
      </c>
      <c r="AB19" s="119">
        <v>5000</v>
      </c>
      <c r="AC19" s="121"/>
    </row>
    <row r="20" spans="1:29" x14ac:dyDescent="0.2">
      <c r="A20" s="118" t="s">
        <v>409</v>
      </c>
      <c r="B20" s="119">
        <v>0</v>
      </c>
      <c r="C20" s="120" t="s">
        <v>6693</v>
      </c>
      <c r="D20" s="120" t="s">
        <v>6716</v>
      </c>
      <c r="E20" s="120" t="s">
        <v>6722</v>
      </c>
      <c r="F20" s="121"/>
      <c r="G20" s="118" t="s">
        <v>5062</v>
      </c>
      <c r="H20" s="119">
        <v>0</v>
      </c>
      <c r="I20" s="120" t="s">
        <v>6709</v>
      </c>
      <c r="J20" s="120" t="s">
        <v>6719</v>
      </c>
      <c r="K20" s="120" t="s">
        <v>6723</v>
      </c>
      <c r="L20" s="121"/>
      <c r="M20" s="118" t="s">
        <v>391</v>
      </c>
      <c r="N20" s="119">
        <v>0</v>
      </c>
      <c r="O20" s="120" t="s">
        <v>6685</v>
      </c>
      <c r="P20" s="121"/>
      <c r="Q20" s="118" t="s">
        <v>3217</v>
      </c>
      <c r="R20" s="119">
        <v>0</v>
      </c>
      <c r="S20" s="120" t="s">
        <v>6691</v>
      </c>
      <c r="T20" s="121"/>
      <c r="U20" s="118" t="s">
        <v>384</v>
      </c>
      <c r="V20" s="119">
        <v>5000</v>
      </c>
      <c r="W20" s="121"/>
      <c r="X20" s="118" t="s">
        <v>384</v>
      </c>
      <c r="Y20" s="119">
        <v>5000</v>
      </c>
      <c r="Z20" s="121"/>
      <c r="AA20" s="118" t="s">
        <v>384</v>
      </c>
      <c r="AB20" s="119">
        <v>5000</v>
      </c>
      <c r="AC20" s="121"/>
    </row>
    <row r="21" spans="1:29" x14ac:dyDescent="0.2">
      <c r="A21" s="118" t="s">
        <v>3172</v>
      </c>
      <c r="B21" s="119">
        <v>0</v>
      </c>
      <c r="C21" s="120" t="s">
        <v>6727</v>
      </c>
      <c r="D21" s="120"/>
      <c r="E21" s="120"/>
      <c r="F21" s="121"/>
      <c r="G21" s="118" t="s">
        <v>3201</v>
      </c>
      <c r="H21" s="119">
        <v>0</v>
      </c>
      <c r="I21" s="120" t="s">
        <v>6689</v>
      </c>
      <c r="J21" s="120" t="s">
        <v>6719</v>
      </c>
      <c r="K21" s="120" t="s">
        <v>6726</v>
      </c>
      <c r="L21" s="121"/>
      <c r="M21" s="118" t="s">
        <v>384</v>
      </c>
      <c r="N21" s="119">
        <v>0</v>
      </c>
      <c r="O21" s="120" t="s">
        <v>6685</v>
      </c>
      <c r="P21" s="121"/>
      <c r="Q21" s="118" t="s">
        <v>391</v>
      </c>
      <c r="R21" s="119">
        <v>0</v>
      </c>
      <c r="S21" s="120" t="s">
        <v>6685</v>
      </c>
      <c r="T21" s="121"/>
      <c r="U21" s="118" t="s">
        <v>128</v>
      </c>
      <c r="V21" s="119">
        <v>5000</v>
      </c>
      <c r="W21" s="121"/>
      <c r="X21" s="118" t="s">
        <v>128</v>
      </c>
      <c r="Y21" s="119">
        <v>5000</v>
      </c>
      <c r="Z21" s="121"/>
      <c r="AA21" s="118" t="s">
        <v>128</v>
      </c>
      <c r="AB21" s="119">
        <v>5000</v>
      </c>
      <c r="AC21" s="121"/>
    </row>
    <row r="22" spans="1:29" x14ac:dyDescent="0.2">
      <c r="A22" s="135" t="s">
        <v>210</v>
      </c>
      <c r="B22" s="119">
        <v>0</v>
      </c>
      <c r="C22" s="134" t="s">
        <v>6731</v>
      </c>
      <c r="D22" s="120"/>
      <c r="E22" s="120"/>
      <c r="F22" s="121"/>
      <c r="G22" s="118" t="s">
        <v>409</v>
      </c>
      <c r="H22" s="119">
        <v>0</v>
      </c>
      <c r="I22" s="120" t="s">
        <v>6693</v>
      </c>
      <c r="J22" s="120" t="s">
        <v>6716</v>
      </c>
      <c r="K22" s="120" t="s">
        <v>6722</v>
      </c>
      <c r="L22" s="121"/>
      <c r="M22" s="118" t="s">
        <v>5626</v>
      </c>
      <c r="N22" s="119">
        <v>0</v>
      </c>
      <c r="O22" s="120" t="s">
        <v>6685</v>
      </c>
      <c r="P22" s="121"/>
      <c r="Q22" s="118" t="s">
        <v>384</v>
      </c>
      <c r="R22" s="119">
        <v>0</v>
      </c>
      <c r="S22" s="120" t="s">
        <v>6685</v>
      </c>
      <c r="T22" s="121"/>
      <c r="U22" s="118" t="s">
        <v>179</v>
      </c>
      <c r="V22" s="119">
        <v>5000</v>
      </c>
      <c r="W22" s="121"/>
      <c r="X22" s="118" t="s">
        <v>179</v>
      </c>
      <c r="Y22" s="119">
        <v>5000</v>
      </c>
      <c r="Z22" s="121"/>
      <c r="AA22" s="118" t="s">
        <v>179</v>
      </c>
      <c r="AB22" s="119">
        <v>5000</v>
      </c>
      <c r="AC22" s="121"/>
    </row>
    <row r="23" spans="1:29" x14ac:dyDescent="0.2">
      <c r="A23" s="139" t="s">
        <v>150</v>
      </c>
      <c r="B23" s="119">
        <v>0</v>
      </c>
      <c r="C23" s="139"/>
      <c r="F23" s="121"/>
      <c r="G23" s="118" t="s">
        <v>3172</v>
      </c>
      <c r="H23" s="119">
        <v>0</v>
      </c>
      <c r="I23" s="120" t="s">
        <v>6727</v>
      </c>
      <c r="J23" s="120"/>
      <c r="K23" s="120"/>
      <c r="L23" s="121"/>
      <c r="M23" s="118" t="s">
        <v>5062</v>
      </c>
      <c r="N23" s="119">
        <v>0</v>
      </c>
      <c r="O23" s="120" t="s">
        <v>6687</v>
      </c>
      <c r="P23" s="121"/>
      <c r="Q23" s="118" t="s">
        <v>5626</v>
      </c>
      <c r="R23" s="119">
        <v>0</v>
      </c>
      <c r="S23" s="120" t="s">
        <v>6685</v>
      </c>
      <c r="T23" s="121"/>
      <c r="U23" s="118" t="s">
        <v>308</v>
      </c>
      <c r="V23" s="119">
        <v>5000</v>
      </c>
      <c r="W23" s="121"/>
      <c r="X23" s="118" t="s">
        <v>308</v>
      </c>
      <c r="Y23" s="119">
        <v>5000</v>
      </c>
      <c r="Z23" s="121"/>
      <c r="AA23" s="118" t="s">
        <v>308</v>
      </c>
      <c r="AB23" s="119">
        <v>5000</v>
      </c>
      <c r="AC23" s="121"/>
    </row>
    <row r="24" spans="1:29" x14ac:dyDescent="0.2">
      <c r="F24" s="121"/>
      <c r="G24" s="135" t="s">
        <v>210</v>
      </c>
      <c r="H24" s="119">
        <v>0</v>
      </c>
      <c r="I24" s="134" t="s">
        <v>6731</v>
      </c>
      <c r="J24" s="120"/>
      <c r="K24" s="120"/>
      <c r="L24" s="121"/>
      <c r="M24" s="118" t="s">
        <v>3201</v>
      </c>
      <c r="N24" s="119">
        <v>0</v>
      </c>
      <c r="O24" s="120" t="s">
        <v>6689</v>
      </c>
      <c r="P24" s="121"/>
      <c r="Q24" s="118" t="s">
        <v>5062</v>
      </c>
      <c r="R24" s="119">
        <v>0</v>
      </c>
      <c r="S24" s="120" t="s">
        <v>6687</v>
      </c>
      <c r="T24" s="121"/>
      <c r="U24" s="118" t="s">
        <v>5626</v>
      </c>
      <c r="V24" s="119">
        <v>5000</v>
      </c>
      <c r="W24" s="121"/>
      <c r="X24" s="118" t="s">
        <v>5626</v>
      </c>
      <c r="Y24" s="119">
        <v>5000</v>
      </c>
      <c r="Z24" s="121"/>
      <c r="AA24" s="118" t="s">
        <v>5626</v>
      </c>
      <c r="AB24" s="119">
        <v>5000</v>
      </c>
      <c r="AC24" s="121"/>
    </row>
    <row r="25" spans="1:29" x14ac:dyDescent="0.2">
      <c r="A25" s="118" t="s">
        <v>391</v>
      </c>
      <c r="B25" s="119">
        <v>0</v>
      </c>
      <c r="C25" s="134" t="s">
        <v>6730</v>
      </c>
      <c r="D25" s="120"/>
      <c r="E25" s="120"/>
      <c r="F25" s="122"/>
      <c r="L25" s="122"/>
      <c r="M25" s="118" t="s">
        <v>409</v>
      </c>
      <c r="N25" s="119">
        <v>0</v>
      </c>
      <c r="O25" s="120" t="s">
        <v>6693</v>
      </c>
      <c r="P25" s="122"/>
      <c r="Q25" s="118" t="s">
        <v>3201</v>
      </c>
      <c r="R25" s="119">
        <v>0</v>
      </c>
      <c r="S25" s="120" t="s">
        <v>6689</v>
      </c>
      <c r="T25" s="122"/>
      <c r="W25" s="122"/>
      <c r="X25" s="118"/>
      <c r="Z25" s="122"/>
      <c r="AA25" s="118"/>
      <c r="AC25" s="122"/>
    </row>
    <row r="26" spans="1:29" x14ac:dyDescent="0.2">
      <c r="A26" s="118" t="s">
        <v>384</v>
      </c>
      <c r="B26" s="119">
        <v>0</v>
      </c>
      <c r="C26" s="134" t="s">
        <v>6730</v>
      </c>
      <c r="D26" s="120"/>
      <c r="E26" s="120"/>
      <c r="F26" s="124"/>
      <c r="L26" s="124"/>
      <c r="M26" s="118" t="s">
        <v>3249</v>
      </c>
      <c r="N26" s="119">
        <v>0</v>
      </c>
      <c r="O26" s="120" t="s">
        <v>6694</v>
      </c>
      <c r="P26" s="124"/>
      <c r="Q26" s="118" t="s">
        <v>409</v>
      </c>
      <c r="R26" s="119">
        <v>0</v>
      </c>
      <c r="S26" s="120" t="s">
        <v>6693</v>
      </c>
      <c r="T26" s="124"/>
      <c r="U26" s="36"/>
      <c r="V26" s="125"/>
      <c r="W26" s="124"/>
      <c r="X26" s="36"/>
      <c r="Y26" s="125"/>
      <c r="Z26" s="124"/>
      <c r="AA26" s="36"/>
      <c r="AB26" s="125"/>
      <c r="AC26" s="124"/>
    </row>
    <row r="27" spans="1:29" x14ac:dyDescent="0.2">
      <c r="A27" s="118" t="s">
        <v>5626</v>
      </c>
      <c r="B27" s="119">
        <v>0</v>
      </c>
      <c r="C27" s="134" t="s">
        <v>6730</v>
      </c>
      <c r="D27" s="120"/>
      <c r="E27" s="120"/>
      <c r="F27" s="122"/>
      <c r="L27" s="122"/>
      <c r="M27" s="118" t="s">
        <v>3225</v>
      </c>
      <c r="N27" s="119">
        <v>0</v>
      </c>
      <c r="O27" s="120" t="s">
        <v>6695</v>
      </c>
      <c r="P27" s="122"/>
      <c r="Q27" s="118" t="s">
        <v>3249</v>
      </c>
      <c r="R27" s="119">
        <v>0</v>
      </c>
      <c r="S27" s="120" t="s">
        <v>6688</v>
      </c>
      <c r="T27" s="122"/>
      <c r="W27" s="122"/>
      <c r="Z27" s="122"/>
      <c r="AC27" s="122"/>
    </row>
    <row r="28" spans="1:29" x14ac:dyDescent="0.2">
      <c r="F28" s="122"/>
      <c r="G28" s="118" t="s">
        <v>391</v>
      </c>
      <c r="H28" s="119">
        <v>0</v>
      </c>
      <c r="I28" s="134" t="s">
        <v>6730</v>
      </c>
      <c r="J28" s="120"/>
      <c r="K28" s="120"/>
      <c r="L28" s="122"/>
      <c r="M28" s="118" t="s">
        <v>3238</v>
      </c>
      <c r="N28" s="119">
        <v>0</v>
      </c>
      <c r="O28" s="120" t="s">
        <v>6695</v>
      </c>
      <c r="P28" s="122"/>
      <c r="Q28" s="118" t="s">
        <v>4063</v>
      </c>
      <c r="R28" s="119">
        <v>0</v>
      </c>
      <c r="S28" s="120" t="s">
        <v>6690</v>
      </c>
      <c r="T28" s="122"/>
      <c r="W28" s="122"/>
      <c r="Z28" s="122"/>
      <c r="AC28" s="122"/>
    </row>
    <row r="29" spans="1:29" x14ac:dyDescent="0.2">
      <c r="F29" s="122"/>
      <c r="G29" s="118" t="s">
        <v>384</v>
      </c>
      <c r="H29" s="119">
        <v>0</v>
      </c>
      <c r="I29" s="134" t="s">
        <v>6730</v>
      </c>
      <c r="J29" s="120"/>
      <c r="K29" s="120"/>
      <c r="L29" s="122"/>
      <c r="M29" s="118" t="s">
        <v>4063</v>
      </c>
      <c r="N29" s="119">
        <v>0</v>
      </c>
      <c r="O29" s="120" t="s">
        <v>6690</v>
      </c>
      <c r="P29" s="122"/>
      <c r="Q29" s="118"/>
      <c r="R29" s="119"/>
      <c r="S29" s="120"/>
      <c r="T29" s="122"/>
      <c r="W29" s="122"/>
      <c r="Z29" s="122"/>
      <c r="AC29" s="122"/>
    </row>
    <row r="30" spans="1:29" x14ac:dyDescent="0.2">
      <c r="F30" s="122"/>
      <c r="G30" s="118" t="s">
        <v>5626</v>
      </c>
      <c r="H30" s="119">
        <v>0</v>
      </c>
      <c r="I30" s="134" t="s">
        <v>6730</v>
      </c>
      <c r="J30" s="120"/>
      <c r="K30" s="120"/>
      <c r="L30" s="122"/>
      <c r="P30" s="122"/>
      <c r="Q30" s="118"/>
      <c r="R30" s="119"/>
      <c r="S30" s="120"/>
      <c r="T30" s="122"/>
      <c r="W30" s="122"/>
      <c r="Z30" s="122"/>
      <c r="AC30" s="122"/>
    </row>
    <row r="31" spans="1:29" x14ac:dyDescent="0.2">
      <c r="F31" s="122"/>
      <c r="G31" s="131" t="s">
        <v>4063</v>
      </c>
      <c r="H31" s="132">
        <v>0</v>
      </c>
      <c r="I31" s="133" t="s">
        <v>6690</v>
      </c>
      <c r="J31" s="133"/>
      <c r="K31" s="133"/>
      <c r="L31" s="122"/>
      <c r="M31" s="118"/>
      <c r="N31" s="119"/>
      <c r="O31" s="120"/>
      <c r="P31" s="122"/>
      <c r="Q31" s="118"/>
      <c r="R31" s="119"/>
      <c r="S31" s="120"/>
      <c r="T31" s="122"/>
      <c r="W31" s="122"/>
      <c r="Z31" s="122"/>
      <c r="AC31" s="122"/>
    </row>
    <row r="32" spans="1:29" x14ac:dyDescent="0.2">
      <c r="A32" s="143" t="s">
        <v>6937</v>
      </c>
      <c r="F32" s="122"/>
      <c r="G32" s="143" t="s">
        <v>6937</v>
      </c>
      <c r="L32" s="122"/>
      <c r="M32" s="118"/>
      <c r="N32" s="119"/>
      <c r="O32" s="120"/>
      <c r="P32" s="122"/>
      <c r="Q32" s="118"/>
      <c r="R32" s="119"/>
      <c r="S32" s="120"/>
      <c r="T32" s="122"/>
      <c r="W32" s="122"/>
      <c r="Z32" s="122"/>
      <c r="AC32" s="122"/>
    </row>
    <row r="33" spans="1:29" x14ac:dyDescent="0.2">
      <c r="A33" s="136" t="s">
        <v>132</v>
      </c>
      <c r="C33" s="136" t="s">
        <v>6732</v>
      </c>
      <c r="F33" s="122"/>
      <c r="G33" s="136" t="s">
        <v>132</v>
      </c>
      <c r="I33" s="136" t="s">
        <v>6732</v>
      </c>
      <c r="L33" s="122"/>
      <c r="M33" s="118"/>
      <c r="N33" s="119"/>
      <c r="O33" s="120"/>
      <c r="P33" s="122"/>
      <c r="Q33" s="36"/>
      <c r="R33" s="125"/>
      <c r="S33" s="127"/>
      <c r="T33" s="122"/>
      <c r="W33" s="122"/>
      <c r="Z33" s="122"/>
      <c r="AC33" s="122"/>
    </row>
    <row r="34" spans="1:29" x14ac:dyDescent="0.2">
      <c r="A34" s="136" t="s">
        <v>38</v>
      </c>
      <c r="C34" s="136" t="s">
        <v>6733</v>
      </c>
      <c r="F34" s="122"/>
      <c r="G34" s="136" t="s">
        <v>38</v>
      </c>
      <c r="I34" s="136" t="s">
        <v>6733</v>
      </c>
      <c r="L34" s="122"/>
      <c r="M34" s="36"/>
      <c r="N34" s="125"/>
      <c r="O34" s="127"/>
      <c r="P34" s="122"/>
      <c r="Q34" s="36"/>
      <c r="R34" s="125"/>
      <c r="S34" s="127"/>
      <c r="T34" s="122"/>
      <c r="W34" s="122"/>
      <c r="Z34" s="122"/>
      <c r="AC34" s="122"/>
    </row>
    <row r="35" spans="1:29" x14ac:dyDescent="0.2">
      <c r="A35" s="136" t="s">
        <v>3278</v>
      </c>
      <c r="C35" s="136" t="s">
        <v>6734</v>
      </c>
      <c r="F35" s="122"/>
      <c r="G35" s="136" t="s">
        <v>3278</v>
      </c>
      <c r="I35" s="136" t="s">
        <v>6734</v>
      </c>
      <c r="L35" s="122"/>
      <c r="P35" s="122"/>
      <c r="T35" s="122"/>
      <c r="U35" s="36" t="s">
        <v>5628</v>
      </c>
      <c r="V35" s="125">
        <f>SUM(V2:V34)</f>
        <v>275000</v>
      </c>
      <c r="W35" s="124"/>
      <c r="X35" s="36" t="s">
        <v>5628</v>
      </c>
      <c r="Y35" s="125">
        <f>SUM(Y2:Y34)</f>
        <v>265000</v>
      </c>
      <c r="Z35" s="124"/>
      <c r="AA35" s="36" t="s">
        <v>5628</v>
      </c>
      <c r="AB35" s="125">
        <f>SUM(AB2:AB34)</f>
        <v>245000</v>
      </c>
      <c r="AC35" s="124"/>
    </row>
    <row r="36" spans="1:29" x14ac:dyDescent="0.2">
      <c r="C36" s="136" t="s">
        <v>6735</v>
      </c>
      <c r="F36" s="122"/>
      <c r="I36" s="136" t="s">
        <v>6735</v>
      </c>
      <c r="L36" s="122"/>
      <c r="P36" s="122"/>
      <c r="T36" s="122"/>
      <c r="W36" s="122"/>
      <c r="Z36" s="122"/>
      <c r="AC36" s="122"/>
    </row>
    <row r="37" spans="1:29" x14ac:dyDescent="0.2">
      <c r="C37" s="136" t="s">
        <v>6736</v>
      </c>
      <c r="F37" s="122"/>
      <c r="I37" s="136" t="s">
        <v>6736</v>
      </c>
      <c r="L37" s="122"/>
      <c r="P37" s="122"/>
      <c r="T37" s="122"/>
      <c r="U37" s="129"/>
      <c r="V37" s="128"/>
      <c r="W37" s="128"/>
      <c r="X37" s="128"/>
      <c r="Y37" s="129"/>
      <c r="Z37" s="128"/>
      <c r="AA37" s="128"/>
      <c r="AB37" s="129"/>
      <c r="AC37" s="128"/>
    </row>
    <row r="38" spans="1:29" x14ac:dyDescent="0.2">
      <c r="C38" s="136" t="s">
        <v>6737</v>
      </c>
      <c r="F38" s="122"/>
      <c r="I38" s="136" t="s">
        <v>6737</v>
      </c>
      <c r="L38" s="122"/>
      <c r="P38" s="122"/>
      <c r="T38" s="122"/>
    </row>
    <row r="39" spans="1:29" x14ac:dyDescent="0.2">
      <c r="C39" s="136" t="s">
        <v>6738</v>
      </c>
      <c r="F39" s="122"/>
      <c r="I39" s="136" t="s">
        <v>6738</v>
      </c>
      <c r="L39" s="122"/>
      <c r="P39" s="122"/>
      <c r="T39" s="122"/>
    </row>
    <row r="40" spans="1:29" x14ac:dyDescent="0.2">
      <c r="F40" s="122"/>
      <c r="L40" s="122"/>
      <c r="P40" s="122"/>
      <c r="T40" s="122"/>
      <c r="U40" s="187" t="s">
        <v>5630</v>
      </c>
      <c r="V40" s="187"/>
    </row>
    <row r="41" spans="1:29" ht="22.5" customHeight="1" x14ac:dyDescent="0.2">
      <c r="F41" s="122"/>
      <c r="L41" s="122"/>
      <c r="P41" s="122"/>
      <c r="T41" s="122"/>
      <c r="U41" s="118" t="s">
        <v>431</v>
      </c>
    </row>
    <row r="42" spans="1:29" x14ac:dyDescent="0.2">
      <c r="F42" s="122"/>
      <c r="L42" s="122"/>
      <c r="P42" s="122"/>
      <c r="T42" s="122"/>
    </row>
    <row r="43" spans="1:29" ht="12" customHeight="1" x14ac:dyDescent="0.2">
      <c r="A43" s="36" t="s">
        <v>5628</v>
      </c>
      <c r="B43" s="125">
        <f>SUM(B1:B42)</f>
        <v>0</v>
      </c>
      <c r="C43" s="127"/>
      <c r="D43" s="127"/>
      <c r="E43" s="127"/>
      <c r="F43" s="122"/>
      <c r="G43" s="36" t="s">
        <v>5628</v>
      </c>
      <c r="H43" s="125">
        <f>SUM(H1:H42)</f>
        <v>50000</v>
      </c>
      <c r="I43" s="127"/>
      <c r="J43" s="127"/>
      <c r="K43" s="127"/>
      <c r="L43" s="122"/>
      <c r="M43" s="36" t="s">
        <v>5628</v>
      </c>
      <c r="N43" s="125">
        <f>SUM(N1:N38)</f>
        <v>0</v>
      </c>
      <c r="O43" s="127"/>
      <c r="P43" s="122"/>
      <c r="Q43" s="36" t="s">
        <v>5628</v>
      </c>
      <c r="R43" s="125">
        <f>SUM(R1:R38)</f>
        <v>0</v>
      </c>
      <c r="S43" s="127"/>
      <c r="T43" s="122"/>
      <c r="U43" s="187" t="s">
        <v>5630</v>
      </c>
      <c r="V43" s="187"/>
    </row>
    <row r="44" spans="1:29" x14ac:dyDescent="0.2">
      <c r="F44" s="122"/>
      <c r="L44" s="122"/>
      <c r="P44" s="122"/>
      <c r="T44" s="122"/>
      <c r="U44" s="118" t="s">
        <v>431</v>
      </c>
    </row>
    <row r="45" spans="1:29" x14ac:dyDescent="0.2">
      <c r="A45" s="128"/>
      <c r="B45" s="129"/>
      <c r="C45" s="130"/>
      <c r="D45" s="130"/>
      <c r="E45" s="130"/>
      <c r="F45" s="122"/>
      <c r="G45" s="128"/>
      <c r="H45" s="129"/>
      <c r="I45" s="130"/>
      <c r="J45" s="130"/>
      <c r="K45" s="130"/>
      <c r="L45" s="122"/>
      <c r="M45" s="128"/>
      <c r="N45" s="129"/>
      <c r="O45" s="130"/>
      <c r="P45" s="122"/>
      <c r="Q45" s="128"/>
      <c r="R45" s="129"/>
      <c r="S45" s="130"/>
      <c r="T45" s="122"/>
      <c r="U45" s="118" t="s">
        <v>435</v>
      </c>
    </row>
    <row r="46" spans="1:29" x14ac:dyDescent="0.2">
      <c r="F46" s="122"/>
      <c r="L46" s="122"/>
      <c r="P46" s="122"/>
      <c r="T46" s="122"/>
      <c r="U46" s="118" t="s">
        <v>407</v>
      </c>
    </row>
    <row r="47" spans="1:29" x14ac:dyDescent="0.2">
      <c r="F47" s="122"/>
      <c r="H47" s="146"/>
      <c r="L47" s="122"/>
      <c r="P47" s="128"/>
      <c r="T47" s="128"/>
    </row>
    <row r="48" spans="1:29" x14ac:dyDescent="0.2">
      <c r="F48" s="122"/>
      <c r="H48" s="146"/>
      <c r="L48" s="122"/>
    </row>
    <row r="49" spans="6:12" x14ac:dyDescent="0.2">
      <c r="F49" s="122"/>
      <c r="H49" s="146"/>
      <c r="I49" s="145"/>
      <c r="L49" s="122"/>
    </row>
    <row r="50" spans="6:12" x14ac:dyDescent="0.2">
      <c r="F50" s="122"/>
      <c r="H50" s="146"/>
      <c r="L50" s="122"/>
    </row>
    <row r="51" spans="6:12" x14ac:dyDescent="0.2">
      <c r="F51" s="122"/>
      <c r="H51" s="146"/>
      <c r="L51" s="122"/>
    </row>
    <row r="52" spans="6:12" x14ac:dyDescent="0.2">
      <c r="F52" s="122"/>
      <c r="H52" s="146"/>
      <c r="I52" s="145"/>
      <c r="L52" s="122"/>
    </row>
    <row r="53" spans="6:12" x14ac:dyDescent="0.2">
      <c r="F53" s="122"/>
      <c r="H53" s="146"/>
      <c r="L53" s="122"/>
    </row>
    <row r="54" spans="6:12" x14ac:dyDescent="0.2">
      <c r="F54" s="122"/>
      <c r="H54" s="146"/>
      <c r="L54" s="122"/>
    </row>
    <row r="55" spans="6:12" x14ac:dyDescent="0.2">
      <c r="F55" s="122"/>
      <c r="H55" s="146"/>
      <c r="L55" s="122"/>
    </row>
    <row r="56" spans="6:12" x14ac:dyDescent="0.2">
      <c r="F56" s="122"/>
      <c r="H56" s="146"/>
      <c r="L56" s="122"/>
    </row>
    <row r="57" spans="6:12" x14ac:dyDescent="0.2">
      <c r="F57" s="128"/>
      <c r="H57" s="146"/>
      <c r="L57" s="128"/>
    </row>
    <row r="58" spans="6:12" x14ac:dyDescent="0.2">
      <c r="H58" s="146"/>
    </row>
    <row r="59" spans="6:12" x14ac:dyDescent="0.2">
      <c r="H59" s="146"/>
    </row>
    <row r="60" spans="6:12" x14ac:dyDescent="0.2">
      <c r="H60" s="146"/>
    </row>
    <row r="61" spans="6:12" x14ac:dyDescent="0.2">
      <c r="H61" s="146"/>
    </row>
    <row r="62" spans="6:12" x14ac:dyDescent="0.2">
      <c r="H62" s="146"/>
      <c r="I62" s="145"/>
    </row>
    <row r="63" spans="6:12" x14ac:dyDescent="0.2">
      <c r="H63" s="146"/>
      <c r="I63" s="145"/>
    </row>
    <row r="64" spans="6:12" x14ac:dyDescent="0.2">
      <c r="H64" s="146"/>
    </row>
    <row r="65" spans="8:9" x14ac:dyDescent="0.2">
      <c r="H65" s="146"/>
    </row>
    <row r="66" spans="8:9" x14ac:dyDescent="0.2">
      <c r="H66" s="146"/>
      <c r="I66" s="145"/>
    </row>
    <row r="67" spans="8:9" x14ac:dyDescent="0.2">
      <c r="H67" s="146"/>
    </row>
    <row r="68" spans="8:9" x14ac:dyDescent="0.2">
      <c r="H68" s="146"/>
    </row>
    <row r="69" spans="8:9" x14ac:dyDescent="0.2">
      <c r="H69" s="146"/>
    </row>
    <row r="70" spans="8:9" x14ac:dyDescent="0.2">
      <c r="H70" s="146"/>
      <c r="I70" s="145"/>
    </row>
    <row r="71" spans="8:9" x14ac:dyDescent="0.2">
      <c r="H71" s="146"/>
    </row>
    <row r="72" spans="8:9" x14ac:dyDescent="0.2">
      <c r="H72" s="146"/>
      <c r="I72" s="145"/>
    </row>
    <row r="73" spans="8:9" x14ac:dyDescent="0.2">
      <c r="H73" s="146"/>
    </row>
    <row r="74" spans="8:9" x14ac:dyDescent="0.2">
      <c r="H74" s="146"/>
    </row>
    <row r="75" spans="8:9" x14ac:dyDescent="0.2">
      <c r="H75" s="146"/>
    </row>
    <row r="76" spans="8:9" x14ac:dyDescent="0.2">
      <c r="H76" s="146"/>
    </row>
    <row r="77" spans="8:9" x14ac:dyDescent="0.2">
      <c r="H77" s="146"/>
    </row>
    <row r="78" spans="8:9" x14ac:dyDescent="0.2">
      <c r="H78" s="146"/>
    </row>
    <row r="79" spans="8:9" x14ac:dyDescent="0.2">
      <c r="H79" s="146"/>
    </row>
    <row r="80" spans="8:9" x14ac:dyDescent="0.2">
      <c r="H80" s="146"/>
    </row>
    <row r="81" spans="8:9" x14ac:dyDescent="0.2">
      <c r="H81" s="146"/>
    </row>
    <row r="82" spans="8:9" x14ac:dyDescent="0.2">
      <c r="H82" s="146"/>
    </row>
    <row r="83" spans="8:9" x14ac:dyDescent="0.2">
      <c r="H83" s="146"/>
    </row>
    <row r="84" spans="8:9" x14ac:dyDescent="0.2">
      <c r="H84" s="146"/>
    </row>
    <row r="85" spans="8:9" x14ac:dyDescent="0.2">
      <c r="H85" s="146"/>
    </row>
    <row r="86" spans="8:9" x14ac:dyDescent="0.2">
      <c r="H86" s="146"/>
    </row>
    <row r="87" spans="8:9" x14ac:dyDescent="0.2">
      <c r="H87" s="146"/>
    </row>
    <row r="88" spans="8:9" x14ac:dyDescent="0.2">
      <c r="H88" s="146"/>
    </row>
    <row r="89" spans="8:9" x14ac:dyDescent="0.2">
      <c r="H89" s="146"/>
      <c r="I89" s="145"/>
    </row>
    <row r="90" spans="8:9" x14ac:dyDescent="0.2">
      <c r="H90" s="146"/>
    </row>
    <row r="91" spans="8:9" x14ac:dyDescent="0.2">
      <c r="H91" s="146"/>
    </row>
    <row r="92" spans="8:9" x14ac:dyDescent="0.2">
      <c r="H92" s="146"/>
    </row>
    <row r="93" spans="8:9" x14ac:dyDescent="0.2">
      <c r="H93" s="146"/>
    </row>
    <row r="94" spans="8:9" x14ac:dyDescent="0.2">
      <c r="H94" s="146"/>
      <c r="I94" s="145"/>
    </row>
    <row r="95" spans="8:9" x14ac:dyDescent="0.2">
      <c r="H95" s="146"/>
    </row>
  </sheetData>
  <sortState xmlns:xlrd2="http://schemas.microsoft.com/office/spreadsheetml/2017/richdata2" ref="A47:C105">
    <sortCondition ref="A47:A105"/>
  </sortState>
  <mergeCells count="2">
    <mergeCell ref="U43:V43"/>
    <mergeCell ref="U40:V40"/>
  </mergeCells>
  <conditionalFormatting sqref="H47:H95">
    <cfRule type="duplicateValues" dxfId="10" priority="1582"/>
  </conditionalFormatting>
  <conditionalFormatting sqref="H47:H95">
    <cfRule type="duplicateValues" dxfId="9" priority="1583"/>
  </conditionalFormatting>
  <conditionalFormatting sqref="H47:H95">
    <cfRule type="duplicateValues" dxfId="8"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41" customWidth="1"/>
    <col min="4" max="4" width="14.5703125" style="141" customWidth="1"/>
    <col min="5" max="5" width="73.42578125" customWidth="1"/>
    <col min="6" max="6" width="53.5703125" customWidth="1"/>
    <col min="7" max="7" width="42.7109375" customWidth="1"/>
  </cols>
  <sheetData>
    <row r="1" spans="1:7" x14ac:dyDescent="0.25">
      <c r="A1" s="2" t="s">
        <v>327</v>
      </c>
      <c r="B1" s="2" t="s">
        <v>6773</v>
      </c>
      <c r="C1" s="140" t="s">
        <v>4057</v>
      </c>
      <c r="D1" s="140" t="s">
        <v>6770</v>
      </c>
      <c r="E1" s="2" t="s">
        <v>6777</v>
      </c>
      <c r="F1" s="2" t="s">
        <v>6778</v>
      </c>
    </row>
    <row r="2" spans="1:7" x14ac:dyDescent="0.25">
      <c r="A2" t="s">
        <v>3345</v>
      </c>
      <c r="B2" t="s">
        <v>6841</v>
      </c>
      <c r="C2" s="142">
        <v>44901</v>
      </c>
      <c r="D2" s="142">
        <v>44901</v>
      </c>
      <c r="E2" t="s">
        <v>6842</v>
      </c>
      <c r="F2" t="s">
        <v>6842</v>
      </c>
      <c r="G2" t="s">
        <v>4051</v>
      </c>
    </row>
    <row r="3" spans="1:7" x14ac:dyDescent="0.25">
      <c r="A3" t="s">
        <v>2320</v>
      </c>
      <c r="B3" t="s">
        <v>6841</v>
      </c>
      <c r="C3" s="142">
        <v>44901</v>
      </c>
      <c r="D3" s="142">
        <v>44901</v>
      </c>
      <c r="E3" t="s">
        <v>6793</v>
      </c>
    </row>
    <row r="4" spans="1:7" x14ac:dyDescent="0.25">
      <c r="A4" t="s">
        <v>1797</v>
      </c>
      <c r="B4" t="s">
        <v>6841</v>
      </c>
      <c r="C4" s="142">
        <v>44901</v>
      </c>
      <c r="D4" s="142">
        <v>44901</v>
      </c>
      <c r="E4" t="s">
        <v>6816</v>
      </c>
    </row>
    <row r="5" spans="1:7" x14ac:dyDescent="0.25">
      <c r="A5" t="s">
        <v>2817</v>
      </c>
      <c r="B5" t="s">
        <v>6841</v>
      </c>
      <c r="C5" s="142">
        <v>44901</v>
      </c>
      <c r="D5" s="142">
        <v>44901</v>
      </c>
      <c r="E5" t="s">
        <v>6793</v>
      </c>
    </row>
    <row r="6" spans="1:7" x14ac:dyDescent="0.25">
      <c r="A6" t="s">
        <v>2111</v>
      </c>
      <c r="B6" t="s">
        <v>6841</v>
      </c>
      <c r="C6" s="142">
        <v>44901</v>
      </c>
      <c r="D6" s="142">
        <v>44901</v>
      </c>
      <c r="E6" t="s">
        <v>6842</v>
      </c>
      <c r="F6" t="s">
        <v>6842</v>
      </c>
    </row>
    <row r="7" spans="1:7" x14ac:dyDescent="0.25">
      <c r="A7" t="s">
        <v>608</v>
      </c>
      <c r="B7" t="s">
        <v>6841</v>
      </c>
      <c r="C7" s="142">
        <v>44901</v>
      </c>
      <c r="D7" s="142">
        <v>44901</v>
      </c>
      <c r="E7" t="s">
        <v>6842</v>
      </c>
      <c r="F7" t="s">
        <v>6843</v>
      </c>
    </row>
    <row r="8" spans="1:7" x14ac:dyDescent="0.25">
      <c r="A8" t="s">
        <v>6818</v>
      </c>
      <c r="B8" t="s">
        <v>6841</v>
      </c>
      <c r="C8" s="142">
        <v>44901</v>
      </c>
      <c r="D8" s="142">
        <v>44901</v>
      </c>
      <c r="E8" t="s">
        <v>6793</v>
      </c>
    </row>
    <row r="9" spans="1:7" x14ac:dyDescent="0.25">
      <c r="A9" t="s">
        <v>2345</v>
      </c>
      <c r="B9" t="s">
        <v>6841</v>
      </c>
      <c r="C9" s="142">
        <v>44901</v>
      </c>
      <c r="D9" s="142">
        <v>44901</v>
      </c>
    </row>
    <row r="10" spans="1:7" x14ac:dyDescent="0.25">
      <c r="A10" t="s">
        <v>1328</v>
      </c>
      <c r="B10" t="s">
        <v>6841</v>
      </c>
      <c r="C10" s="142">
        <v>44901</v>
      </c>
      <c r="D10" s="142">
        <v>44901</v>
      </c>
    </row>
    <row r="11" spans="1:7" x14ac:dyDescent="0.25">
      <c r="A11" t="s">
        <v>6819</v>
      </c>
      <c r="B11" t="s">
        <v>6841</v>
      </c>
      <c r="C11" s="142">
        <v>44901</v>
      </c>
      <c r="D11" s="142">
        <v>44901</v>
      </c>
    </row>
    <row r="12" spans="1:7" x14ac:dyDescent="0.25">
      <c r="A12" t="s">
        <v>736</v>
      </c>
      <c r="B12" t="s">
        <v>6841</v>
      </c>
      <c r="C12" s="142">
        <v>44901</v>
      </c>
      <c r="D12" s="142">
        <v>44901</v>
      </c>
    </row>
    <row r="13" spans="1:7" x14ac:dyDescent="0.25">
      <c r="A13" t="s">
        <v>2565</v>
      </c>
      <c r="B13" t="s">
        <v>6841</v>
      </c>
      <c r="C13" s="142">
        <v>44901</v>
      </c>
      <c r="D13" s="142">
        <v>44901</v>
      </c>
    </row>
    <row r="14" spans="1:7" x14ac:dyDescent="0.25">
      <c r="A14" t="s">
        <v>3738</v>
      </c>
      <c r="B14" t="s">
        <v>6841</v>
      </c>
      <c r="C14" s="142">
        <v>44901</v>
      </c>
      <c r="D14" s="142">
        <v>44901</v>
      </c>
    </row>
    <row r="15" spans="1:7" x14ac:dyDescent="0.25">
      <c r="A15" t="s">
        <v>1917</v>
      </c>
      <c r="B15" t="s">
        <v>6841</v>
      </c>
      <c r="C15" s="142">
        <v>44901</v>
      </c>
      <c r="D15" s="142">
        <v>44901</v>
      </c>
    </row>
    <row r="16" spans="1:7" x14ac:dyDescent="0.25">
      <c r="A16" t="s">
        <v>3849</v>
      </c>
      <c r="B16" t="s">
        <v>6841</v>
      </c>
      <c r="C16" s="142">
        <v>44901</v>
      </c>
      <c r="D16" s="142">
        <v>44901</v>
      </c>
    </row>
    <row r="17" spans="1:4" x14ac:dyDescent="0.25">
      <c r="A17" t="s">
        <v>1474</v>
      </c>
      <c r="B17" t="s">
        <v>6841</v>
      </c>
      <c r="C17" s="142">
        <v>44901</v>
      </c>
      <c r="D17" s="142">
        <v>44901</v>
      </c>
    </row>
    <row r="18" spans="1:4" x14ac:dyDescent="0.25">
      <c r="A18" t="s">
        <v>2729</v>
      </c>
      <c r="B18" t="s">
        <v>6841</v>
      </c>
      <c r="C18" s="142">
        <v>44901</v>
      </c>
      <c r="D18" s="142">
        <v>44901</v>
      </c>
    </row>
    <row r="19" spans="1:4" x14ac:dyDescent="0.25">
      <c r="A19" t="s">
        <v>6820</v>
      </c>
      <c r="B19" t="s">
        <v>6841</v>
      </c>
      <c r="C19" s="142">
        <v>44901</v>
      </c>
      <c r="D19" s="142">
        <v>44901</v>
      </c>
    </row>
    <row r="20" spans="1:4" x14ac:dyDescent="0.25">
      <c r="A20" t="s">
        <v>1845</v>
      </c>
      <c r="B20" t="s">
        <v>6841</v>
      </c>
      <c r="C20" s="142">
        <v>44901</v>
      </c>
      <c r="D20" s="142">
        <v>44901</v>
      </c>
    </row>
    <row r="21" spans="1:4" x14ac:dyDescent="0.25">
      <c r="A21" t="s">
        <v>3861</v>
      </c>
      <c r="B21" t="s">
        <v>6841</v>
      </c>
      <c r="C21" s="142">
        <v>44901</v>
      </c>
      <c r="D21" s="142">
        <v>44901</v>
      </c>
    </row>
    <row r="22" spans="1:4" x14ac:dyDescent="0.25">
      <c r="A22" t="s">
        <v>811</v>
      </c>
      <c r="B22" t="s">
        <v>6841</v>
      </c>
      <c r="C22" s="142">
        <v>44901</v>
      </c>
      <c r="D22" s="142">
        <v>44901</v>
      </c>
    </row>
    <row r="23" spans="1:4" x14ac:dyDescent="0.25">
      <c r="A23" t="s">
        <v>6821</v>
      </c>
      <c r="B23" t="s">
        <v>6841</v>
      </c>
      <c r="C23" s="142">
        <v>44901</v>
      </c>
      <c r="D23" s="142">
        <v>44901</v>
      </c>
    </row>
    <row r="24" spans="1:4" x14ac:dyDescent="0.25">
      <c r="A24" t="s">
        <v>2228</v>
      </c>
      <c r="B24" t="s">
        <v>6841</v>
      </c>
      <c r="C24" s="142">
        <v>44901</v>
      </c>
      <c r="D24" s="142">
        <v>44901</v>
      </c>
    </row>
    <row r="25" spans="1:4" x14ac:dyDescent="0.25">
      <c r="A25" t="s">
        <v>1933</v>
      </c>
      <c r="B25" t="s">
        <v>6841</v>
      </c>
      <c r="C25" s="142">
        <v>44901</v>
      </c>
      <c r="D25" s="142">
        <v>44901</v>
      </c>
    </row>
    <row r="26" spans="1:4" x14ac:dyDescent="0.25">
      <c r="A26" t="s">
        <v>6822</v>
      </c>
      <c r="B26" t="s">
        <v>6841</v>
      </c>
      <c r="C26" s="142">
        <v>44901</v>
      </c>
      <c r="D26" s="142">
        <v>44901</v>
      </c>
    </row>
    <row r="27" spans="1:4" x14ac:dyDescent="0.25">
      <c r="A27" t="s">
        <v>6823</v>
      </c>
      <c r="B27" t="s">
        <v>6841</v>
      </c>
      <c r="C27" s="142">
        <v>44901</v>
      </c>
      <c r="D27" s="142">
        <v>44901</v>
      </c>
    </row>
    <row r="28" spans="1:4" x14ac:dyDescent="0.25">
      <c r="A28" t="s">
        <v>1547</v>
      </c>
      <c r="B28" t="s">
        <v>6841</v>
      </c>
      <c r="C28" s="142">
        <v>44901</v>
      </c>
      <c r="D28" s="142">
        <v>44901</v>
      </c>
    </row>
    <row r="29" spans="1:4" x14ac:dyDescent="0.25">
      <c r="A29" t="s">
        <v>1780</v>
      </c>
      <c r="B29" t="s">
        <v>6841</v>
      </c>
      <c r="C29" s="142">
        <v>44901</v>
      </c>
      <c r="D29" s="142">
        <v>44901</v>
      </c>
    </row>
    <row r="30" spans="1:4" x14ac:dyDescent="0.25">
      <c r="A30" t="s">
        <v>6824</v>
      </c>
      <c r="B30" t="s">
        <v>6841</v>
      </c>
      <c r="C30" s="142">
        <v>44901</v>
      </c>
      <c r="D30" s="142">
        <v>44901</v>
      </c>
    </row>
    <row r="31" spans="1:4" x14ac:dyDescent="0.25">
      <c r="A31" t="s">
        <v>2540</v>
      </c>
      <c r="B31" t="s">
        <v>6841</v>
      </c>
      <c r="C31" s="142">
        <v>44901</v>
      </c>
      <c r="D31" s="142">
        <v>44901</v>
      </c>
    </row>
    <row r="32" spans="1:4" x14ac:dyDescent="0.25">
      <c r="A32" t="s">
        <v>6825</v>
      </c>
      <c r="B32" t="s">
        <v>6841</v>
      </c>
      <c r="C32" s="142">
        <v>44901</v>
      </c>
      <c r="D32" s="142">
        <v>44901</v>
      </c>
    </row>
    <row r="33" spans="1:7" x14ac:dyDescent="0.25">
      <c r="A33" t="s">
        <v>1462</v>
      </c>
      <c r="B33" t="s">
        <v>6841</v>
      </c>
      <c r="C33" s="142">
        <v>44901</v>
      </c>
      <c r="D33" s="142">
        <v>44901</v>
      </c>
    </row>
    <row r="34" spans="1:7" x14ac:dyDescent="0.25">
      <c r="A34" t="s">
        <v>2024</v>
      </c>
      <c r="B34" t="s">
        <v>6841</v>
      </c>
      <c r="C34" s="142">
        <v>44901</v>
      </c>
      <c r="D34" s="142">
        <v>44901</v>
      </c>
      <c r="G34" t="s">
        <v>6844</v>
      </c>
    </row>
    <row r="35" spans="1:7" x14ac:dyDescent="0.25">
      <c r="A35" t="s">
        <v>3590</v>
      </c>
      <c r="B35" t="s">
        <v>6841</v>
      </c>
      <c r="C35" s="142">
        <v>44901</v>
      </c>
    </row>
    <row r="36" spans="1:7" x14ac:dyDescent="0.25">
      <c r="A36" t="s">
        <v>6826</v>
      </c>
      <c r="B36" t="s">
        <v>6841</v>
      </c>
      <c r="C36" s="142">
        <v>44901</v>
      </c>
    </row>
    <row r="37" spans="1:7" x14ac:dyDescent="0.25">
      <c r="A37" t="s">
        <v>6827</v>
      </c>
      <c r="B37" t="s">
        <v>6841</v>
      </c>
      <c r="C37" s="142">
        <v>44901</v>
      </c>
    </row>
    <row r="38" spans="1:7" x14ac:dyDescent="0.25">
      <c r="A38" t="s">
        <v>3453</v>
      </c>
      <c r="B38" t="s">
        <v>6841</v>
      </c>
      <c r="C38" s="142">
        <v>44901</v>
      </c>
    </row>
    <row r="39" spans="1:7" x14ac:dyDescent="0.25">
      <c r="A39" t="s">
        <v>3654</v>
      </c>
      <c r="B39" t="s">
        <v>6841</v>
      </c>
      <c r="C39" s="142">
        <v>44901</v>
      </c>
    </row>
    <row r="40" spans="1:7" x14ac:dyDescent="0.25">
      <c r="A40" t="s">
        <v>699</v>
      </c>
      <c r="B40" t="s">
        <v>6841</v>
      </c>
      <c r="C40" s="142">
        <v>44901</v>
      </c>
    </row>
    <row r="41" spans="1:7" x14ac:dyDescent="0.25">
      <c r="A41" t="s">
        <v>2701</v>
      </c>
      <c r="B41" t="s">
        <v>6841</v>
      </c>
      <c r="C41" s="142">
        <v>44901</v>
      </c>
    </row>
    <row r="42" spans="1:7" x14ac:dyDescent="0.25">
      <c r="A42" t="s">
        <v>2757</v>
      </c>
      <c r="B42" t="s">
        <v>6841</v>
      </c>
      <c r="C42" s="142">
        <v>44901</v>
      </c>
    </row>
    <row r="43" spans="1:7" x14ac:dyDescent="0.25">
      <c r="A43" t="s">
        <v>2289</v>
      </c>
      <c r="B43" t="s">
        <v>6841</v>
      </c>
      <c r="C43" s="142">
        <v>44901</v>
      </c>
    </row>
    <row r="44" spans="1:7" x14ac:dyDescent="0.25">
      <c r="A44" t="s">
        <v>3296</v>
      </c>
      <c r="B44" t="s">
        <v>6841</v>
      </c>
      <c r="C44" s="142">
        <v>44901</v>
      </c>
    </row>
    <row r="45" spans="1:7" x14ac:dyDescent="0.25">
      <c r="A45" t="s">
        <v>6828</v>
      </c>
      <c r="B45" t="s">
        <v>6841</v>
      </c>
      <c r="C45" s="142">
        <v>44901</v>
      </c>
    </row>
    <row r="46" spans="1:7" x14ac:dyDescent="0.25">
      <c r="A46" t="s">
        <v>2260</v>
      </c>
      <c r="B46" t="s">
        <v>6841</v>
      </c>
      <c r="C46" s="142">
        <v>44901</v>
      </c>
    </row>
    <row r="47" spans="1:7" x14ac:dyDescent="0.25">
      <c r="A47" t="s">
        <v>3785</v>
      </c>
      <c r="B47" t="s">
        <v>6841</v>
      </c>
      <c r="C47" s="142">
        <v>44901</v>
      </c>
    </row>
    <row r="48" spans="1:7" x14ac:dyDescent="0.25">
      <c r="A48" t="s">
        <v>6829</v>
      </c>
      <c r="B48" t="s">
        <v>6841</v>
      </c>
      <c r="C48" s="142">
        <v>44901</v>
      </c>
    </row>
    <row r="49" spans="1:3" x14ac:dyDescent="0.25">
      <c r="A49" t="s">
        <v>520</v>
      </c>
      <c r="B49" t="s">
        <v>6841</v>
      </c>
      <c r="C49" s="142">
        <v>44901</v>
      </c>
    </row>
    <row r="50" spans="1:3" x14ac:dyDescent="0.25">
      <c r="A50" t="s">
        <v>6830</v>
      </c>
      <c r="B50" t="s">
        <v>6841</v>
      </c>
      <c r="C50" s="142">
        <v>44901</v>
      </c>
    </row>
    <row r="51" spans="1:3" x14ac:dyDescent="0.25">
      <c r="A51" t="s">
        <v>1682</v>
      </c>
      <c r="B51" t="s">
        <v>6841</v>
      </c>
      <c r="C51" s="142">
        <v>44901</v>
      </c>
    </row>
    <row r="52" spans="1:3" x14ac:dyDescent="0.25">
      <c r="A52" t="s">
        <v>6831</v>
      </c>
      <c r="B52" t="s">
        <v>6841</v>
      </c>
      <c r="C52" s="142">
        <v>44901</v>
      </c>
    </row>
    <row r="53" spans="1:3" x14ac:dyDescent="0.25">
      <c r="A53" t="s">
        <v>6832</v>
      </c>
      <c r="B53" t="s">
        <v>6841</v>
      </c>
      <c r="C53" s="142">
        <v>44901</v>
      </c>
    </row>
    <row r="54" spans="1:3" x14ac:dyDescent="0.25">
      <c r="A54" t="s">
        <v>466</v>
      </c>
      <c r="B54" t="s">
        <v>6841</v>
      </c>
      <c r="C54" s="142">
        <v>44901</v>
      </c>
    </row>
    <row r="55" spans="1:3" x14ac:dyDescent="0.25">
      <c r="A55" t="s">
        <v>3090</v>
      </c>
      <c r="B55" t="s">
        <v>6841</v>
      </c>
      <c r="C55" s="142">
        <v>44901</v>
      </c>
    </row>
    <row r="56" spans="1:3" x14ac:dyDescent="0.25">
      <c r="A56" t="s">
        <v>589</v>
      </c>
      <c r="B56" t="s">
        <v>6841</v>
      </c>
      <c r="C56" s="142">
        <v>44901</v>
      </c>
    </row>
    <row r="57" spans="1:3" x14ac:dyDescent="0.25">
      <c r="A57" t="s">
        <v>2465</v>
      </c>
      <c r="B57" t="s">
        <v>6841</v>
      </c>
      <c r="C57" s="142">
        <v>44901</v>
      </c>
    </row>
    <row r="58" spans="1:3" x14ac:dyDescent="0.25">
      <c r="A58" t="s">
        <v>3488</v>
      </c>
      <c r="B58" t="s">
        <v>6841</v>
      </c>
      <c r="C58" s="142">
        <v>44901</v>
      </c>
    </row>
    <row r="59" spans="1:3" x14ac:dyDescent="0.25">
      <c r="A59" t="s">
        <v>2145</v>
      </c>
      <c r="B59" t="s">
        <v>6841</v>
      </c>
      <c r="C59" s="142">
        <v>44901</v>
      </c>
    </row>
    <row r="60" spans="1:3" x14ac:dyDescent="0.25">
      <c r="A60" t="s">
        <v>6833</v>
      </c>
      <c r="B60" t="s">
        <v>6841</v>
      </c>
      <c r="C60" s="142">
        <v>44901</v>
      </c>
    </row>
    <row r="61" spans="1:3" x14ac:dyDescent="0.25">
      <c r="A61" t="s">
        <v>1302</v>
      </c>
      <c r="B61" t="s">
        <v>6841</v>
      </c>
      <c r="C61" s="142">
        <v>44901</v>
      </c>
    </row>
    <row r="62" spans="1:3" x14ac:dyDescent="0.25">
      <c r="A62" t="s">
        <v>1981</v>
      </c>
      <c r="B62" t="s">
        <v>6841</v>
      </c>
      <c r="C62" s="142">
        <v>44901</v>
      </c>
    </row>
    <row r="63" spans="1:3" x14ac:dyDescent="0.25">
      <c r="A63" t="s">
        <v>6834</v>
      </c>
      <c r="B63" t="s">
        <v>6841</v>
      </c>
      <c r="C63" s="142">
        <v>44901</v>
      </c>
    </row>
    <row r="64" spans="1:3" x14ac:dyDescent="0.25">
      <c r="A64" t="s">
        <v>1703</v>
      </c>
      <c r="B64" t="s">
        <v>6841</v>
      </c>
      <c r="C64" s="142">
        <v>44901</v>
      </c>
    </row>
    <row r="65" spans="1:3" x14ac:dyDescent="0.25">
      <c r="A65" t="s">
        <v>2351</v>
      </c>
      <c r="B65" t="s">
        <v>6841</v>
      </c>
      <c r="C65" s="142">
        <v>44901</v>
      </c>
    </row>
    <row r="66" spans="1:3" x14ac:dyDescent="0.25">
      <c r="A66" t="s">
        <v>3930</v>
      </c>
      <c r="B66" t="s">
        <v>6841</v>
      </c>
      <c r="C66" s="142">
        <v>44901</v>
      </c>
    </row>
    <row r="67" spans="1:3" x14ac:dyDescent="0.25">
      <c r="A67" t="s">
        <v>1428</v>
      </c>
      <c r="B67" t="s">
        <v>6841</v>
      </c>
      <c r="C67" s="142">
        <v>44901</v>
      </c>
    </row>
    <row r="68" spans="1:3" x14ac:dyDescent="0.25">
      <c r="A68" t="s">
        <v>2214</v>
      </c>
      <c r="B68" t="s">
        <v>6841</v>
      </c>
      <c r="C68" s="142">
        <v>44901</v>
      </c>
    </row>
    <row r="69" spans="1:3" x14ac:dyDescent="0.25">
      <c r="A69" t="s">
        <v>3532</v>
      </c>
      <c r="B69" t="s">
        <v>6841</v>
      </c>
      <c r="C69" s="142">
        <v>44901</v>
      </c>
    </row>
    <row r="70" spans="1:3" x14ac:dyDescent="0.25">
      <c r="A70" t="s">
        <v>3610</v>
      </c>
      <c r="B70" t="s">
        <v>6841</v>
      </c>
      <c r="C70" s="142">
        <v>44901</v>
      </c>
    </row>
    <row r="71" spans="1:3" x14ac:dyDescent="0.25">
      <c r="A71" t="s">
        <v>3935</v>
      </c>
      <c r="B71" t="s">
        <v>6841</v>
      </c>
      <c r="C71" s="142">
        <v>44901</v>
      </c>
    </row>
    <row r="72" spans="1:3" x14ac:dyDescent="0.25">
      <c r="A72" t="s">
        <v>2268</v>
      </c>
      <c r="B72" t="s">
        <v>6841</v>
      </c>
      <c r="C72" s="142">
        <v>44901</v>
      </c>
    </row>
    <row r="73" spans="1:3" x14ac:dyDescent="0.25">
      <c r="A73" t="s">
        <v>6835</v>
      </c>
      <c r="B73" t="s">
        <v>6841</v>
      </c>
      <c r="C73" s="142">
        <v>44901</v>
      </c>
    </row>
    <row r="74" spans="1:3" x14ac:dyDescent="0.25">
      <c r="A74" t="s">
        <v>1802</v>
      </c>
      <c r="B74" t="s">
        <v>6841</v>
      </c>
      <c r="C74" s="142">
        <v>44901</v>
      </c>
    </row>
    <row r="75" spans="1:3" x14ac:dyDescent="0.25">
      <c r="A75" t="s">
        <v>6836</v>
      </c>
      <c r="B75" t="s">
        <v>6841</v>
      </c>
      <c r="C75" s="142">
        <v>44901</v>
      </c>
    </row>
    <row r="76" spans="1:3" x14ac:dyDescent="0.25">
      <c r="A76" t="s">
        <v>1756</v>
      </c>
      <c r="B76" t="s">
        <v>6841</v>
      </c>
      <c r="C76" s="142">
        <v>44901</v>
      </c>
    </row>
    <row r="77" spans="1:3" x14ac:dyDescent="0.25">
      <c r="A77" t="s">
        <v>6837</v>
      </c>
      <c r="B77" t="s">
        <v>6841</v>
      </c>
      <c r="C77" s="142">
        <v>44901</v>
      </c>
    </row>
    <row r="78" spans="1:3" x14ac:dyDescent="0.25">
      <c r="A78" t="s">
        <v>2044</v>
      </c>
      <c r="B78" t="s">
        <v>6841</v>
      </c>
      <c r="C78" s="142">
        <v>44901</v>
      </c>
    </row>
    <row r="79" spans="1:3" x14ac:dyDescent="0.25">
      <c r="A79" t="s">
        <v>2266</v>
      </c>
      <c r="B79" t="s">
        <v>6841</v>
      </c>
      <c r="C79" s="142">
        <v>44901</v>
      </c>
    </row>
    <row r="80" spans="1:3" x14ac:dyDescent="0.25">
      <c r="A80" t="s">
        <v>6838</v>
      </c>
      <c r="B80" t="s">
        <v>6841</v>
      </c>
      <c r="C80" s="142">
        <v>44901</v>
      </c>
    </row>
    <row r="81" spans="1:7" x14ac:dyDescent="0.25">
      <c r="A81" t="s">
        <v>3630</v>
      </c>
      <c r="B81" t="s">
        <v>6841</v>
      </c>
      <c r="C81" s="142">
        <v>44901</v>
      </c>
    </row>
    <row r="82" spans="1:7" x14ac:dyDescent="0.25">
      <c r="A82" t="s">
        <v>6839</v>
      </c>
      <c r="B82" t="s">
        <v>6841</v>
      </c>
      <c r="C82" s="142">
        <v>44901</v>
      </c>
    </row>
    <row r="83" spans="1:7" x14ac:dyDescent="0.25">
      <c r="A83" t="s">
        <v>2515</v>
      </c>
      <c r="B83" t="s">
        <v>6841</v>
      </c>
      <c r="C83" s="142">
        <v>44901</v>
      </c>
    </row>
    <row r="84" spans="1:7" x14ac:dyDescent="0.25">
      <c r="A84" t="s">
        <v>6840</v>
      </c>
      <c r="B84" t="s">
        <v>6841</v>
      </c>
      <c r="C84" s="142">
        <v>44901</v>
      </c>
    </row>
    <row r="85" spans="1:7" x14ac:dyDescent="0.25">
      <c r="A85" t="s">
        <v>624</v>
      </c>
      <c r="B85" t="s">
        <v>6841</v>
      </c>
      <c r="C85" s="142">
        <v>44901</v>
      </c>
    </row>
    <row r="86" spans="1:7" x14ac:dyDescent="0.25">
      <c r="A86" t="s">
        <v>3707</v>
      </c>
      <c r="B86" t="s">
        <v>6841</v>
      </c>
      <c r="C86" s="142">
        <v>44901</v>
      </c>
    </row>
    <row r="87" spans="1:7" x14ac:dyDescent="0.25">
      <c r="A87" t="s">
        <v>2857</v>
      </c>
      <c r="B87" t="s">
        <v>6841</v>
      </c>
      <c r="C87" s="142">
        <v>44901</v>
      </c>
    </row>
    <row r="88" spans="1:7" x14ac:dyDescent="0.25">
      <c r="A88" t="s">
        <v>3506</v>
      </c>
      <c r="B88" t="s">
        <v>6841</v>
      </c>
      <c r="C88" s="142">
        <v>44901</v>
      </c>
    </row>
    <row r="89" spans="1:7" x14ac:dyDescent="0.25">
      <c r="A89" t="s">
        <v>703</v>
      </c>
      <c r="B89" t="s">
        <v>6807</v>
      </c>
      <c r="C89" s="142">
        <v>44901</v>
      </c>
      <c r="D89" s="142">
        <v>44901</v>
      </c>
      <c r="E89" t="s">
        <v>6808</v>
      </c>
    </row>
    <row r="90" spans="1:7" x14ac:dyDescent="0.25">
      <c r="A90" t="s">
        <v>1370</v>
      </c>
      <c r="B90" t="s">
        <v>6807</v>
      </c>
      <c r="C90" s="142">
        <v>44901</v>
      </c>
      <c r="D90" s="142">
        <v>44901</v>
      </c>
      <c r="E90" t="s">
        <v>6809</v>
      </c>
      <c r="F90" t="s">
        <v>6809</v>
      </c>
      <c r="G90" t="s">
        <v>4032</v>
      </c>
    </row>
    <row r="91" spans="1:7" x14ac:dyDescent="0.25">
      <c r="A91" t="s">
        <v>1573</v>
      </c>
      <c r="B91" t="s">
        <v>6807</v>
      </c>
      <c r="C91" s="142">
        <v>44901</v>
      </c>
      <c r="D91" s="142">
        <v>44901</v>
      </c>
      <c r="E91" t="s">
        <v>6810</v>
      </c>
    </row>
    <row r="92" spans="1:7" x14ac:dyDescent="0.25">
      <c r="A92" t="s">
        <v>3492</v>
      </c>
      <c r="B92" t="s">
        <v>6807</v>
      </c>
      <c r="C92" s="142">
        <v>44901</v>
      </c>
      <c r="D92" s="142">
        <v>44901</v>
      </c>
      <c r="E92" t="s">
        <v>6811</v>
      </c>
      <c r="F92" t="s">
        <v>6793</v>
      </c>
    </row>
    <row r="93" spans="1:7" x14ac:dyDescent="0.25">
      <c r="A93" t="s">
        <v>2389</v>
      </c>
      <c r="B93" t="s">
        <v>6807</v>
      </c>
      <c r="C93" s="142">
        <v>44901</v>
      </c>
      <c r="D93" s="142">
        <v>44901</v>
      </c>
      <c r="E93" t="s">
        <v>6812</v>
      </c>
      <c r="F93" t="s">
        <v>6811</v>
      </c>
      <c r="G93" t="s">
        <v>6813</v>
      </c>
    </row>
    <row r="94" spans="1:7" x14ac:dyDescent="0.25">
      <c r="A94" t="s">
        <v>6804</v>
      </c>
      <c r="B94" t="s">
        <v>6807</v>
      </c>
      <c r="C94" s="142">
        <v>44901</v>
      </c>
      <c r="D94" s="142">
        <v>44901</v>
      </c>
      <c r="E94" t="s">
        <v>6811</v>
      </c>
      <c r="F94" t="s">
        <v>6811</v>
      </c>
      <c r="G94" t="s">
        <v>4051</v>
      </c>
    </row>
    <row r="95" spans="1:7" x14ac:dyDescent="0.25">
      <c r="A95" t="s">
        <v>3777</v>
      </c>
      <c r="B95" t="s">
        <v>6807</v>
      </c>
      <c r="C95" s="142">
        <v>44901</v>
      </c>
      <c r="D95" s="142">
        <v>44901</v>
      </c>
      <c r="E95" t="s">
        <v>6814</v>
      </c>
    </row>
    <row r="96" spans="1:7" x14ac:dyDescent="0.25">
      <c r="A96" t="s">
        <v>777</v>
      </c>
      <c r="B96" t="s">
        <v>6807</v>
      </c>
      <c r="C96" s="142">
        <v>44901</v>
      </c>
      <c r="D96" s="142">
        <v>44901</v>
      </c>
      <c r="E96" t="s">
        <v>6811</v>
      </c>
      <c r="F96" t="s">
        <v>6811</v>
      </c>
      <c r="G96" t="s">
        <v>4032</v>
      </c>
    </row>
    <row r="97" spans="1:7" x14ac:dyDescent="0.25">
      <c r="A97" t="s">
        <v>1593</v>
      </c>
      <c r="B97" t="s">
        <v>6807</v>
      </c>
      <c r="C97" s="142">
        <v>44901</v>
      </c>
      <c r="D97" s="142">
        <v>44901</v>
      </c>
      <c r="E97" t="s">
        <v>6812</v>
      </c>
      <c r="F97" t="s">
        <v>6812</v>
      </c>
      <c r="G97" t="s">
        <v>6815</v>
      </c>
    </row>
    <row r="98" spans="1:7" x14ac:dyDescent="0.25">
      <c r="A98" t="s">
        <v>1580</v>
      </c>
      <c r="B98" t="s">
        <v>6807</v>
      </c>
      <c r="C98" s="142">
        <v>44901</v>
      </c>
      <c r="D98" s="142">
        <v>44901</v>
      </c>
      <c r="E98" t="s">
        <v>6793</v>
      </c>
    </row>
    <row r="99" spans="1:7" x14ac:dyDescent="0.25">
      <c r="A99" t="s">
        <v>523</v>
      </c>
      <c r="B99" t="s">
        <v>6807</v>
      </c>
      <c r="C99" s="142">
        <v>44901</v>
      </c>
      <c r="D99" s="142">
        <v>44901</v>
      </c>
      <c r="E99" t="s">
        <v>6811</v>
      </c>
      <c r="F99" t="s">
        <v>6793</v>
      </c>
    </row>
    <row r="100" spans="1:7" x14ac:dyDescent="0.25">
      <c r="A100" t="s">
        <v>1326</v>
      </c>
      <c r="B100" t="s">
        <v>6807</v>
      </c>
      <c r="C100" s="142">
        <v>44901</v>
      </c>
      <c r="D100" s="142">
        <v>44901</v>
      </c>
      <c r="E100" t="s">
        <v>6811</v>
      </c>
      <c r="F100" t="s">
        <v>6811</v>
      </c>
      <c r="G100" t="s">
        <v>4032</v>
      </c>
    </row>
    <row r="101" spans="1:7" x14ac:dyDescent="0.25">
      <c r="A101" t="s">
        <v>2735</v>
      </c>
      <c r="B101" t="s">
        <v>6807</v>
      </c>
      <c r="C101" s="142">
        <v>44901</v>
      </c>
      <c r="D101" s="142">
        <v>44901</v>
      </c>
      <c r="E101" t="s">
        <v>6816</v>
      </c>
    </row>
    <row r="102" spans="1:7" x14ac:dyDescent="0.25">
      <c r="A102" t="s">
        <v>6805</v>
      </c>
      <c r="B102" t="s">
        <v>6807</v>
      </c>
      <c r="C102" s="142">
        <v>44901</v>
      </c>
      <c r="D102" s="142">
        <v>44901</v>
      </c>
      <c r="F102" t="s">
        <v>6800</v>
      </c>
    </row>
    <row r="103" spans="1:7" x14ac:dyDescent="0.25">
      <c r="A103" t="s">
        <v>1710</v>
      </c>
      <c r="B103" t="s">
        <v>6807</v>
      </c>
      <c r="C103" s="142">
        <v>44901</v>
      </c>
      <c r="D103" s="142">
        <v>44901</v>
      </c>
      <c r="E103" t="s">
        <v>6817</v>
      </c>
    </row>
    <row r="104" spans="1:7" x14ac:dyDescent="0.25">
      <c r="A104" t="s">
        <v>6806</v>
      </c>
      <c r="B104" t="s">
        <v>6807</v>
      </c>
      <c r="C104" s="142">
        <v>44901</v>
      </c>
      <c r="D104" s="142">
        <v>44901</v>
      </c>
      <c r="E104" t="s">
        <v>6814</v>
      </c>
    </row>
    <row r="105" spans="1:7" x14ac:dyDescent="0.25">
      <c r="A105" t="s">
        <v>2077</v>
      </c>
      <c r="B105" t="s">
        <v>6736</v>
      </c>
      <c r="C105" s="142">
        <v>44900</v>
      </c>
      <c r="D105" s="142">
        <v>44900</v>
      </c>
      <c r="F105" t="s">
        <v>6793</v>
      </c>
    </row>
    <row r="106" spans="1:7" x14ac:dyDescent="0.25">
      <c r="A106" t="s">
        <v>1731</v>
      </c>
      <c r="B106" t="s">
        <v>6736</v>
      </c>
      <c r="C106" s="142">
        <v>44900</v>
      </c>
      <c r="D106" s="142">
        <v>44900</v>
      </c>
      <c r="E106" t="s">
        <v>6798</v>
      </c>
    </row>
    <row r="107" spans="1:7" x14ac:dyDescent="0.25">
      <c r="A107" t="s">
        <v>1478</v>
      </c>
      <c r="B107" t="s">
        <v>6736</v>
      </c>
      <c r="C107" s="142">
        <v>44900</v>
      </c>
      <c r="D107" s="142">
        <v>44900</v>
      </c>
      <c r="E107" t="s">
        <v>6799</v>
      </c>
    </row>
    <row r="108" spans="1:7" x14ac:dyDescent="0.25">
      <c r="A108" t="s">
        <v>3734</v>
      </c>
      <c r="B108" t="s">
        <v>6736</v>
      </c>
      <c r="C108" s="142">
        <v>44900</v>
      </c>
      <c r="D108" s="142">
        <v>44900</v>
      </c>
      <c r="G108" t="s">
        <v>4032</v>
      </c>
    </row>
    <row r="109" spans="1:7" x14ac:dyDescent="0.25">
      <c r="A109" t="s">
        <v>2862</v>
      </c>
      <c r="B109" t="s">
        <v>6736</v>
      </c>
      <c r="C109" s="142">
        <v>44900</v>
      </c>
      <c r="D109" s="142">
        <v>44900</v>
      </c>
      <c r="E109" t="s">
        <v>6793</v>
      </c>
    </row>
    <row r="110" spans="1:7" x14ac:dyDescent="0.25">
      <c r="A110" t="s">
        <v>621</v>
      </c>
      <c r="B110" t="s">
        <v>6736</v>
      </c>
      <c r="C110" s="142">
        <v>44900</v>
      </c>
      <c r="D110" s="142">
        <v>44900</v>
      </c>
      <c r="E110" t="s">
        <v>6793</v>
      </c>
    </row>
    <row r="111" spans="1:7" x14ac:dyDescent="0.25">
      <c r="A111" t="s">
        <v>2497</v>
      </c>
      <c r="B111" t="s">
        <v>6736</v>
      </c>
      <c r="C111" s="142">
        <v>44900</v>
      </c>
      <c r="D111" s="142">
        <v>44900</v>
      </c>
      <c r="E111" t="s">
        <v>6793</v>
      </c>
    </row>
    <row r="112" spans="1:7" x14ac:dyDescent="0.25">
      <c r="A112" t="s">
        <v>6766</v>
      </c>
      <c r="B112" t="s">
        <v>6736</v>
      </c>
      <c r="C112" s="142">
        <v>44900</v>
      </c>
      <c r="D112" s="142">
        <v>44900</v>
      </c>
      <c r="F112" t="s">
        <v>6800</v>
      </c>
    </row>
    <row r="113" spans="1:7" x14ac:dyDescent="0.25">
      <c r="A113" t="s">
        <v>3962</v>
      </c>
      <c r="B113" t="s">
        <v>6736</v>
      </c>
      <c r="C113" s="142">
        <v>44900</v>
      </c>
      <c r="D113" s="142">
        <v>44900</v>
      </c>
      <c r="G113" t="s">
        <v>6801</v>
      </c>
    </row>
    <row r="114" spans="1:7" x14ac:dyDescent="0.25">
      <c r="A114" t="s">
        <v>3486</v>
      </c>
      <c r="B114" t="s">
        <v>6736</v>
      </c>
      <c r="C114" s="142">
        <v>44900</v>
      </c>
      <c r="D114" s="142">
        <v>44900</v>
      </c>
      <c r="E114" t="s">
        <v>6802</v>
      </c>
    </row>
    <row r="115" spans="1:7" x14ac:dyDescent="0.25">
      <c r="A115" t="s">
        <v>6767</v>
      </c>
      <c r="B115" t="s">
        <v>6736</v>
      </c>
      <c r="C115" s="142">
        <v>44900</v>
      </c>
      <c r="D115" s="142">
        <v>44900</v>
      </c>
      <c r="E115" t="s">
        <v>6803</v>
      </c>
    </row>
    <row r="116" spans="1:7" x14ac:dyDescent="0.25">
      <c r="A116" t="s">
        <v>6768</v>
      </c>
      <c r="B116" t="s">
        <v>6736</v>
      </c>
      <c r="C116" s="142">
        <v>44900</v>
      </c>
      <c r="D116" s="142">
        <v>44900</v>
      </c>
      <c r="E116" t="s">
        <v>6793</v>
      </c>
    </row>
    <row r="117" spans="1:7" x14ac:dyDescent="0.25">
      <c r="A117" t="s">
        <v>6769</v>
      </c>
      <c r="B117" t="s">
        <v>6736</v>
      </c>
      <c r="C117" s="142">
        <v>44900</v>
      </c>
      <c r="D117" s="142">
        <v>44900</v>
      </c>
      <c r="E117" t="s">
        <v>885</v>
      </c>
    </row>
    <row r="118" spans="1:7" x14ac:dyDescent="0.25">
      <c r="A118" t="s">
        <v>451</v>
      </c>
      <c r="B118" t="s">
        <v>6736</v>
      </c>
      <c r="C118" s="142">
        <v>44900</v>
      </c>
      <c r="D118" s="142">
        <v>44900</v>
      </c>
      <c r="E118" t="s">
        <v>885</v>
      </c>
    </row>
    <row r="119" spans="1:7" x14ac:dyDescent="0.25">
      <c r="A119" t="s">
        <v>497</v>
      </c>
      <c r="B119" t="s">
        <v>6736</v>
      </c>
      <c r="C119" s="142">
        <v>44900</v>
      </c>
      <c r="D119" s="142">
        <v>44900</v>
      </c>
      <c r="E119" t="s">
        <v>6774</v>
      </c>
    </row>
    <row r="120" spans="1:7" x14ac:dyDescent="0.25">
      <c r="A120" t="s">
        <v>495</v>
      </c>
      <c r="B120" t="s">
        <v>6736</v>
      </c>
      <c r="C120" s="142">
        <v>44900</v>
      </c>
      <c r="D120" s="142">
        <v>44900</v>
      </c>
      <c r="E120" t="s">
        <v>6774</v>
      </c>
    </row>
    <row r="121" spans="1:7" x14ac:dyDescent="0.25">
      <c r="A121" t="s">
        <v>635</v>
      </c>
      <c r="B121" t="s">
        <v>6736</v>
      </c>
      <c r="C121" s="142">
        <v>44900</v>
      </c>
      <c r="D121" s="142">
        <v>44900</v>
      </c>
      <c r="E121" t="s">
        <v>6774</v>
      </c>
    </row>
    <row r="122" spans="1:7" x14ac:dyDescent="0.25">
      <c r="A122" t="s">
        <v>3866</v>
      </c>
      <c r="B122" t="s">
        <v>6736</v>
      </c>
      <c r="C122" s="142">
        <v>44899</v>
      </c>
      <c r="D122" s="142">
        <v>44899</v>
      </c>
      <c r="E122" t="s">
        <v>6787</v>
      </c>
      <c r="F122" t="s">
        <v>6788</v>
      </c>
    </row>
    <row r="123" spans="1:7" x14ac:dyDescent="0.25">
      <c r="A123" t="s">
        <v>6762</v>
      </c>
      <c r="B123" t="s">
        <v>6736</v>
      </c>
      <c r="C123" s="142">
        <v>44899</v>
      </c>
      <c r="D123" s="142">
        <v>44899</v>
      </c>
      <c r="E123" t="s">
        <v>6789</v>
      </c>
      <c r="F123" t="s">
        <v>6788</v>
      </c>
    </row>
    <row r="124" spans="1:7" x14ac:dyDescent="0.25">
      <c r="A124" t="s">
        <v>545</v>
      </c>
      <c r="B124" t="s">
        <v>6736</v>
      </c>
      <c r="C124" s="142">
        <v>44899</v>
      </c>
      <c r="D124" s="142">
        <v>44899</v>
      </c>
      <c r="E124" t="s">
        <v>6790</v>
      </c>
      <c r="F124" t="s">
        <v>6791</v>
      </c>
    </row>
    <row r="125" spans="1:7" x14ac:dyDescent="0.25">
      <c r="A125" t="s">
        <v>3876</v>
      </c>
      <c r="B125" t="s">
        <v>6736</v>
      </c>
      <c r="C125" s="142">
        <v>44899</v>
      </c>
      <c r="D125" s="142">
        <v>44899</v>
      </c>
      <c r="E125" t="s">
        <v>6792</v>
      </c>
    </row>
    <row r="126" spans="1:7" x14ac:dyDescent="0.25">
      <c r="A126" t="s">
        <v>3879</v>
      </c>
      <c r="B126" t="s">
        <v>6736</v>
      </c>
      <c r="C126" s="142">
        <v>44899</v>
      </c>
      <c r="D126" s="142">
        <v>44899</v>
      </c>
      <c r="E126" t="s">
        <v>6793</v>
      </c>
    </row>
    <row r="127" spans="1:7" x14ac:dyDescent="0.25">
      <c r="A127" t="s">
        <v>2054</v>
      </c>
      <c r="B127" t="s">
        <v>6736</v>
      </c>
      <c r="C127" s="142">
        <v>44899</v>
      </c>
      <c r="D127" s="142">
        <v>44899</v>
      </c>
      <c r="E127" t="s">
        <v>6794</v>
      </c>
      <c r="F127" t="s">
        <v>6795</v>
      </c>
      <c r="G127" t="s">
        <v>4032</v>
      </c>
    </row>
    <row r="128" spans="1:7" x14ac:dyDescent="0.25">
      <c r="A128" t="s">
        <v>3534</v>
      </c>
      <c r="B128" t="s">
        <v>6736</v>
      </c>
      <c r="C128" s="142">
        <v>44899</v>
      </c>
      <c r="D128" s="142">
        <v>44899</v>
      </c>
      <c r="E128" t="s">
        <v>6793</v>
      </c>
    </row>
    <row r="129" spans="1:7" x14ac:dyDescent="0.25">
      <c r="A129" t="s">
        <v>6763</v>
      </c>
      <c r="B129" t="s">
        <v>6736</v>
      </c>
      <c r="C129" s="142">
        <v>44899</v>
      </c>
      <c r="D129" s="142">
        <v>44899</v>
      </c>
    </row>
    <row r="130" spans="1:7" x14ac:dyDescent="0.25">
      <c r="A130" t="s">
        <v>2302</v>
      </c>
      <c r="B130" t="s">
        <v>6736</v>
      </c>
      <c r="C130" s="142">
        <v>44899</v>
      </c>
      <c r="D130" s="142">
        <v>44899</v>
      </c>
    </row>
    <row r="131" spans="1:7" x14ac:dyDescent="0.25">
      <c r="A131" t="s">
        <v>1489</v>
      </c>
      <c r="B131" t="s">
        <v>6736</v>
      </c>
      <c r="C131" s="142">
        <v>44899</v>
      </c>
      <c r="D131" s="142">
        <v>44899</v>
      </c>
    </row>
    <row r="132" spans="1:7" x14ac:dyDescent="0.25">
      <c r="A132" t="s">
        <v>3632</v>
      </c>
      <c r="B132" t="s">
        <v>6736</v>
      </c>
      <c r="C132" s="142">
        <v>44899</v>
      </c>
      <c r="D132" s="142">
        <v>44899</v>
      </c>
      <c r="E132" t="s">
        <v>6796</v>
      </c>
    </row>
    <row r="133" spans="1:7" x14ac:dyDescent="0.25">
      <c r="A133" t="s">
        <v>6764</v>
      </c>
      <c r="B133" t="s">
        <v>6736</v>
      </c>
      <c r="C133" s="142">
        <v>44899</v>
      </c>
      <c r="D133" s="142">
        <v>44899</v>
      </c>
      <c r="E133" t="s">
        <v>6796</v>
      </c>
    </row>
    <row r="134" spans="1:7" x14ac:dyDescent="0.25">
      <c r="A134" t="s">
        <v>6765</v>
      </c>
      <c r="B134" t="s">
        <v>6736</v>
      </c>
      <c r="C134" s="142">
        <v>44899</v>
      </c>
      <c r="D134" s="142">
        <v>44899</v>
      </c>
      <c r="E134" t="s">
        <v>6797</v>
      </c>
      <c r="F134" t="s">
        <v>6793</v>
      </c>
    </row>
    <row r="135" spans="1:7" x14ac:dyDescent="0.25">
      <c r="A135" t="s">
        <v>769</v>
      </c>
      <c r="B135" t="s">
        <v>6736</v>
      </c>
      <c r="C135" s="142">
        <v>44899</v>
      </c>
      <c r="D135" s="142">
        <v>44899</v>
      </c>
      <c r="E135" t="s">
        <v>6793</v>
      </c>
    </row>
    <row r="136" spans="1:7" x14ac:dyDescent="0.25">
      <c r="A136" t="s">
        <v>6761</v>
      </c>
      <c r="B136" t="s">
        <v>6736</v>
      </c>
      <c r="C136" s="142">
        <v>44898</v>
      </c>
      <c r="D136" s="142">
        <v>44898</v>
      </c>
      <c r="E136" t="s">
        <v>6785</v>
      </c>
      <c r="F136" t="s">
        <v>6786</v>
      </c>
    </row>
    <row r="137" spans="1:7" x14ac:dyDescent="0.25">
      <c r="A137" t="s">
        <v>799</v>
      </c>
      <c r="B137" t="s">
        <v>6736</v>
      </c>
      <c r="C137" s="142">
        <v>44897</v>
      </c>
      <c r="D137" s="142">
        <v>44897</v>
      </c>
      <c r="E137" t="s">
        <v>6771</v>
      </c>
    </row>
    <row r="138" spans="1:7" x14ac:dyDescent="0.25">
      <c r="A138" t="s">
        <v>6759</v>
      </c>
      <c r="B138" t="s">
        <v>6736</v>
      </c>
      <c r="C138" s="142">
        <v>44897</v>
      </c>
      <c r="D138" s="142">
        <v>44897</v>
      </c>
      <c r="E138" t="s">
        <v>6772</v>
      </c>
    </row>
    <row r="139" spans="1:7" x14ac:dyDescent="0.25">
      <c r="A139" t="s">
        <v>1381</v>
      </c>
      <c r="B139" t="s">
        <v>6736</v>
      </c>
      <c r="C139" s="142">
        <v>44897</v>
      </c>
      <c r="D139" s="142">
        <v>44897</v>
      </c>
      <c r="E139" t="s">
        <v>6780</v>
      </c>
      <c r="F139" t="s">
        <v>6779</v>
      </c>
      <c r="G139" t="s">
        <v>158</v>
      </c>
    </row>
    <row r="140" spans="1:7" x14ac:dyDescent="0.25">
      <c r="A140" t="s">
        <v>6760</v>
      </c>
      <c r="B140" t="s">
        <v>6736</v>
      </c>
      <c r="C140" s="142">
        <v>44897</v>
      </c>
      <c r="D140" s="142">
        <v>44897</v>
      </c>
      <c r="E140" t="s">
        <v>6772</v>
      </c>
    </row>
    <row r="141" spans="1:7" x14ac:dyDescent="0.25">
      <c r="A141" t="s">
        <v>2827</v>
      </c>
      <c r="B141" t="s">
        <v>6736</v>
      </c>
      <c r="C141" s="142">
        <v>44897</v>
      </c>
      <c r="D141" s="142">
        <v>44897</v>
      </c>
      <c r="E141" t="s">
        <v>6775</v>
      </c>
    </row>
    <row r="142" spans="1:7" x14ac:dyDescent="0.25">
      <c r="A142" t="s">
        <v>2032</v>
      </c>
      <c r="B142" t="s">
        <v>6736</v>
      </c>
      <c r="C142" s="142">
        <v>44897</v>
      </c>
      <c r="D142" s="142">
        <v>44897</v>
      </c>
      <c r="E142" t="s">
        <v>6776</v>
      </c>
    </row>
    <row r="143" spans="1:7" x14ac:dyDescent="0.25">
      <c r="A143" t="s">
        <v>747</v>
      </c>
      <c r="B143" t="s">
        <v>6736</v>
      </c>
      <c r="C143" s="142">
        <v>44897</v>
      </c>
      <c r="D143" s="142">
        <v>44897</v>
      </c>
      <c r="E143" t="s">
        <v>6781</v>
      </c>
      <c r="F143" t="s">
        <v>6782</v>
      </c>
    </row>
    <row r="144" spans="1:7" x14ac:dyDescent="0.25">
      <c r="A144" t="s">
        <v>3863</v>
      </c>
      <c r="B144" t="s">
        <v>6736</v>
      </c>
      <c r="C144" s="142">
        <v>44897</v>
      </c>
      <c r="D144" s="142">
        <v>44897</v>
      </c>
      <c r="E144" t="s">
        <v>6783</v>
      </c>
      <c r="F144" t="s">
        <v>6784</v>
      </c>
    </row>
    <row r="145" spans="1:2" x14ac:dyDescent="0.25">
      <c r="A145" t="s">
        <v>3601</v>
      </c>
      <c r="B145" t="s">
        <v>6736</v>
      </c>
    </row>
  </sheetData>
  <sortState xmlns:xlrd2="http://schemas.microsoft.com/office/spreadsheetml/2017/richdata2" ref="A2:G145">
    <sortCondition descending="1" ref="C2:C145"/>
    <sortCondition ref="B2:B145"/>
  </sortState>
  <phoneticPr fontId="32"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29</v>
      </c>
      <c r="B2" s="28">
        <v>44613</v>
      </c>
      <c r="C2" t="s">
        <v>5624</v>
      </c>
      <c r="G2" t="s">
        <v>5625</v>
      </c>
    </row>
    <row r="3" spans="1:8" x14ac:dyDescent="0.25">
      <c r="A3" t="s">
        <v>87</v>
      </c>
      <c r="B3" s="28">
        <v>44613</v>
      </c>
      <c r="C3" t="s">
        <v>5624</v>
      </c>
      <c r="G3" t="s">
        <v>5625</v>
      </c>
    </row>
    <row r="4" spans="1:8" x14ac:dyDescent="0.25">
      <c r="A4" t="s">
        <v>1614</v>
      </c>
      <c r="B4" s="28">
        <v>44613</v>
      </c>
      <c r="C4" t="s">
        <v>5624</v>
      </c>
      <c r="G4" t="s">
        <v>5625</v>
      </c>
    </row>
    <row r="5" spans="1:8" x14ac:dyDescent="0.25">
      <c r="A5" t="s">
        <v>5597</v>
      </c>
      <c r="B5" s="28">
        <v>44596</v>
      </c>
      <c r="G5" t="s">
        <v>5598</v>
      </c>
    </row>
    <row r="6" spans="1:8" x14ac:dyDescent="0.25">
      <c r="A6" t="s">
        <v>5605</v>
      </c>
      <c r="B6" s="28">
        <v>44599</v>
      </c>
      <c r="C6" t="s">
        <v>4081</v>
      </c>
      <c r="G6" t="s">
        <v>5606</v>
      </c>
    </row>
    <row r="7" spans="1:8" x14ac:dyDescent="0.25">
      <c r="A7" t="s">
        <v>4064</v>
      </c>
      <c r="B7" s="28">
        <v>44582</v>
      </c>
      <c r="C7" t="s">
        <v>4065</v>
      </c>
      <c r="G7" t="s">
        <v>4068</v>
      </c>
    </row>
    <row r="8" spans="1:8" x14ac:dyDescent="0.25">
      <c r="A8" t="s">
        <v>390</v>
      </c>
      <c r="B8" s="28">
        <v>44613</v>
      </c>
      <c r="C8" t="s">
        <v>5624</v>
      </c>
      <c r="G8" t="s">
        <v>5625</v>
      </c>
    </row>
    <row r="9" spans="1:8" x14ac:dyDescent="0.25">
      <c r="A9" t="s">
        <v>28</v>
      </c>
      <c r="B9" s="28">
        <v>44613</v>
      </c>
      <c r="C9" t="s">
        <v>5624</v>
      </c>
      <c r="G9" t="s">
        <v>5625</v>
      </c>
    </row>
    <row r="10" spans="1:8" x14ac:dyDescent="0.25">
      <c r="A10" t="s">
        <v>3158</v>
      </c>
      <c r="B10" s="28">
        <v>44675</v>
      </c>
      <c r="C10" t="s">
        <v>5631</v>
      </c>
      <c r="G10" t="s">
        <v>5644</v>
      </c>
    </row>
    <row r="11" spans="1:8" x14ac:dyDescent="0.25">
      <c r="A11" t="s">
        <v>3768</v>
      </c>
      <c r="B11" s="28">
        <v>44613</v>
      </c>
      <c r="C11" t="s">
        <v>5624</v>
      </c>
      <c r="G11" t="s">
        <v>5625</v>
      </c>
    </row>
    <row r="12" spans="1:8" x14ac:dyDescent="0.25">
      <c r="A12" t="s">
        <v>437</v>
      </c>
      <c r="B12" s="28">
        <v>44613</v>
      </c>
      <c r="C12" t="s">
        <v>5624</v>
      </c>
      <c r="G12" t="s">
        <v>5625</v>
      </c>
    </row>
    <row r="13" spans="1:8" x14ac:dyDescent="0.25">
      <c r="A13" t="s">
        <v>98</v>
      </c>
      <c r="B13" s="28">
        <v>44675</v>
      </c>
      <c r="C13" t="s">
        <v>5631</v>
      </c>
      <c r="G13" t="s">
        <v>5637</v>
      </c>
    </row>
    <row r="14" spans="1:8" x14ac:dyDescent="0.25">
      <c r="A14" t="s">
        <v>3851</v>
      </c>
      <c r="B14" s="28">
        <v>44590</v>
      </c>
      <c r="C14" t="s">
        <v>4070</v>
      </c>
      <c r="G14" t="s">
        <v>5060</v>
      </c>
    </row>
    <row r="15" spans="1:8" x14ac:dyDescent="0.25">
      <c r="A15" t="s">
        <v>99</v>
      </c>
      <c r="B15" s="28">
        <v>44613</v>
      </c>
      <c r="C15" t="s">
        <v>5624</v>
      </c>
      <c r="G15" t="s">
        <v>5625</v>
      </c>
    </row>
    <row r="16" spans="1:8" x14ac:dyDescent="0.25">
      <c r="A16" t="s">
        <v>38</v>
      </c>
      <c r="B16" s="28">
        <v>44613</v>
      </c>
      <c r="C16" t="s">
        <v>5624</v>
      </c>
      <c r="G16" t="s">
        <v>5625</v>
      </c>
    </row>
    <row r="17" spans="1:7" x14ac:dyDescent="0.25">
      <c r="A17" t="s">
        <v>4067</v>
      </c>
      <c r="B17" s="28">
        <v>44582</v>
      </c>
      <c r="C17" t="s">
        <v>4065</v>
      </c>
      <c r="G17" t="s">
        <v>4066</v>
      </c>
    </row>
    <row r="18" spans="1:7" x14ac:dyDescent="0.25">
      <c r="A18" t="s">
        <v>3189</v>
      </c>
      <c r="B18" s="28">
        <v>44590</v>
      </c>
      <c r="C18" t="s">
        <v>4070</v>
      </c>
      <c r="G18" t="s">
        <v>5061</v>
      </c>
    </row>
    <row r="19" spans="1:7" x14ac:dyDescent="0.25">
      <c r="A19" t="s">
        <v>356</v>
      </c>
      <c r="B19" s="28">
        <v>44613</v>
      </c>
      <c r="C19" t="s">
        <v>5624</v>
      </c>
      <c r="G19" t="s">
        <v>5625</v>
      </c>
    </row>
    <row r="20" spans="1:7" x14ac:dyDescent="0.25">
      <c r="A20" t="s">
        <v>4063</v>
      </c>
      <c r="B20" s="28">
        <v>44582</v>
      </c>
      <c r="C20" t="s">
        <v>4065</v>
      </c>
      <c r="G20" t="s">
        <v>4068</v>
      </c>
    </row>
    <row r="21" spans="1:7" x14ac:dyDescent="0.25">
      <c r="A21" t="s">
        <v>104</v>
      </c>
      <c r="B21" s="28">
        <v>44675</v>
      </c>
      <c r="C21" t="s">
        <v>5631</v>
      </c>
      <c r="G21" t="s">
        <v>5640</v>
      </c>
    </row>
    <row r="22" spans="1:7" ht="30" x14ac:dyDescent="0.25">
      <c r="A22" t="s">
        <v>511</v>
      </c>
      <c r="B22" s="28">
        <v>44596</v>
      </c>
      <c r="G22" s="24" t="s">
        <v>5616</v>
      </c>
    </row>
    <row r="23" spans="1:7" x14ac:dyDescent="0.25">
      <c r="A23" t="s">
        <v>26</v>
      </c>
      <c r="B23" s="28">
        <v>44595</v>
      </c>
      <c r="G23" t="s">
        <v>5596</v>
      </c>
    </row>
    <row r="24" spans="1:7" ht="30" x14ac:dyDescent="0.25">
      <c r="A24" t="s">
        <v>351</v>
      </c>
      <c r="B24" s="28">
        <v>44583</v>
      </c>
      <c r="C24" t="s">
        <v>4070</v>
      </c>
      <c r="G24" s="24" t="s">
        <v>4071</v>
      </c>
    </row>
    <row r="25" spans="1:7" ht="30" x14ac:dyDescent="0.25">
      <c r="A25" t="s">
        <v>13</v>
      </c>
      <c r="B25" s="28">
        <v>44599</v>
      </c>
      <c r="C25" t="s">
        <v>4081</v>
      </c>
      <c r="G25" s="24" t="s">
        <v>5617</v>
      </c>
    </row>
    <row r="26" spans="1:7" x14ac:dyDescent="0.25">
      <c r="A26" t="s">
        <v>435</v>
      </c>
      <c r="B26" s="28">
        <v>44639</v>
      </c>
      <c r="C26" t="s">
        <v>5631</v>
      </c>
      <c r="G26" t="s">
        <v>5632</v>
      </c>
    </row>
    <row r="27" spans="1:7" x14ac:dyDescent="0.25">
      <c r="A27" t="s">
        <v>5062</v>
      </c>
      <c r="B27" s="28">
        <v>44591</v>
      </c>
      <c r="C27" t="s">
        <v>4084</v>
      </c>
      <c r="G27" t="s">
        <v>5063</v>
      </c>
    </row>
    <row r="28" spans="1:7" x14ac:dyDescent="0.25">
      <c r="A28" t="s">
        <v>59</v>
      </c>
      <c r="B28" s="28">
        <v>44675</v>
      </c>
      <c r="C28" t="s">
        <v>5631</v>
      </c>
      <c r="G28" t="s">
        <v>5638</v>
      </c>
    </row>
    <row r="29" spans="1:7" x14ac:dyDescent="0.25">
      <c r="A29" t="s">
        <v>3267</v>
      </c>
      <c r="B29" s="28">
        <v>44599</v>
      </c>
      <c r="C29" t="s">
        <v>4081</v>
      </c>
      <c r="G29" t="s">
        <v>5603</v>
      </c>
    </row>
    <row r="30" spans="1:7" x14ac:dyDescent="0.25">
      <c r="A30" t="s">
        <v>3172</v>
      </c>
      <c r="B30" s="28">
        <v>44675</v>
      </c>
      <c r="C30" t="s">
        <v>5631</v>
      </c>
      <c r="G30" t="s">
        <v>5639</v>
      </c>
    </row>
    <row r="31" spans="1:7" x14ac:dyDescent="0.25">
      <c r="A31" t="s">
        <v>407</v>
      </c>
      <c r="B31" s="28">
        <v>44675</v>
      </c>
      <c r="C31" t="s">
        <v>5631</v>
      </c>
      <c r="G31" t="s">
        <v>5642</v>
      </c>
    </row>
    <row r="32" spans="1:7" x14ac:dyDescent="0.25">
      <c r="A32" t="s">
        <v>51</v>
      </c>
      <c r="B32" s="28">
        <v>44595</v>
      </c>
      <c r="G32" t="s">
        <v>5596</v>
      </c>
    </row>
    <row r="33" spans="1:8" x14ac:dyDescent="0.25">
      <c r="A33" t="s">
        <v>3510</v>
      </c>
      <c r="B33" s="28">
        <v>44596</v>
      </c>
      <c r="C33" t="s">
        <v>4081</v>
      </c>
      <c r="G33" t="s">
        <v>5600</v>
      </c>
    </row>
    <row r="34" spans="1:8" ht="30" x14ac:dyDescent="0.25">
      <c r="A34" t="s">
        <v>4058</v>
      </c>
      <c r="B34" s="28">
        <v>44582</v>
      </c>
      <c r="C34" t="s">
        <v>4065</v>
      </c>
      <c r="G34" t="s">
        <v>4068</v>
      </c>
      <c r="H34" s="24" t="s">
        <v>5620</v>
      </c>
    </row>
    <row r="35" spans="1:8" x14ac:dyDescent="0.25">
      <c r="A35" t="s">
        <v>307</v>
      </c>
      <c r="B35" s="28">
        <v>44613</v>
      </c>
      <c r="G35" t="s">
        <v>5621</v>
      </c>
    </row>
    <row r="36" spans="1:8" x14ac:dyDescent="0.25">
      <c r="A36" t="s">
        <v>5622</v>
      </c>
      <c r="B36" s="28">
        <v>44613</v>
      </c>
      <c r="C36" t="s">
        <v>4081</v>
      </c>
      <c r="G36" t="s">
        <v>5623</v>
      </c>
    </row>
    <row r="37" spans="1:8" x14ac:dyDescent="0.25">
      <c r="A37" t="s">
        <v>3249</v>
      </c>
      <c r="B37" s="28">
        <v>44608</v>
      </c>
      <c r="C37" t="s">
        <v>4081</v>
      </c>
      <c r="G37" t="s">
        <v>5619</v>
      </c>
    </row>
    <row r="38" spans="1:8" x14ac:dyDescent="0.25">
      <c r="A38" t="s">
        <v>3201</v>
      </c>
      <c r="B38" s="28">
        <v>44606</v>
      </c>
      <c r="G38" t="s">
        <v>5614</v>
      </c>
    </row>
    <row r="39" spans="1:8" ht="30" x14ac:dyDescent="0.25">
      <c r="A39" t="s">
        <v>24</v>
      </c>
      <c r="B39" s="28">
        <v>44592</v>
      </c>
      <c r="G39" s="54" t="s">
        <v>5615</v>
      </c>
    </row>
    <row r="40" spans="1:8" x14ac:dyDescent="0.25">
      <c r="A40" t="s">
        <v>3808</v>
      </c>
      <c r="B40" s="28">
        <v>44583</v>
      </c>
      <c r="C40" t="s">
        <v>4072</v>
      </c>
      <c r="G40" t="s">
        <v>4073</v>
      </c>
    </row>
    <row r="41" spans="1:8" x14ac:dyDescent="0.25">
      <c r="A41" t="s">
        <v>4059</v>
      </c>
      <c r="B41" s="28">
        <v>44582</v>
      </c>
      <c r="C41" t="s">
        <v>4065</v>
      </c>
      <c r="G41" t="s">
        <v>4068</v>
      </c>
    </row>
    <row r="42" spans="1:8" x14ac:dyDescent="0.25">
      <c r="A42" t="s">
        <v>1889</v>
      </c>
      <c r="B42" s="28">
        <v>44582</v>
      </c>
      <c r="C42" t="s">
        <v>4065</v>
      </c>
      <c r="G42" t="s">
        <v>4069</v>
      </c>
    </row>
    <row r="43" spans="1:8" ht="45" x14ac:dyDescent="0.25">
      <c r="A43" t="s">
        <v>3221</v>
      </c>
      <c r="B43" s="28">
        <v>44592</v>
      </c>
      <c r="G43" s="24" t="s">
        <v>5618</v>
      </c>
    </row>
    <row r="44" spans="1:8" x14ac:dyDescent="0.25">
      <c r="A44" t="s">
        <v>468</v>
      </c>
      <c r="B44" s="28">
        <v>44599</v>
      </c>
      <c r="C44" t="s">
        <v>4081</v>
      </c>
      <c r="G44" t="s">
        <v>5604</v>
      </c>
    </row>
    <row r="45" spans="1:8" x14ac:dyDescent="0.25">
      <c r="A45" t="s">
        <v>3375</v>
      </c>
      <c r="B45" s="28">
        <v>44592</v>
      </c>
      <c r="G45" t="s">
        <v>5065</v>
      </c>
    </row>
    <row r="46" spans="1:8" x14ac:dyDescent="0.25">
      <c r="A46" t="s">
        <v>199</v>
      </c>
      <c r="B46" s="28">
        <v>44675</v>
      </c>
      <c r="C46" t="s">
        <v>5631</v>
      </c>
      <c r="G46" t="s">
        <v>5641</v>
      </c>
    </row>
    <row r="47" spans="1:8" x14ac:dyDescent="0.25">
      <c r="A47" t="s">
        <v>3238</v>
      </c>
      <c r="B47" s="28">
        <v>44589</v>
      </c>
      <c r="C47" t="s">
        <v>4081</v>
      </c>
      <c r="G47" t="s">
        <v>5064</v>
      </c>
    </row>
    <row r="48" spans="1:8" x14ac:dyDescent="0.25">
      <c r="A48" t="s">
        <v>2230</v>
      </c>
      <c r="B48" s="28">
        <v>44583</v>
      </c>
      <c r="C48" t="s">
        <v>4074</v>
      </c>
      <c r="G48" t="s">
        <v>4075</v>
      </c>
    </row>
    <row r="49" spans="1:7" x14ac:dyDescent="0.25">
      <c r="A49" t="s">
        <v>210</v>
      </c>
      <c r="B49" s="28">
        <v>44592</v>
      </c>
      <c r="G49" t="s">
        <v>5066</v>
      </c>
    </row>
    <row r="50" spans="1:7" x14ac:dyDescent="0.25">
      <c r="A50" t="s">
        <v>5663</v>
      </c>
      <c r="B50" s="28">
        <v>44686</v>
      </c>
      <c r="C50" t="s">
        <v>4081</v>
      </c>
      <c r="G50" t="s">
        <v>5664</v>
      </c>
    </row>
  </sheetData>
  <sortState xmlns:xlrd2="http://schemas.microsoft.com/office/spreadsheetml/2017/richdata2" ref="A2:H50">
    <sortCondition ref="D2:D50"/>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4082</v>
      </c>
      <c r="B2" s="28">
        <v>44589</v>
      </c>
      <c r="C2" t="s">
        <v>4084</v>
      </c>
      <c r="D2" t="s">
        <v>4066</v>
      </c>
      <c r="G2" t="s">
        <v>4083</v>
      </c>
    </row>
    <row r="3" spans="1:8" x14ac:dyDescent="0.25">
      <c r="A3" t="s">
        <v>5671</v>
      </c>
      <c r="B3" s="28">
        <v>44686</v>
      </c>
      <c r="C3" t="s">
        <v>4038</v>
      </c>
      <c r="D3" t="s">
        <v>4066</v>
      </c>
      <c r="G3" t="s">
        <v>5672</v>
      </c>
    </row>
    <row r="4" spans="1:8" x14ac:dyDescent="0.25">
      <c r="A4" t="s">
        <v>5649</v>
      </c>
      <c r="B4" s="28">
        <v>44686</v>
      </c>
      <c r="C4" t="s">
        <v>5631</v>
      </c>
      <c r="D4" t="s">
        <v>4066</v>
      </c>
      <c r="G4" t="s">
        <v>5651</v>
      </c>
    </row>
    <row r="5" spans="1:8" x14ac:dyDescent="0.25">
      <c r="A5" t="s">
        <v>5647</v>
      </c>
      <c r="B5" s="28">
        <v>44686</v>
      </c>
      <c r="C5" t="s">
        <v>5631</v>
      </c>
      <c r="D5" t="s">
        <v>4066</v>
      </c>
      <c r="G5" t="s">
        <v>5648</v>
      </c>
    </row>
    <row r="6" spans="1:8" x14ac:dyDescent="0.25">
      <c r="A6" t="s">
        <v>5650</v>
      </c>
      <c r="B6" s="28">
        <v>44686</v>
      </c>
      <c r="C6" t="s">
        <v>5631</v>
      </c>
      <c r="D6" t="s">
        <v>4066</v>
      </c>
      <c r="G6" t="s">
        <v>5652</v>
      </c>
    </row>
    <row r="7" spans="1:8" x14ac:dyDescent="0.25">
      <c r="A7" t="s">
        <v>5656</v>
      </c>
      <c r="B7" s="28">
        <v>44675</v>
      </c>
      <c r="C7" t="s">
        <v>5631</v>
      </c>
      <c r="D7" t="s">
        <v>4066</v>
      </c>
      <c r="G7" t="s">
        <v>5643</v>
      </c>
    </row>
    <row r="8" spans="1:8" x14ac:dyDescent="0.25">
      <c r="A8" t="s">
        <v>5645</v>
      </c>
      <c r="B8" s="28">
        <v>44686</v>
      </c>
      <c r="C8" t="s">
        <v>5631</v>
      </c>
      <c r="D8" t="s">
        <v>4066</v>
      </c>
      <c r="G8" t="s">
        <v>5646</v>
      </c>
    </row>
    <row r="9" spans="1:8" x14ac:dyDescent="0.25">
      <c r="A9" t="s">
        <v>5667</v>
      </c>
      <c r="B9" s="28">
        <v>44686</v>
      </c>
      <c r="C9" t="s">
        <v>4038</v>
      </c>
      <c r="D9" t="s">
        <v>4066</v>
      </c>
      <c r="G9" t="s">
        <v>5668</v>
      </c>
    </row>
    <row r="10" spans="1:8" x14ac:dyDescent="0.25">
      <c r="A10" t="s">
        <v>5659</v>
      </c>
      <c r="B10" s="28">
        <v>44686</v>
      </c>
      <c r="C10" t="s">
        <v>4081</v>
      </c>
      <c r="D10" t="s">
        <v>4066</v>
      </c>
      <c r="G10" t="s">
        <v>5660</v>
      </c>
    </row>
    <row r="11" spans="1:8" x14ac:dyDescent="0.25">
      <c r="A11" t="s">
        <v>4061</v>
      </c>
      <c r="B11" s="28">
        <v>44582</v>
      </c>
      <c r="C11" t="s">
        <v>4065</v>
      </c>
      <c r="D11" t="s">
        <v>4066</v>
      </c>
      <c r="G11" t="s">
        <v>5657</v>
      </c>
    </row>
    <row r="12" spans="1:8" x14ac:dyDescent="0.25">
      <c r="A12" t="s">
        <v>5653</v>
      </c>
      <c r="B12" s="28">
        <v>44686</v>
      </c>
      <c r="C12" t="s">
        <v>5631</v>
      </c>
      <c r="D12" t="s">
        <v>4066</v>
      </c>
      <c r="G12" t="s">
        <v>5654</v>
      </c>
    </row>
    <row r="13" spans="1:8" x14ac:dyDescent="0.25">
      <c r="A13" t="s">
        <v>5669</v>
      </c>
      <c r="B13" s="28">
        <v>44686</v>
      </c>
      <c r="C13" t="s">
        <v>4038</v>
      </c>
      <c r="D13" t="s">
        <v>4066</v>
      </c>
      <c r="G13" t="s">
        <v>5670</v>
      </c>
    </row>
    <row r="14" spans="1:8" x14ac:dyDescent="0.25">
      <c r="A14" t="s">
        <v>5661</v>
      </c>
      <c r="B14" s="28">
        <v>44686</v>
      </c>
      <c r="C14" t="s">
        <v>4081</v>
      </c>
      <c r="D14" t="s">
        <v>4066</v>
      </c>
      <c r="G14" t="s">
        <v>5662</v>
      </c>
    </row>
    <row r="15" spans="1:8" x14ac:dyDescent="0.25">
      <c r="A15" t="s">
        <v>4060</v>
      </c>
      <c r="B15" s="28">
        <v>44582</v>
      </c>
      <c r="C15" t="s">
        <v>4065</v>
      </c>
      <c r="D15" t="s">
        <v>4066</v>
      </c>
      <c r="G15" t="s">
        <v>5658</v>
      </c>
    </row>
    <row r="16" spans="1:8" x14ac:dyDescent="0.25">
      <c r="A16" t="s">
        <v>5665</v>
      </c>
      <c r="B16" s="28">
        <v>44686</v>
      </c>
      <c r="C16" t="s">
        <v>4038</v>
      </c>
      <c r="D16" t="s">
        <v>4066</v>
      </c>
      <c r="G16" t="s">
        <v>5666</v>
      </c>
    </row>
    <row r="17" spans="1:7" x14ac:dyDescent="0.25">
      <c r="A17" t="s">
        <v>4062</v>
      </c>
      <c r="B17" s="28">
        <v>44582</v>
      </c>
      <c r="C17" t="s">
        <v>4065</v>
      </c>
      <c r="D17" t="s">
        <v>4066</v>
      </c>
      <c r="G17" t="s">
        <v>5599</v>
      </c>
    </row>
    <row r="18" spans="1:7" x14ac:dyDescent="0.25">
      <c r="A18" t="s">
        <v>5673</v>
      </c>
      <c r="B18" s="28">
        <v>44686</v>
      </c>
      <c r="C18" t="s">
        <v>5674</v>
      </c>
      <c r="D18" t="s">
        <v>4066</v>
      </c>
      <c r="G18" t="s">
        <v>5675</v>
      </c>
    </row>
    <row r="19" spans="1:7" x14ac:dyDescent="0.25">
      <c r="A19" t="s">
        <v>5676</v>
      </c>
      <c r="B19" s="28">
        <v>44686</v>
      </c>
      <c r="C19" t="s">
        <v>5674</v>
      </c>
      <c r="D19" t="s">
        <v>4066</v>
      </c>
      <c r="G19" t="s">
        <v>5677</v>
      </c>
    </row>
    <row r="20" spans="1:7" x14ac:dyDescent="0.25">
      <c r="A20" t="s">
        <v>5678</v>
      </c>
      <c r="B20" s="28">
        <v>44686</v>
      </c>
      <c r="C20" t="s">
        <v>5674</v>
      </c>
      <c r="D20" t="s">
        <v>4066</v>
      </c>
      <c r="G20" t="s">
        <v>5679</v>
      </c>
    </row>
  </sheetData>
  <sortState xmlns:xlrd2="http://schemas.microsoft.com/office/spreadsheetml/2017/richdata2" ref="A2:H17">
    <sortCondition ref="A2:A17"/>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74" customWidth="1"/>
    <col min="2" max="2" width="63.140625" style="103" customWidth="1"/>
    <col min="3" max="3" width="43.5703125" style="73" customWidth="1"/>
    <col min="4" max="4" width="14" style="73" customWidth="1"/>
    <col min="5" max="5" width="20" style="95" customWidth="1"/>
    <col min="6" max="6" width="16.28515625" style="95" customWidth="1"/>
    <col min="7" max="7" width="56.85546875" style="73" customWidth="1"/>
    <col min="8" max="8" width="19.28515625" style="82" customWidth="1"/>
    <col min="9" max="16384" width="9.140625" style="73"/>
  </cols>
  <sheetData>
    <row r="1" spans="1:8" s="69" customFormat="1" ht="20.25" customHeight="1" x14ac:dyDescent="0.3">
      <c r="A1" s="86" t="s">
        <v>410</v>
      </c>
      <c r="B1" s="87" t="s">
        <v>5680</v>
      </c>
      <c r="C1" s="88" t="s">
        <v>5681</v>
      </c>
      <c r="D1" s="88" t="s">
        <v>5682</v>
      </c>
      <c r="E1" s="90" t="s">
        <v>5683</v>
      </c>
      <c r="F1" s="90" t="s">
        <v>5684</v>
      </c>
      <c r="G1" s="88" t="s">
        <v>5685</v>
      </c>
      <c r="H1" s="89" t="s">
        <v>6670</v>
      </c>
    </row>
    <row r="2" spans="1:8" ht="15.75" customHeight="1" x14ac:dyDescent="0.25">
      <c r="A2" s="70" t="s">
        <v>5832</v>
      </c>
      <c r="B2" s="71" t="s">
        <v>5833</v>
      </c>
      <c r="C2" s="72" t="s">
        <v>5834</v>
      </c>
      <c r="D2" s="72" t="s">
        <v>5835</v>
      </c>
      <c r="E2" s="91">
        <v>7.3000000000000001E-3</v>
      </c>
      <c r="F2" s="91">
        <v>-0.30599999999999999</v>
      </c>
      <c r="G2" s="72" t="s">
        <v>5836</v>
      </c>
      <c r="H2" s="79">
        <f>_xlfn.IFNA(LEFT(D2,LEN(D2)-1)*CHOOSE(MATCH(RIGHT(D2,1), {"K","M","B"},0),1000,1000000,1000000000),D2)</f>
        <v>760070000</v>
      </c>
    </row>
    <row r="3" spans="1:8" ht="15.75" customHeight="1" x14ac:dyDescent="0.25">
      <c r="A3" s="83" t="s">
        <v>4062</v>
      </c>
      <c r="B3" s="99" t="s">
        <v>6044</v>
      </c>
      <c r="C3" s="85" t="s">
        <v>5834</v>
      </c>
      <c r="D3" s="85" t="s">
        <v>6045</v>
      </c>
      <c r="E3" s="97">
        <v>7.6E-3</v>
      </c>
      <c r="F3" s="97">
        <v>-0.23599999999999999</v>
      </c>
      <c r="G3" s="85" t="s">
        <v>5875</v>
      </c>
      <c r="H3" s="84">
        <f>_xlfn.IFNA(LEFT(D3,LEN(D3)-1)*CHOOSE(MATCH(RIGHT(D3,1), {"K","M","B"},0),1000,1000000,1000000000),D3)</f>
        <v>113120000</v>
      </c>
    </row>
    <row r="4" spans="1:8" ht="15.75" customHeight="1" x14ac:dyDescent="0.25">
      <c r="A4" s="83" t="s">
        <v>6278</v>
      </c>
      <c r="B4" s="99" t="s">
        <v>6279</v>
      </c>
      <c r="C4" s="85" t="s">
        <v>5834</v>
      </c>
      <c r="D4" s="85" t="s">
        <v>6280</v>
      </c>
      <c r="E4" s="97">
        <v>8.0999999999999996E-3</v>
      </c>
      <c r="F4" s="97">
        <v>-0.161</v>
      </c>
      <c r="G4" s="85" t="s">
        <v>6138</v>
      </c>
      <c r="H4" s="84">
        <f>_xlfn.IFNA(LEFT(D4,LEN(D4)-1)*CHOOSE(MATCH(RIGHT(D4,1), {"K","M","B"},0),1000,1000000,1000000000),D4)</f>
        <v>19520000</v>
      </c>
    </row>
    <row r="5" spans="1:8" ht="15.75" customHeight="1" x14ac:dyDescent="0.25">
      <c r="A5" s="83" t="s">
        <v>6344</v>
      </c>
      <c r="B5" s="99" t="s">
        <v>6345</v>
      </c>
      <c r="C5" s="85" t="s">
        <v>5834</v>
      </c>
      <c r="D5" s="85" t="s">
        <v>6346</v>
      </c>
      <c r="E5" s="97">
        <v>9.9000000000000008E-3</v>
      </c>
      <c r="F5" s="97">
        <v>-6.6799999999999998E-2</v>
      </c>
      <c r="G5" s="85" t="s">
        <v>6249</v>
      </c>
      <c r="H5" s="84">
        <f>_xlfn.IFNA(LEFT(D5,LEN(D5)-1)*CHOOSE(MATCH(RIGHT(D5,1), {"K","M","B"},0),1000,1000000,1000000000),D5)</f>
        <v>10380000</v>
      </c>
    </row>
    <row r="6" spans="1:8" ht="15.75" customHeight="1" x14ac:dyDescent="0.25">
      <c r="A6" s="83" t="s">
        <v>6395</v>
      </c>
      <c r="B6" s="99" t="s">
        <v>6396</v>
      </c>
      <c r="C6" s="85" t="s">
        <v>5834</v>
      </c>
      <c r="D6" s="85" t="s">
        <v>6397</v>
      </c>
      <c r="E6" s="97">
        <v>9.1999999999999998E-3</v>
      </c>
      <c r="F6" s="97">
        <v>-0.39119999999999999</v>
      </c>
      <c r="G6" s="85" t="s">
        <v>6398</v>
      </c>
      <c r="H6" s="84">
        <f>_xlfn.IFNA(LEFT(D6,LEN(D6)-1)*CHOOSE(MATCH(RIGHT(D6,1), {"K","M","B"},0),1000,1000000,1000000000),D6)</f>
        <v>7100000</v>
      </c>
    </row>
    <row r="7" spans="1:8" ht="15.75" customHeight="1" x14ac:dyDescent="0.25">
      <c r="A7" s="70" t="s">
        <v>6621</v>
      </c>
      <c r="B7" s="100" t="s">
        <v>6622</v>
      </c>
      <c r="C7" s="72" t="s">
        <v>5834</v>
      </c>
      <c r="D7" s="72" t="s">
        <v>5879</v>
      </c>
      <c r="E7" s="91">
        <v>9.9000000000000008E-3</v>
      </c>
      <c r="F7" s="92" t="s">
        <v>5879</v>
      </c>
      <c r="G7" s="72" t="s">
        <v>6064</v>
      </c>
      <c r="H7" s="79" t="e">
        <f>_xlfn.IFNA(LEFT(D7,LEN(D7)-1)*CHOOSE(MATCH(RIGHT(D7,1), {"K","M","B"},0),1000,1000000,1000000000),D7)</f>
        <v>#VALUE!</v>
      </c>
    </row>
    <row r="8" spans="1:8" ht="15.75" customHeight="1" x14ac:dyDescent="0.25">
      <c r="A8" s="83" t="s">
        <v>6493</v>
      </c>
      <c r="B8" s="99" t="s">
        <v>6494</v>
      </c>
      <c r="C8" s="85" t="s">
        <v>6495</v>
      </c>
      <c r="D8" s="85" t="s">
        <v>6496</v>
      </c>
      <c r="E8" s="97">
        <v>4.4999999999999997E-3</v>
      </c>
      <c r="F8" s="97">
        <v>-1.5299999999999999E-2</v>
      </c>
      <c r="G8" s="85" t="s">
        <v>5729</v>
      </c>
      <c r="H8" s="84">
        <f>_xlfn.IFNA(LEFT(D8,LEN(D8)-1)*CHOOSE(MATCH(RIGHT(D8,1), {"K","M","B"},0),1000,1000000,1000000000),D8)</f>
        <v>4120000</v>
      </c>
    </row>
    <row r="9" spans="1:8" ht="15.75" customHeight="1" x14ac:dyDescent="0.25">
      <c r="A9" s="83" t="s">
        <v>6323</v>
      </c>
      <c r="B9" s="99" t="s">
        <v>6324</v>
      </c>
      <c r="C9" s="85" t="s">
        <v>6325</v>
      </c>
      <c r="D9" s="85" t="s">
        <v>6326</v>
      </c>
      <c r="E9" s="97">
        <v>8.9999999999999993E-3</v>
      </c>
      <c r="F9" s="97">
        <v>-0.27110000000000001</v>
      </c>
      <c r="G9" s="85" t="s">
        <v>6327</v>
      </c>
      <c r="H9" s="84">
        <f>_xlfn.IFNA(LEFT(D9,LEN(D9)-1)*CHOOSE(MATCH(RIGHT(D9,1), {"K","M","B"},0),1000,1000000,1000000000),D9)</f>
        <v>11460000</v>
      </c>
    </row>
    <row r="10" spans="1:8" ht="15.75" customHeight="1" x14ac:dyDescent="0.25">
      <c r="A10" s="83" t="s">
        <v>6518</v>
      </c>
      <c r="B10" s="99" t="s">
        <v>6519</v>
      </c>
      <c r="C10" s="85" t="s">
        <v>6325</v>
      </c>
      <c r="D10" s="85" t="s">
        <v>6520</v>
      </c>
      <c r="E10" s="97">
        <v>6.3E-3</v>
      </c>
      <c r="F10" s="97">
        <v>-0.2399</v>
      </c>
      <c r="G10" s="85" t="s">
        <v>6060</v>
      </c>
      <c r="H10" s="84">
        <f>_xlfn.IFNA(LEFT(D10,LEN(D10)-1)*CHOOSE(MATCH(RIGHT(D10,1), {"K","M","B"},0),1000,1000000,1000000000),D10)</f>
        <v>3200000</v>
      </c>
    </row>
    <row r="11" spans="1:8" ht="15.75" customHeight="1" x14ac:dyDescent="0.25">
      <c r="A11" s="70" t="s">
        <v>5823</v>
      </c>
      <c r="B11" s="71" t="s">
        <v>5824</v>
      </c>
      <c r="C11" s="72" t="s">
        <v>5825</v>
      </c>
      <c r="D11" s="72" t="s">
        <v>5826</v>
      </c>
      <c r="E11" s="91">
        <v>7.1000000000000004E-3</v>
      </c>
      <c r="F11" s="91">
        <v>-0.1641</v>
      </c>
      <c r="G11" s="72" t="s">
        <v>5827</v>
      </c>
      <c r="H11" s="79">
        <f>_xlfn.IFNA(LEFT(D11,LEN(D11)-1)*CHOOSE(MATCH(RIGHT(D11,1), {"K","M","B"},0),1000,1000000,1000000000),D11)</f>
        <v>819860000</v>
      </c>
    </row>
    <row r="12" spans="1:8" ht="15.75" customHeight="1" x14ac:dyDescent="0.25">
      <c r="A12" s="70" t="s">
        <v>5991</v>
      </c>
      <c r="B12" s="71" t="s">
        <v>5992</v>
      </c>
      <c r="C12" s="72" t="s">
        <v>5825</v>
      </c>
      <c r="D12" s="72" t="s">
        <v>5993</v>
      </c>
      <c r="E12" s="91">
        <v>5.8999999999999999E-3</v>
      </c>
      <c r="F12" s="91">
        <v>-0.11799999999999999</v>
      </c>
      <c r="G12" s="72" t="s">
        <v>5717</v>
      </c>
      <c r="H12" s="79">
        <f>_xlfn.IFNA(LEFT(D12,LEN(D12)-1)*CHOOSE(MATCH(RIGHT(D12,1), {"K","M","B"},0),1000,1000000,1000000000),D12)</f>
        <v>199060000</v>
      </c>
    </row>
    <row r="13" spans="1:8" ht="15.75" customHeight="1" x14ac:dyDescent="0.25">
      <c r="A13" s="83" t="s">
        <v>4067</v>
      </c>
      <c r="B13" s="99" t="s">
        <v>6129</v>
      </c>
      <c r="C13" s="85" t="s">
        <v>5825</v>
      </c>
      <c r="D13" s="85" t="s">
        <v>6130</v>
      </c>
      <c r="E13" s="97">
        <v>7.4999999999999997E-3</v>
      </c>
      <c r="F13" s="97">
        <v>-0.2288</v>
      </c>
      <c r="G13" s="85" t="s">
        <v>5875</v>
      </c>
      <c r="H13" s="84">
        <f>_xlfn.IFNA(LEFT(D13,LEN(D13)-1)*CHOOSE(MATCH(RIGHT(D13,1), {"K","M","B"},0),1000,1000000,1000000000),D13)</f>
        <v>58550000</v>
      </c>
    </row>
    <row r="14" spans="1:8" ht="15.75" customHeight="1" x14ac:dyDescent="0.25">
      <c r="A14" s="83" t="s">
        <v>6366</v>
      </c>
      <c r="B14" s="99" t="s">
        <v>6367</v>
      </c>
      <c r="C14" s="85" t="s">
        <v>5825</v>
      </c>
      <c r="D14" s="85" t="s">
        <v>6368</v>
      </c>
      <c r="E14" s="97">
        <v>4.8999999999999998E-3</v>
      </c>
      <c r="F14" s="97">
        <v>-0.14530000000000001</v>
      </c>
      <c r="G14" s="85" t="s">
        <v>5689</v>
      </c>
      <c r="H14" s="84">
        <f>_xlfn.IFNA(LEFT(D14,LEN(D14)-1)*CHOOSE(MATCH(RIGHT(D14,1), {"K","M","B"},0),1000,1000000,1000000000),D14)</f>
        <v>8820000</v>
      </c>
    </row>
    <row r="15" spans="1:8" ht="15.75" customHeight="1" x14ac:dyDescent="0.25">
      <c r="A15" s="83" t="s">
        <v>6464</v>
      </c>
      <c r="B15" s="99" t="s">
        <v>6465</v>
      </c>
      <c r="C15" s="85" t="s">
        <v>5825</v>
      </c>
      <c r="D15" s="85" t="s">
        <v>6466</v>
      </c>
      <c r="E15" s="97">
        <v>6.8999999999999999E-3</v>
      </c>
      <c r="F15" s="97">
        <v>-0.2452</v>
      </c>
      <c r="G15" s="85" t="s">
        <v>6467</v>
      </c>
      <c r="H15" s="84">
        <f>_xlfn.IFNA(LEFT(D15,LEN(D15)-1)*CHOOSE(MATCH(RIGHT(D15,1), {"K","M","B"},0),1000,1000000,1000000000),D15)</f>
        <v>4790000</v>
      </c>
    </row>
    <row r="16" spans="1:8" ht="15.75" customHeight="1" x14ac:dyDescent="0.25">
      <c r="A16" s="83" t="s">
        <v>6604</v>
      </c>
      <c r="B16" s="99" t="s">
        <v>6605</v>
      </c>
      <c r="C16" s="85" t="s">
        <v>5825</v>
      </c>
      <c r="D16" s="85" t="s">
        <v>6606</v>
      </c>
      <c r="E16" s="97">
        <v>5.8999999999999999E-3</v>
      </c>
      <c r="F16" s="97">
        <v>-8.1299999999999997E-2</v>
      </c>
      <c r="G16" s="85" t="s">
        <v>5689</v>
      </c>
      <c r="H16" s="84">
        <f>_xlfn.IFNA(LEFT(D16,LEN(D16)-1)*CHOOSE(MATCH(RIGHT(D16,1), {"K","M","B"},0),1000,1000000,1000000000),D16)</f>
        <v>804240</v>
      </c>
    </row>
    <row r="17" spans="1:8" ht="15.75" customHeight="1" x14ac:dyDescent="0.25">
      <c r="A17" s="83" t="s">
        <v>6614</v>
      </c>
      <c r="B17" s="99" t="s">
        <v>6615</v>
      </c>
      <c r="C17" s="85" t="s">
        <v>5825</v>
      </c>
      <c r="D17" s="85" t="s">
        <v>6616</v>
      </c>
      <c r="E17" s="97">
        <v>5.8999999999999999E-3</v>
      </c>
      <c r="F17" s="97">
        <v>-0.19700000000000001</v>
      </c>
      <c r="G17" s="85" t="s">
        <v>5981</v>
      </c>
      <c r="H17" s="84">
        <f>_xlfn.IFNA(LEFT(D17,LEN(D17)-1)*CHOOSE(MATCH(RIGHT(D17,1), {"K","M","B"},0),1000,1000000,1000000000),D17)</f>
        <v>431750</v>
      </c>
    </row>
    <row r="18" spans="1:8" ht="15.75" customHeight="1" x14ac:dyDescent="0.25">
      <c r="A18" s="70" t="s">
        <v>4082</v>
      </c>
      <c r="B18" s="71" t="s">
        <v>5686</v>
      </c>
      <c r="C18" s="72" t="s">
        <v>5687</v>
      </c>
      <c r="D18" s="72" t="s">
        <v>5688</v>
      </c>
      <c r="E18" s="91">
        <v>7.4999999999999997E-3</v>
      </c>
      <c r="F18" s="91">
        <v>-0.31459999999999999</v>
      </c>
      <c r="G18" s="72" t="s">
        <v>5689</v>
      </c>
      <c r="H18" s="79">
        <f>_xlfn.IFNA(LEFT(D18,LEN(D18)-1)*CHOOSE(MATCH(RIGHT(D18,1), {"K","M","B"},0),1000,1000000,1000000000),D18)</f>
        <v>9290000000</v>
      </c>
    </row>
    <row r="19" spans="1:8" ht="15.75" customHeight="1" x14ac:dyDescent="0.25">
      <c r="A19" s="70" t="s">
        <v>4286</v>
      </c>
      <c r="B19" s="71" t="s">
        <v>5730</v>
      </c>
      <c r="C19" s="72" t="s">
        <v>5687</v>
      </c>
      <c r="D19" s="72" t="s">
        <v>5731</v>
      </c>
      <c r="E19" s="91">
        <v>7.4999999999999997E-3</v>
      </c>
      <c r="F19" s="91">
        <v>-0.27150000000000002</v>
      </c>
      <c r="G19" s="72" t="s">
        <v>5732</v>
      </c>
      <c r="H19" s="79">
        <f>_xlfn.IFNA(LEFT(D19,LEN(D19)-1)*CHOOSE(MATCH(RIGHT(D19,1), {"K","M","B"},0),1000,1000000,1000000000),D19)</f>
        <v>2740000000</v>
      </c>
    </row>
    <row r="20" spans="1:8" ht="15.75" customHeight="1" x14ac:dyDescent="0.25">
      <c r="A20" s="70" t="s">
        <v>4244</v>
      </c>
      <c r="B20" s="71" t="s">
        <v>5749</v>
      </c>
      <c r="C20" s="72" t="s">
        <v>5687</v>
      </c>
      <c r="D20" s="72" t="s">
        <v>5750</v>
      </c>
      <c r="E20" s="91">
        <v>8.3000000000000001E-3</v>
      </c>
      <c r="F20" s="91">
        <v>-0.26819999999999999</v>
      </c>
      <c r="G20" s="72" t="s">
        <v>5751</v>
      </c>
      <c r="H20" s="79">
        <f>_xlfn.IFNA(LEFT(D20,LEN(D20)-1)*CHOOSE(MATCH(RIGHT(D20,1), {"K","M","B"},0),1000,1000000,1000000000),D20)</f>
        <v>1840000000</v>
      </c>
    </row>
    <row r="21" spans="1:8" ht="15.75" customHeight="1" x14ac:dyDescent="0.25">
      <c r="A21" s="70" t="s">
        <v>4189</v>
      </c>
      <c r="B21" s="71" t="s">
        <v>5775</v>
      </c>
      <c r="C21" s="72" t="s">
        <v>5687</v>
      </c>
      <c r="D21" s="72" t="s">
        <v>5776</v>
      </c>
      <c r="E21" s="91">
        <v>7.4999999999999997E-3</v>
      </c>
      <c r="F21" s="91">
        <v>-0.11070000000000001</v>
      </c>
      <c r="G21" s="72" t="s">
        <v>5774</v>
      </c>
      <c r="H21" s="79">
        <f>_xlfn.IFNA(LEFT(D21,LEN(D21)-1)*CHOOSE(MATCH(RIGHT(D21,1), {"K","M","B"},0),1000,1000000,1000000000),D21)</f>
        <v>1370000000</v>
      </c>
    </row>
    <row r="22" spans="1:8" ht="15.75" customHeight="1" x14ac:dyDescent="0.25">
      <c r="A22" s="70" t="s">
        <v>4366</v>
      </c>
      <c r="B22" s="71" t="s">
        <v>5790</v>
      </c>
      <c r="C22" s="72" t="s">
        <v>5687</v>
      </c>
      <c r="D22" s="72" t="s">
        <v>5791</v>
      </c>
      <c r="E22" s="91">
        <v>7.4999999999999997E-3</v>
      </c>
      <c r="F22" s="91">
        <v>-0.29349999999999998</v>
      </c>
      <c r="G22" s="72" t="s">
        <v>5792</v>
      </c>
      <c r="H22" s="79">
        <f>_xlfn.IFNA(LEFT(D22,LEN(D22)-1)*CHOOSE(MATCH(RIGHT(D22,1), {"K","M","B"},0),1000,1000000,1000000000),D22)</f>
        <v>1130000000</v>
      </c>
    </row>
    <row r="23" spans="1:8" ht="15.75" customHeight="1" x14ac:dyDescent="0.25">
      <c r="A23" s="70" t="s">
        <v>5913</v>
      </c>
      <c r="B23" s="71" t="s">
        <v>5914</v>
      </c>
      <c r="C23" s="72" t="s">
        <v>5687</v>
      </c>
      <c r="D23" s="72" t="s">
        <v>5915</v>
      </c>
      <c r="E23" s="91">
        <v>7.4999999999999997E-3</v>
      </c>
      <c r="F23" s="91">
        <v>-5.1400000000000001E-2</v>
      </c>
      <c r="G23" s="72" t="s">
        <v>5916</v>
      </c>
      <c r="H23" s="79">
        <f>_xlfn.IFNA(LEFT(D23,LEN(D23)-1)*CHOOSE(MATCH(RIGHT(D23,1), {"K","M","B"},0),1000,1000000,1000000000),D23)</f>
        <v>359980000</v>
      </c>
    </row>
    <row r="24" spans="1:8" ht="15.75" customHeight="1" x14ac:dyDescent="0.25">
      <c r="A24" s="70" t="s">
        <v>5972</v>
      </c>
      <c r="B24" s="71" t="s">
        <v>5973</v>
      </c>
      <c r="C24" s="72" t="s">
        <v>5687</v>
      </c>
      <c r="D24" s="72" t="s">
        <v>5974</v>
      </c>
      <c r="E24" s="91">
        <v>6.6E-3</v>
      </c>
      <c r="F24" s="91">
        <v>-0.18210000000000001</v>
      </c>
      <c r="G24" s="72" t="s">
        <v>5774</v>
      </c>
      <c r="H24" s="79">
        <f>_xlfn.IFNA(LEFT(D24,LEN(D24)-1)*CHOOSE(MATCH(RIGHT(D24,1), {"K","M","B"},0),1000,1000000,1000000000),D24)</f>
        <v>244250000</v>
      </c>
    </row>
    <row r="25" spans="1:8" ht="15.75" customHeight="1" x14ac:dyDescent="0.25">
      <c r="A25" s="70" t="s">
        <v>6029</v>
      </c>
      <c r="B25" s="71" t="s">
        <v>6030</v>
      </c>
      <c r="C25" s="72" t="s">
        <v>5687</v>
      </c>
      <c r="D25" s="72" t="s">
        <v>6031</v>
      </c>
      <c r="E25" s="91">
        <v>4.8999999999999998E-3</v>
      </c>
      <c r="F25" s="91">
        <v>-0.1321</v>
      </c>
      <c r="G25" s="72" t="s">
        <v>6032</v>
      </c>
      <c r="H25" s="79">
        <f>_xlfn.IFNA(LEFT(D25,LEN(D25)-1)*CHOOSE(MATCH(RIGHT(D25,1), {"K","M","B"},0),1000,1000000,1000000000),D25)</f>
        <v>136890000</v>
      </c>
    </row>
    <row r="26" spans="1:8" ht="15.75" customHeight="1" x14ac:dyDescent="0.25">
      <c r="A26" s="83" t="s">
        <v>6296</v>
      </c>
      <c r="B26" s="99" t="s">
        <v>6297</v>
      </c>
      <c r="C26" s="85" t="s">
        <v>5687</v>
      </c>
      <c r="D26" s="85" t="s">
        <v>6298</v>
      </c>
      <c r="E26" s="97">
        <v>5.4999999999999997E-3</v>
      </c>
      <c r="F26" s="98" t="s">
        <v>5879</v>
      </c>
      <c r="G26" s="85" t="s">
        <v>6299</v>
      </c>
      <c r="H26" s="84">
        <f>_xlfn.IFNA(LEFT(D26,LEN(D26)-1)*CHOOSE(MATCH(RIGHT(D26,1), {"K","M","B"},0),1000,1000000,1000000000),D26)</f>
        <v>15820000</v>
      </c>
    </row>
    <row r="27" spans="1:8" ht="15.75" customHeight="1" x14ac:dyDescent="0.25">
      <c r="A27" s="70" t="s">
        <v>6617</v>
      </c>
      <c r="B27" s="100" t="s">
        <v>6618</v>
      </c>
      <c r="C27" s="72" t="s">
        <v>6619</v>
      </c>
      <c r="D27" s="72" t="s">
        <v>5879</v>
      </c>
      <c r="E27" s="92" t="s">
        <v>5879</v>
      </c>
      <c r="F27" s="92" t="s">
        <v>5879</v>
      </c>
      <c r="G27" s="72" t="s">
        <v>6620</v>
      </c>
      <c r="H27" s="79" t="e">
        <f>_xlfn.IFNA(LEFT(D27,LEN(D27)-1)*CHOOSE(MATCH(RIGHT(D27,1), {"K","M","B"},0),1000,1000000,1000000000),D27)</f>
        <v>#VALUE!</v>
      </c>
    </row>
    <row r="28" spans="1:8" ht="15.75" customHeight="1" x14ac:dyDescent="0.25">
      <c r="A28" s="83" t="s">
        <v>6269</v>
      </c>
      <c r="B28" s="99" t="s">
        <v>6270</v>
      </c>
      <c r="C28" s="85" t="s">
        <v>6271</v>
      </c>
      <c r="D28" s="85" t="s">
        <v>6272</v>
      </c>
      <c r="E28" s="97">
        <v>6.4999999999999997E-3</v>
      </c>
      <c r="F28" s="97">
        <v>-3.95E-2</v>
      </c>
      <c r="G28" s="85" t="s">
        <v>6273</v>
      </c>
      <c r="H28" s="84">
        <f>_xlfn.IFNA(LEFT(D28,LEN(D28)-1)*CHOOSE(MATCH(RIGHT(D28,1), {"K","M","B"},0),1000,1000000,1000000000),D28)</f>
        <v>20530000</v>
      </c>
    </row>
    <row r="29" spans="1:8" ht="15.75" customHeight="1" x14ac:dyDescent="0.25">
      <c r="A29" s="83" t="s">
        <v>6109</v>
      </c>
      <c r="B29" s="99" t="s">
        <v>6110</v>
      </c>
      <c r="C29" s="85" t="s">
        <v>6111</v>
      </c>
      <c r="D29" s="85" t="s">
        <v>6112</v>
      </c>
      <c r="E29" s="97">
        <v>6.0000000000000001E-3</v>
      </c>
      <c r="F29" s="97">
        <v>-0.1167</v>
      </c>
      <c r="G29" s="85" t="s">
        <v>6113</v>
      </c>
      <c r="H29" s="84">
        <f>_xlfn.IFNA(LEFT(D29,LEN(D29)-1)*CHOOSE(MATCH(RIGHT(D29,1), {"K","M","B"},0),1000,1000000,1000000000),D29)</f>
        <v>67150000</v>
      </c>
    </row>
    <row r="30" spans="1:8" ht="15.75" customHeight="1" x14ac:dyDescent="0.25">
      <c r="A30" s="70" t="s">
        <v>5678</v>
      </c>
      <c r="B30" s="71" t="s">
        <v>5679</v>
      </c>
      <c r="C30" s="72" t="s">
        <v>5707</v>
      </c>
      <c r="D30" s="72" t="s">
        <v>5708</v>
      </c>
      <c r="E30" s="91">
        <v>4.1999999999999997E-3</v>
      </c>
      <c r="F30" s="91">
        <v>1.23E-2</v>
      </c>
      <c r="G30" s="72" t="s">
        <v>5709</v>
      </c>
      <c r="H30" s="79">
        <f>_xlfn.IFNA(LEFT(D30,LEN(D30)-1)*CHOOSE(MATCH(RIGHT(D30,1), {"K","M","B"},0),1000,1000000,1000000000),D30)</f>
        <v>4960000000</v>
      </c>
    </row>
    <row r="31" spans="1:8" ht="15.75" customHeight="1" x14ac:dyDescent="0.25">
      <c r="A31" s="70" t="s">
        <v>5718</v>
      </c>
      <c r="B31" s="71" t="s">
        <v>5719</v>
      </c>
      <c r="C31" s="72" t="s">
        <v>5707</v>
      </c>
      <c r="D31" s="72" t="s">
        <v>5720</v>
      </c>
      <c r="E31" s="91">
        <v>4.3E-3</v>
      </c>
      <c r="F31" s="91">
        <v>-0.16159999999999999</v>
      </c>
      <c r="G31" s="72" t="s">
        <v>5721</v>
      </c>
      <c r="H31" s="79">
        <f>_xlfn.IFNA(LEFT(D31,LEN(D31)-1)*CHOOSE(MATCH(RIGHT(D31,1), {"K","M","B"},0),1000,1000000,1000000000),D31)</f>
        <v>3900000000</v>
      </c>
    </row>
    <row r="32" spans="1:8" ht="15.75" customHeight="1" x14ac:dyDescent="0.25">
      <c r="A32" s="70" t="s">
        <v>5726</v>
      </c>
      <c r="B32" s="71" t="s">
        <v>5727</v>
      </c>
      <c r="C32" s="72" t="s">
        <v>5707</v>
      </c>
      <c r="D32" s="72" t="s">
        <v>5728</v>
      </c>
      <c r="E32" s="91">
        <v>4.3E-3</v>
      </c>
      <c r="F32" s="91">
        <v>2.1299999999999999E-2</v>
      </c>
      <c r="G32" s="72" t="s">
        <v>5729</v>
      </c>
      <c r="H32" s="79">
        <f>_xlfn.IFNA(LEFT(D32,LEN(D32)-1)*CHOOSE(MATCH(RIGHT(D32,1), {"K","M","B"},0),1000,1000000,1000000000),D32)</f>
        <v>3320000000</v>
      </c>
    </row>
    <row r="33" spans="1:8" ht="15.75" customHeight="1" x14ac:dyDescent="0.25">
      <c r="A33" s="70" t="s">
        <v>5766</v>
      </c>
      <c r="B33" s="71" t="s">
        <v>5767</v>
      </c>
      <c r="C33" s="72" t="s">
        <v>5707</v>
      </c>
      <c r="D33" s="72" t="s">
        <v>5768</v>
      </c>
      <c r="E33" s="91">
        <v>4.1000000000000003E-3</v>
      </c>
      <c r="F33" s="91">
        <v>-0.17929999999999999</v>
      </c>
      <c r="G33" s="72" t="s">
        <v>5769</v>
      </c>
      <c r="H33" s="79">
        <f>_xlfn.IFNA(LEFT(D33,LEN(D33)-1)*CHOOSE(MATCH(RIGHT(D33,1), {"K","M","B"},0),1000,1000000,1000000000),D33)</f>
        <v>1480000000</v>
      </c>
    </row>
    <row r="34" spans="1:8" ht="15.75" customHeight="1" x14ac:dyDescent="0.25">
      <c r="A34" s="70" t="s">
        <v>5777</v>
      </c>
      <c r="B34" s="71" t="s">
        <v>5778</v>
      </c>
      <c r="C34" s="72" t="s">
        <v>5707</v>
      </c>
      <c r="D34" s="72" t="s">
        <v>5779</v>
      </c>
      <c r="E34" s="91">
        <v>1.4E-3</v>
      </c>
      <c r="F34" s="91">
        <v>-9.8900000000000002E-2</v>
      </c>
      <c r="G34" s="72" t="s">
        <v>5780</v>
      </c>
      <c r="H34" s="79">
        <f>_xlfn.IFNA(LEFT(D34,LEN(D34)-1)*CHOOSE(MATCH(RIGHT(D34,1), {"K","M","B"},0),1000,1000000,1000000000),D34)</f>
        <v>1320000000</v>
      </c>
    </row>
    <row r="35" spans="1:8" ht="15.75" customHeight="1" x14ac:dyDescent="0.25">
      <c r="A35" s="70" t="s">
        <v>5794</v>
      </c>
      <c r="B35" s="71" t="s">
        <v>5795</v>
      </c>
      <c r="C35" s="72" t="s">
        <v>5707</v>
      </c>
      <c r="D35" s="72" t="s">
        <v>5793</v>
      </c>
      <c r="E35" s="91">
        <v>2E-3</v>
      </c>
      <c r="F35" s="91">
        <v>-0.1032</v>
      </c>
      <c r="G35" s="72" t="s">
        <v>5796</v>
      </c>
      <c r="H35" s="79">
        <f>_xlfn.IFNA(LEFT(D35,LEN(D35)-1)*CHOOSE(MATCH(RIGHT(D35,1), {"K","M","B"},0),1000,1000000,1000000000),D35)</f>
        <v>1090000000</v>
      </c>
    </row>
    <row r="36" spans="1:8" ht="15.75" customHeight="1" x14ac:dyDescent="0.25">
      <c r="A36" s="70" t="s">
        <v>5800</v>
      </c>
      <c r="B36" s="71" t="s">
        <v>5801</v>
      </c>
      <c r="C36" s="72" t="s">
        <v>5707</v>
      </c>
      <c r="D36" s="72" t="s">
        <v>5802</v>
      </c>
      <c r="E36" s="91">
        <v>4.3E-3</v>
      </c>
      <c r="F36" s="91">
        <v>0.10489999999999999</v>
      </c>
      <c r="G36" s="72" t="s">
        <v>5803</v>
      </c>
      <c r="H36" s="79">
        <f>_xlfn.IFNA(LEFT(D36,LEN(D36)-1)*CHOOSE(MATCH(RIGHT(D36,1), {"K","M","B"},0),1000,1000000,1000000000),D36)</f>
        <v>1040000000</v>
      </c>
    </row>
    <row r="37" spans="1:8" ht="15.75" customHeight="1" x14ac:dyDescent="0.25">
      <c r="A37" s="70" t="s">
        <v>5817</v>
      </c>
      <c r="B37" s="71" t="s">
        <v>5818</v>
      </c>
      <c r="C37" s="72" t="s">
        <v>5707</v>
      </c>
      <c r="D37" s="72" t="s">
        <v>5819</v>
      </c>
      <c r="E37" s="91">
        <v>3.0000000000000001E-3</v>
      </c>
      <c r="F37" s="91">
        <v>1.1000000000000001E-3</v>
      </c>
      <c r="G37" s="72" t="s">
        <v>5714</v>
      </c>
      <c r="H37" s="79">
        <f>_xlfn.IFNA(LEFT(D37,LEN(D37)-1)*CHOOSE(MATCH(RIGHT(D37,1), {"K","M","B"},0),1000,1000000,1000000000),D37)</f>
        <v>885540000</v>
      </c>
    </row>
    <row r="38" spans="1:8" ht="15.75" customHeight="1" x14ac:dyDescent="0.25">
      <c r="A38" s="70" t="s">
        <v>5866</v>
      </c>
      <c r="B38" s="71" t="s">
        <v>5867</v>
      </c>
      <c r="C38" s="72" t="s">
        <v>5707</v>
      </c>
      <c r="D38" s="72" t="s">
        <v>5868</v>
      </c>
      <c r="E38" s="91">
        <v>4.7000000000000002E-3</v>
      </c>
      <c r="F38" s="91">
        <v>-2.5700000000000001E-2</v>
      </c>
      <c r="G38" s="72" t="s">
        <v>5697</v>
      </c>
      <c r="H38" s="79">
        <f>_xlfn.IFNA(LEFT(D38,LEN(D38)-1)*CHOOSE(MATCH(RIGHT(D38,1), {"K","M","B"},0),1000,1000000,1000000000),D38)</f>
        <v>617090000</v>
      </c>
    </row>
    <row r="39" spans="1:8" ht="15.75" customHeight="1" x14ac:dyDescent="0.25">
      <c r="A39" s="70" t="s">
        <v>5876</v>
      </c>
      <c r="B39" s="71" t="s">
        <v>5877</v>
      </c>
      <c r="C39" s="72" t="s">
        <v>5707</v>
      </c>
      <c r="D39" s="72" t="s">
        <v>5878</v>
      </c>
      <c r="E39" s="91">
        <v>1E-3</v>
      </c>
      <c r="F39" s="92" t="s">
        <v>5879</v>
      </c>
      <c r="G39" s="72" t="s">
        <v>5780</v>
      </c>
      <c r="H39" s="79">
        <f>_xlfn.IFNA(LEFT(D39,LEN(D39)-1)*CHOOSE(MATCH(RIGHT(D39,1), {"K","M","B"},0),1000,1000000,1000000000),D39)</f>
        <v>575560000</v>
      </c>
    </row>
    <row r="40" spans="1:8" ht="15.75" customHeight="1" x14ac:dyDescent="0.25">
      <c r="A40" s="70" t="s">
        <v>5883</v>
      </c>
      <c r="B40" s="71" t="s">
        <v>5884</v>
      </c>
      <c r="C40" s="72" t="s">
        <v>5707</v>
      </c>
      <c r="D40" s="72" t="s">
        <v>5885</v>
      </c>
      <c r="E40" s="91">
        <v>2E-3</v>
      </c>
      <c r="F40" s="91">
        <v>-0.1089</v>
      </c>
      <c r="G40" s="72" t="s">
        <v>5886</v>
      </c>
      <c r="H40" s="79">
        <f>_xlfn.IFNA(LEFT(D40,LEN(D40)-1)*CHOOSE(MATCH(RIGHT(D40,1), {"K","M","B"},0),1000,1000000,1000000000),D40)</f>
        <v>520450000.00000006</v>
      </c>
    </row>
    <row r="41" spans="1:8" ht="15.75" customHeight="1" x14ac:dyDescent="0.25">
      <c r="A41" s="70" t="s">
        <v>5887</v>
      </c>
      <c r="B41" s="71" t="s">
        <v>5888</v>
      </c>
      <c r="C41" s="72" t="s">
        <v>5707</v>
      </c>
      <c r="D41" s="72" t="s">
        <v>5889</v>
      </c>
      <c r="E41" s="91">
        <v>4.7000000000000002E-3</v>
      </c>
      <c r="F41" s="91">
        <v>-0.1847</v>
      </c>
      <c r="G41" s="72" t="s">
        <v>5717</v>
      </c>
      <c r="H41" s="79">
        <f>_xlfn.IFNA(LEFT(D41,LEN(D41)-1)*CHOOSE(MATCH(RIGHT(D41,1), {"K","M","B"},0),1000,1000000,1000000000),D41)</f>
        <v>498610000</v>
      </c>
    </row>
    <row r="42" spans="1:8" ht="15.75" customHeight="1" x14ac:dyDescent="0.25">
      <c r="A42" s="70" t="s">
        <v>5926</v>
      </c>
      <c r="B42" s="71" t="s">
        <v>5927</v>
      </c>
      <c r="C42" s="72" t="s">
        <v>5707</v>
      </c>
      <c r="D42" s="72" t="s">
        <v>5928</v>
      </c>
      <c r="E42" s="91">
        <v>4.1999999999999997E-3</v>
      </c>
      <c r="F42" s="91">
        <v>-0.1447</v>
      </c>
      <c r="G42" s="72" t="s">
        <v>5929</v>
      </c>
      <c r="H42" s="79">
        <f>_xlfn.IFNA(LEFT(D42,LEN(D42)-1)*CHOOSE(MATCH(RIGHT(D42,1), {"K","M","B"},0),1000,1000000,1000000000),D42)</f>
        <v>351150000</v>
      </c>
    </row>
    <row r="43" spans="1:8" ht="15.75" customHeight="1" x14ac:dyDescent="0.25">
      <c r="A43" s="70" t="s">
        <v>5930</v>
      </c>
      <c r="B43" s="71" t="s">
        <v>5931</v>
      </c>
      <c r="C43" s="72" t="s">
        <v>5707</v>
      </c>
      <c r="D43" s="72" t="s">
        <v>5932</v>
      </c>
      <c r="E43" s="91">
        <v>4.0000000000000001E-3</v>
      </c>
      <c r="F43" s="91">
        <v>-0.15260000000000001</v>
      </c>
      <c r="G43" s="72" t="s">
        <v>5933</v>
      </c>
      <c r="H43" s="79">
        <f>_xlfn.IFNA(LEFT(D43,LEN(D43)-1)*CHOOSE(MATCH(RIGHT(D43,1), {"K","M","B"},0),1000,1000000,1000000000),D43)</f>
        <v>334720000</v>
      </c>
    </row>
    <row r="44" spans="1:8" ht="15.75" customHeight="1" x14ac:dyDescent="0.25">
      <c r="A44" s="70" t="s">
        <v>5934</v>
      </c>
      <c r="B44" s="71" t="s">
        <v>5935</v>
      </c>
      <c r="C44" s="72" t="s">
        <v>5707</v>
      </c>
      <c r="D44" s="72" t="s">
        <v>5936</v>
      </c>
      <c r="E44" s="91">
        <v>4.3E-3</v>
      </c>
      <c r="F44" s="91">
        <v>-2.2200000000000001E-2</v>
      </c>
      <c r="G44" s="72" t="s">
        <v>5937</v>
      </c>
      <c r="H44" s="79">
        <f>_xlfn.IFNA(LEFT(D44,LEN(D44)-1)*CHOOSE(MATCH(RIGHT(D44,1), {"K","M","B"},0),1000,1000000,1000000000),D44)</f>
        <v>315620000</v>
      </c>
    </row>
    <row r="45" spans="1:8" ht="15.75" customHeight="1" x14ac:dyDescent="0.25">
      <c r="A45" s="70" t="s">
        <v>5941</v>
      </c>
      <c r="B45" s="71" t="s">
        <v>5942</v>
      </c>
      <c r="C45" s="72" t="s">
        <v>5707</v>
      </c>
      <c r="D45" s="72" t="s">
        <v>5943</v>
      </c>
      <c r="E45" s="91">
        <v>3.8999999999999998E-3</v>
      </c>
      <c r="F45" s="91">
        <v>8.6499999999999994E-2</v>
      </c>
      <c r="G45" s="72" t="s">
        <v>5744</v>
      </c>
      <c r="H45" s="79">
        <f>_xlfn.IFNA(LEFT(D45,LEN(D45)-1)*CHOOSE(MATCH(RIGHT(D45,1), {"K","M","B"},0),1000,1000000,1000000000),D45)</f>
        <v>286880000</v>
      </c>
    </row>
    <row r="46" spans="1:8" ht="15.75" customHeight="1" x14ac:dyDescent="0.25">
      <c r="A46" s="70" t="s">
        <v>5944</v>
      </c>
      <c r="B46" s="71" t="s">
        <v>5945</v>
      </c>
      <c r="C46" s="72" t="s">
        <v>5707</v>
      </c>
      <c r="D46" s="72" t="s">
        <v>5946</v>
      </c>
      <c r="E46" s="91">
        <v>4.7000000000000002E-3</v>
      </c>
      <c r="F46" s="91">
        <v>-0.19409999999999999</v>
      </c>
      <c r="G46" s="72" t="s">
        <v>5774</v>
      </c>
      <c r="H46" s="79">
        <f>_xlfn.IFNA(LEFT(D46,LEN(D46)-1)*CHOOSE(MATCH(RIGHT(D46,1), {"K","M","B"},0),1000,1000000,1000000000),D46)</f>
        <v>286640000</v>
      </c>
    </row>
    <row r="47" spans="1:8" ht="15.75" customHeight="1" x14ac:dyDescent="0.25">
      <c r="A47" s="70" t="s">
        <v>5988</v>
      </c>
      <c r="B47" s="71" t="s">
        <v>5989</v>
      </c>
      <c r="C47" s="72" t="s">
        <v>5707</v>
      </c>
      <c r="D47" s="72" t="s">
        <v>5990</v>
      </c>
      <c r="E47" s="91">
        <v>4.7000000000000002E-3</v>
      </c>
      <c r="F47" s="91">
        <v>-0.15640000000000001</v>
      </c>
      <c r="G47" s="72" t="s">
        <v>5732</v>
      </c>
      <c r="H47" s="79">
        <f>_xlfn.IFNA(LEFT(D47,LEN(D47)-1)*CHOOSE(MATCH(RIGHT(D47,1), {"K","M","B"},0),1000,1000000,1000000000),D47)</f>
        <v>199920000</v>
      </c>
    </row>
    <row r="48" spans="1:8" ht="15.75" customHeight="1" x14ac:dyDescent="0.25">
      <c r="A48" s="83" t="s">
        <v>6265</v>
      </c>
      <c r="B48" s="99" t="s">
        <v>6266</v>
      </c>
      <c r="C48" s="85" t="s">
        <v>5707</v>
      </c>
      <c r="D48" s="85" t="s">
        <v>6267</v>
      </c>
      <c r="E48" s="97">
        <v>6.0000000000000001E-3</v>
      </c>
      <c r="F48" s="97">
        <v>-9.9000000000000005E-2</v>
      </c>
      <c r="G48" s="85" t="s">
        <v>6268</v>
      </c>
      <c r="H48" s="84">
        <f>_xlfn.IFNA(LEFT(D48,LEN(D48)-1)*CHOOSE(MATCH(RIGHT(D48,1), {"K","M","B"},0),1000,1000000,1000000000),D48)</f>
        <v>20570000</v>
      </c>
    </row>
    <row r="49" spans="1:8" ht="15.75" customHeight="1" x14ac:dyDescent="0.25">
      <c r="A49" s="83" t="s">
        <v>6320</v>
      </c>
      <c r="B49" s="99" t="s">
        <v>6321</v>
      </c>
      <c r="C49" s="85" t="s">
        <v>5707</v>
      </c>
      <c r="D49" s="85" t="s">
        <v>6322</v>
      </c>
      <c r="E49" s="97">
        <v>8.8000000000000005E-3</v>
      </c>
      <c r="F49" s="97">
        <v>-0.18429999999999999</v>
      </c>
      <c r="G49" s="85" t="s">
        <v>6018</v>
      </c>
      <c r="H49" s="84">
        <f>_xlfn.IFNA(LEFT(D49,LEN(D49)-1)*CHOOSE(MATCH(RIGHT(D49,1), {"K","M","B"},0),1000,1000000,1000000000),D49)</f>
        <v>12720000</v>
      </c>
    </row>
    <row r="50" spans="1:8" ht="15.75" customHeight="1" x14ac:dyDescent="0.25">
      <c r="A50" s="83" t="s">
        <v>6382</v>
      </c>
      <c r="B50" s="99" t="s">
        <v>6383</v>
      </c>
      <c r="C50" s="85" t="s">
        <v>5707</v>
      </c>
      <c r="D50" s="85" t="s">
        <v>6384</v>
      </c>
      <c r="E50" s="97">
        <v>5.8999999999999999E-3</v>
      </c>
      <c r="F50" s="97">
        <v>-0.2324</v>
      </c>
      <c r="G50" s="85" t="s">
        <v>6385</v>
      </c>
      <c r="H50" s="84">
        <f>_xlfn.IFNA(LEFT(D50,LEN(D50)-1)*CHOOSE(MATCH(RIGHT(D50,1), {"K","M","B"},0),1000,1000000,1000000000),D50)</f>
        <v>7600000</v>
      </c>
    </row>
    <row r="51" spans="1:8" ht="15.75" customHeight="1" x14ac:dyDescent="0.25">
      <c r="A51" s="83" t="s">
        <v>6460</v>
      </c>
      <c r="B51" s="99" t="s">
        <v>6461</v>
      </c>
      <c r="C51" s="85" t="s">
        <v>5707</v>
      </c>
      <c r="D51" s="85" t="s">
        <v>6462</v>
      </c>
      <c r="E51" s="97">
        <v>4.7000000000000002E-3</v>
      </c>
      <c r="F51" s="97">
        <v>-0.20200000000000001</v>
      </c>
      <c r="G51" s="85" t="s">
        <v>6463</v>
      </c>
      <c r="H51" s="84">
        <f>_xlfn.IFNA(LEFT(D51,LEN(D51)-1)*CHOOSE(MATCH(RIGHT(D51,1), {"K","M","B"},0),1000,1000000,1000000000),D51)</f>
        <v>4800000</v>
      </c>
    </row>
    <row r="52" spans="1:8" ht="15.75" customHeight="1" x14ac:dyDescent="0.25">
      <c r="A52" s="83" t="s">
        <v>6483</v>
      </c>
      <c r="B52" s="99" t="s">
        <v>6484</v>
      </c>
      <c r="C52" s="85" t="s">
        <v>5707</v>
      </c>
      <c r="D52" s="85" t="s">
        <v>6485</v>
      </c>
      <c r="E52" s="97">
        <v>7.0000000000000001E-3</v>
      </c>
      <c r="F52" s="97">
        <v>-7.46E-2</v>
      </c>
      <c r="G52" s="85" t="s">
        <v>5796</v>
      </c>
      <c r="H52" s="84">
        <f>_xlfn.IFNA(LEFT(D52,LEN(D52)-1)*CHOOSE(MATCH(RIGHT(D52,1), {"K","M","B"},0),1000,1000000,1000000000),D52)</f>
        <v>4310000</v>
      </c>
    </row>
    <row r="53" spans="1:8" ht="15.75" customHeight="1" x14ac:dyDescent="0.25">
      <c r="A53" s="70" t="s">
        <v>5667</v>
      </c>
      <c r="B53" s="100" t="s">
        <v>5668</v>
      </c>
      <c r="C53" s="72" t="s">
        <v>5707</v>
      </c>
      <c r="D53" s="72" t="s">
        <v>5879</v>
      </c>
      <c r="E53" s="91">
        <v>4.7000000000000002E-3</v>
      </c>
      <c r="F53" s="92" t="s">
        <v>5879</v>
      </c>
      <c r="G53" s="72" t="s">
        <v>5827</v>
      </c>
      <c r="H53" s="79" t="e">
        <f>_xlfn.IFNA(LEFT(D53,LEN(D53)-1)*CHOOSE(MATCH(RIGHT(D53,1), {"K","M","B"},0),1000,1000000,1000000000),D53)</f>
        <v>#VALUE!</v>
      </c>
    </row>
    <row r="54" spans="1:8" ht="15.75" customHeight="1" x14ac:dyDescent="0.25">
      <c r="A54" s="70" t="s">
        <v>6625</v>
      </c>
      <c r="B54" s="100" t="s">
        <v>6626</v>
      </c>
      <c r="C54" s="72" t="s">
        <v>5707</v>
      </c>
      <c r="D54" s="72" t="s">
        <v>5879</v>
      </c>
      <c r="E54" s="91">
        <v>4.7000000000000002E-3</v>
      </c>
      <c r="F54" s="92" t="s">
        <v>5879</v>
      </c>
      <c r="G54" s="72" t="s">
        <v>5744</v>
      </c>
      <c r="H54" s="79" t="e">
        <f>_xlfn.IFNA(LEFT(D54,LEN(D54)-1)*CHOOSE(MATCH(RIGHT(D54,1), {"K","M","B"},0),1000,1000000,1000000000),D54)</f>
        <v>#VALUE!</v>
      </c>
    </row>
    <row r="55" spans="1:8" ht="15.75" customHeight="1" x14ac:dyDescent="0.25">
      <c r="A55" s="70" t="s">
        <v>5841</v>
      </c>
      <c r="B55" s="71" t="s">
        <v>5842</v>
      </c>
      <c r="C55" s="72" t="s">
        <v>5843</v>
      </c>
      <c r="D55" s="72" t="s">
        <v>5844</v>
      </c>
      <c r="E55" s="91">
        <v>9.4999999999999998E-3</v>
      </c>
      <c r="F55" s="91">
        <v>-0.57340000000000002</v>
      </c>
      <c r="G55" s="72" t="s">
        <v>5845</v>
      </c>
      <c r="H55" s="79">
        <f>_xlfn.IFNA(LEFT(D55,LEN(D55)-1)*CHOOSE(MATCH(RIGHT(D55,1), {"K","M","B"},0),1000,1000000,1000000000),D55)</f>
        <v>718690000</v>
      </c>
    </row>
    <row r="56" spans="1:8" ht="15.75" customHeight="1" x14ac:dyDescent="0.25">
      <c r="A56" s="70" t="s">
        <v>5947</v>
      </c>
      <c r="B56" s="71" t="s">
        <v>5948</v>
      </c>
      <c r="C56" s="72" t="s">
        <v>5843</v>
      </c>
      <c r="D56" s="72" t="s">
        <v>5949</v>
      </c>
      <c r="E56" s="91">
        <v>9.4999999999999998E-3</v>
      </c>
      <c r="F56" s="91">
        <v>-0.57379999999999998</v>
      </c>
      <c r="G56" s="72" t="s">
        <v>5845</v>
      </c>
      <c r="H56" s="79">
        <f>_xlfn.IFNA(LEFT(D56,LEN(D56)-1)*CHOOSE(MATCH(RIGHT(D56,1), {"K","M","B"},0),1000,1000000,1000000000),D56)</f>
        <v>285880000</v>
      </c>
    </row>
    <row r="57" spans="1:8" ht="15.75" customHeight="1" x14ac:dyDescent="0.25">
      <c r="A57" s="70" t="s">
        <v>6033</v>
      </c>
      <c r="B57" s="71" t="s">
        <v>6034</v>
      </c>
      <c r="C57" s="72" t="s">
        <v>5843</v>
      </c>
      <c r="D57" s="72" t="s">
        <v>6035</v>
      </c>
      <c r="E57" s="91">
        <v>9.4999999999999998E-3</v>
      </c>
      <c r="F57" s="91">
        <v>-0.40129999999999999</v>
      </c>
      <c r="G57" s="72" t="s">
        <v>5845</v>
      </c>
      <c r="H57" s="79">
        <f>_xlfn.IFNA(LEFT(D57,LEN(D57)-1)*CHOOSE(MATCH(RIGHT(D57,1), {"K","M","B"},0),1000,1000000,1000000000),D57)</f>
        <v>121780000</v>
      </c>
    </row>
    <row r="58" spans="1:8" ht="15.75" customHeight="1" x14ac:dyDescent="0.25">
      <c r="A58" s="83" t="s">
        <v>6053</v>
      </c>
      <c r="B58" s="99" t="s">
        <v>6054</v>
      </c>
      <c r="C58" s="85" t="s">
        <v>5843</v>
      </c>
      <c r="D58" s="85" t="s">
        <v>6055</v>
      </c>
      <c r="E58" s="97">
        <v>9.4999999999999998E-3</v>
      </c>
      <c r="F58" s="97">
        <v>0.37909999999999999</v>
      </c>
      <c r="G58" s="85" t="s">
        <v>6056</v>
      </c>
      <c r="H58" s="84">
        <f>_xlfn.IFNA(LEFT(D58,LEN(D58)-1)*CHOOSE(MATCH(RIGHT(D58,1), {"K","M","B"},0),1000,1000000,1000000000),D58)</f>
        <v>102380000</v>
      </c>
    </row>
    <row r="59" spans="1:8" ht="15.75" customHeight="1" x14ac:dyDescent="0.25">
      <c r="A59" s="83" t="s">
        <v>6131</v>
      </c>
      <c r="B59" s="99" t="s">
        <v>6132</v>
      </c>
      <c r="C59" s="85" t="s">
        <v>5843</v>
      </c>
      <c r="D59" s="85" t="s">
        <v>6133</v>
      </c>
      <c r="E59" s="97">
        <v>5.7999999999999996E-3</v>
      </c>
      <c r="F59" s="97">
        <v>-0.2056</v>
      </c>
      <c r="G59" s="85" t="s">
        <v>6134</v>
      </c>
      <c r="H59" s="84">
        <f>_xlfn.IFNA(LEFT(D59,LEN(D59)-1)*CHOOSE(MATCH(RIGHT(D59,1), {"K","M","B"},0),1000,1000000,1000000000),D59)</f>
        <v>57650000</v>
      </c>
    </row>
    <row r="60" spans="1:8" ht="15.75" customHeight="1" x14ac:dyDescent="0.25">
      <c r="A60" s="83" t="s">
        <v>6350</v>
      </c>
      <c r="B60" s="99" t="s">
        <v>6351</v>
      </c>
      <c r="C60" s="85" t="s">
        <v>5843</v>
      </c>
      <c r="D60" s="85" t="s">
        <v>6352</v>
      </c>
      <c r="E60" s="97">
        <v>9.4999999999999998E-3</v>
      </c>
      <c r="F60" s="97">
        <v>0.35899999999999999</v>
      </c>
      <c r="G60" s="85" t="s">
        <v>6056</v>
      </c>
      <c r="H60" s="84">
        <f>_xlfn.IFNA(LEFT(D60,LEN(D60)-1)*CHOOSE(MATCH(RIGHT(D60,1), {"K","M","B"},0),1000,1000000,1000000000),D60)</f>
        <v>9550000</v>
      </c>
    </row>
    <row r="61" spans="1:8" ht="15.75" customHeight="1" x14ac:dyDescent="0.25">
      <c r="A61" s="83" t="s">
        <v>6274</v>
      </c>
      <c r="B61" s="99" t="s">
        <v>6275</v>
      </c>
      <c r="C61" s="85" t="s">
        <v>6276</v>
      </c>
      <c r="D61" s="85" t="s">
        <v>6277</v>
      </c>
      <c r="E61" s="97">
        <v>4.1999999999999997E-3</v>
      </c>
      <c r="F61" s="97">
        <v>-0.14760000000000001</v>
      </c>
      <c r="G61" s="85" t="s">
        <v>5875</v>
      </c>
      <c r="H61" s="84">
        <f>_xlfn.IFNA(LEFT(D61,LEN(D61)-1)*CHOOSE(MATCH(RIGHT(D61,1), {"K","M","B"},0),1000,1000000,1000000000),D61)</f>
        <v>19960000</v>
      </c>
    </row>
    <row r="62" spans="1:8" ht="15.75" customHeight="1" x14ac:dyDescent="0.25">
      <c r="A62" s="70" t="s">
        <v>5698</v>
      </c>
      <c r="B62" s="71" t="s">
        <v>5699</v>
      </c>
      <c r="C62" s="72" t="s">
        <v>5700</v>
      </c>
      <c r="D62" s="72" t="s">
        <v>5701</v>
      </c>
      <c r="E62" s="91">
        <v>7.6E-3</v>
      </c>
      <c r="F62" s="91">
        <v>-0.21160000000000001</v>
      </c>
      <c r="G62" s="72" t="s">
        <v>5702</v>
      </c>
      <c r="H62" s="79">
        <f>_xlfn.IFNA(LEFT(D62,LEN(D62)-1)*CHOOSE(MATCH(RIGHT(D62,1), {"K","M","B"},0),1000,1000000,1000000000),D62)</f>
        <v>5980000000</v>
      </c>
    </row>
    <row r="63" spans="1:8" ht="15.75" customHeight="1" x14ac:dyDescent="0.25">
      <c r="A63" s="70" t="s">
        <v>5963</v>
      </c>
      <c r="B63" s="71" t="s">
        <v>5964</v>
      </c>
      <c r="C63" s="72" t="s">
        <v>5700</v>
      </c>
      <c r="D63" s="72" t="s">
        <v>5965</v>
      </c>
      <c r="E63" s="91">
        <v>7.0000000000000001E-3</v>
      </c>
      <c r="F63" s="91">
        <v>-0.18859999999999999</v>
      </c>
      <c r="G63" s="72" t="s">
        <v>5717</v>
      </c>
      <c r="H63" s="79">
        <f>_xlfn.IFNA(LEFT(D63,LEN(D63)-1)*CHOOSE(MATCH(RIGHT(D63,1), {"K","M","B"},0),1000,1000000,1000000000),D63)</f>
        <v>247060000</v>
      </c>
    </row>
    <row r="64" spans="1:8" ht="15.75" customHeight="1" x14ac:dyDescent="0.25">
      <c r="A64" s="83" t="s">
        <v>6375</v>
      </c>
      <c r="B64" s="99" t="s">
        <v>6376</v>
      </c>
      <c r="C64" s="85" t="s">
        <v>5700</v>
      </c>
      <c r="D64" s="85" t="s">
        <v>6377</v>
      </c>
      <c r="E64" s="97">
        <v>6.8999999999999999E-3</v>
      </c>
      <c r="F64" s="97">
        <v>-0.15010000000000001</v>
      </c>
      <c r="G64" s="85" t="s">
        <v>6378</v>
      </c>
      <c r="H64" s="84">
        <f>_xlfn.IFNA(LEFT(D64,LEN(D64)-1)*CHOOSE(MATCH(RIGHT(D64,1), {"K","M","B"},0),1000,1000000,1000000000),D64)</f>
        <v>7870000</v>
      </c>
    </row>
    <row r="65" spans="1:8" ht="15.75" customHeight="1" x14ac:dyDescent="0.25">
      <c r="A65" s="83" t="s">
        <v>6379</v>
      </c>
      <c r="B65" s="99" t="s">
        <v>6380</v>
      </c>
      <c r="C65" s="85" t="s">
        <v>5700</v>
      </c>
      <c r="D65" s="85" t="s">
        <v>6381</v>
      </c>
      <c r="E65" s="97">
        <v>7.9000000000000008E-3</v>
      </c>
      <c r="F65" s="97">
        <v>-0.157</v>
      </c>
      <c r="G65" s="85" t="s">
        <v>5729</v>
      </c>
      <c r="H65" s="84">
        <f>_xlfn.IFNA(LEFT(D65,LEN(D65)-1)*CHOOSE(MATCH(RIGHT(D65,1), {"K","M","B"},0),1000,1000000,1000000000),D65)</f>
        <v>7740000</v>
      </c>
    </row>
    <row r="66" spans="1:8" ht="15.75" customHeight="1" x14ac:dyDescent="0.25">
      <c r="A66" s="83" t="s">
        <v>6439</v>
      </c>
      <c r="B66" s="99" t="s">
        <v>6440</v>
      </c>
      <c r="C66" s="85" t="s">
        <v>5700</v>
      </c>
      <c r="D66" s="85" t="s">
        <v>6441</v>
      </c>
      <c r="E66" s="97">
        <v>6.8999999999999999E-3</v>
      </c>
      <c r="F66" s="97">
        <v>-0.24510000000000001</v>
      </c>
      <c r="G66" s="85" t="s">
        <v>6385</v>
      </c>
      <c r="H66" s="84">
        <f>_xlfn.IFNA(LEFT(D66,LEN(D66)-1)*CHOOSE(MATCH(RIGHT(D66,1), {"K","M","B"},0),1000,1000000,1000000000),D66)</f>
        <v>5470000</v>
      </c>
    </row>
    <row r="67" spans="1:8" ht="15.75" customHeight="1" x14ac:dyDescent="0.25">
      <c r="A67" s="83" t="s">
        <v>6537</v>
      </c>
      <c r="B67" s="99" t="s">
        <v>6538</v>
      </c>
      <c r="C67" s="85" t="s">
        <v>5700</v>
      </c>
      <c r="D67" s="85" t="s">
        <v>6539</v>
      </c>
      <c r="E67" s="97">
        <v>9.9000000000000008E-3</v>
      </c>
      <c r="F67" s="97">
        <v>-0.21970000000000001</v>
      </c>
      <c r="G67" s="85" t="s">
        <v>6540</v>
      </c>
      <c r="H67" s="84">
        <f>_xlfn.IFNA(LEFT(D67,LEN(D67)-1)*CHOOSE(MATCH(RIGHT(D67,1), {"K","M","B"},0),1000,1000000,1000000000),D67)</f>
        <v>2580000</v>
      </c>
    </row>
    <row r="68" spans="1:8" ht="15.75" customHeight="1" x14ac:dyDescent="0.25">
      <c r="A68" s="83" t="s">
        <v>6544</v>
      </c>
      <c r="B68" s="99" t="s">
        <v>6545</v>
      </c>
      <c r="C68" s="85" t="s">
        <v>5700</v>
      </c>
      <c r="D68" s="85" t="s">
        <v>6546</v>
      </c>
      <c r="E68" s="97">
        <v>8.8999999999999999E-3</v>
      </c>
      <c r="F68" s="98" t="s">
        <v>5879</v>
      </c>
      <c r="G68" s="85" t="s">
        <v>5796</v>
      </c>
      <c r="H68" s="84">
        <f>_xlfn.IFNA(LEFT(D68,LEN(D68)-1)*CHOOSE(MATCH(RIGHT(D68,1), {"K","M","B"},0),1000,1000000,1000000000),D68)</f>
        <v>2480000</v>
      </c>
    </row>
    <row r="69" spans="1:8" ht="15.75" customHeight="1" x14ac:dyDescent="0.25">
      <c r="A69" s="83" t="s">
        <v>6448</v>
      </c>
      <c r="B69" s="99" t="s">
        <v>6449</v>
      </c>
      <c r="C69" s="85" t="s">
        <v>6450</v>
      </c>
      <c r="D69" s="85" t="s">
        <v>6451</v>
      </c>
      <c r="E69" s="97">
        <v>9.4999999999999998E-3</v>
      </c>
      <c r="F69" s="97">
        <v>-0.16750000000000001</v>
      </c>
      <c r="G69" s="85" t="s">
        <v>6452</v>
      </c>
      <c r="H69" s="84">
        <f>_xlfn.IFNA(LEFT(D69,LEN(D69)-1)*CHOOSE(MATCH(RIGHT(D69,1), {"K","M","B"},0),1000,1000000,1000000000),D69)</f>
        <v>4970000</v>
      </c>
    </row>
    <row r="70" spans="1:8" ht="15.75" customHeight="1" x14ac:dyDescent="0.25">
      <c r="A70" s="70" t="s">
        <v>6039</v>
      </c>
      <c r="B70" s="71" t="s">
        <v>6040</v>
      </c>
      <c r="C70" s="72" t="s">
        <v>6041</v>
      </c>
      <c r="D70" s="72" t="s">
        <v>6042</v>
      </c>
      <c r="E70" s="91">
        <v>4.8999999999999998E-3</v>
      </c>
      <c r="F70" s="91">
        <v>-0.123</v>
      </c>
      <c r="G70" s="72" t="s">
        <v>6043</v>
      </c>
      <c r="H70" s="79">
        <f>_xlfn.IFNA(LEFT(D70,LEN(D70)-1)*CHOOSE(MATCH(RIGHT(D70,1), {"K","M","B"},0),1000,1000000,1000000000),D70)</f>
        <v>114010000</v>
      </c>
    </row>
    <row r="71" spans="1:8" ht="15.75" customHeight="1" x14ac:dyDescent="0.25">
      <c r="A71" s="83" t="s">
        <v>6091</v>
      </c>
      <c r="B71" s="99" t="s">
        <v>6092</v>
      </c>
      <c r="C71" s="85" t="s">
        <v>6041</v>
      </c>
      <c r="D71" s="85" t="s">
        <v>6093</v>
      </c>
      <c r="E71" s="97">
        <v>7.4999999999999997E-3</v>
      </c>
      <c r="F71" s="97">
        <v>-6.7000000000000004E-2</v>
      </c>
      <c r="G71" s="85" t="s">
        <v>6094</v>
      </c>
      <c r="H71" s="84">
        <f>_xlfn.IFNA(LEFT(D71,LEN(D71)-1)*CHOOSE(MATCH(RIGHT(D71,1), {"K","M","B"},0),1000,1000000,1000000000),D71)</f>
        <v>78210000</v>
      </c>
    </row>
    <row r="72" spans="1:8" ht="15.75" customHeight="1" x14ac:dyDescent="0.25">
      <c r="A72" s="70" t="s">
        <v>5804</v>
      </c>
      <c r="B72" s="71" t="s">
        <v>5805</v>
      </c>
      <c r="C72" s="72" t="s">
        <v>5806</v>
      </c>
      <c r="D72" s="72" t="s">
        <v>5807</v>
      </c>
      <c r="E72" s="91">
        <v>3.0000000000000001E-3</v>
      </c>
      <c r="F72" s="91">
        <v>-0.1177</v>
      </c>
      <c r="G72" s="72" t="s">
        <v>5808</v>
      </c>
      <c r="H72" s="79">
        <f>_xlfn.IFNA(LEFT(D72,LEN(D72)-1)*CHOOSE(MATCH(RIGHT(D72,1), {"K","M","B"},0),1000,1000000,1000000000),D72)</f>
        <v>1010000000</v>
      </c>
    </row>
    <row r="73" spans="1:8" ht="15.75" customHeight="1" x14ac:dyDescent="0.25">
      <c r="A73" s="83" t="s">
        <v>6155</v>
      </c>
      <c r="B73" s="99" t="s">
        <v>6156</v>
      </c>
      <c r="C73" s="85" t="s">
        <v>5806</v>
      </c>
      <c r="D73" s="85" t="s">
        <v>6157</v>
      </c>
      <c r="E73" s="97">
        <v>3.0000000000000001E-3</v>
      </c>
      <c r="F73" s="97">
        <v>-5.2400000000000002E-2</v>
      </c>
      <c r="G73" s="85" t="s">
        <v>5717</v>
      </c>
      <c r="H73" s="84">
        <f>_xlfn.IFNA(LEFT(D73,LEN(D73)-1)*CHOOSE(MATCH(RIGHT(D73,1), {"K","M","B"},0),1000,1000000,1000000000),D73)</f>
        <v>51810000</v>
      </c>
    </row>
    <row r="74" spans="1:8" ht="15.75" customHeight="1" x14ac:dyDescent="0.25">
      <c r="A74" s="83" t="s">
        <v>6353</v>
      </c>
      <c r="B74" s="99" t="s">
        <v>6354</v>
      </c>
      <c r="C74" s="85" t="s">
        <v>5806</v>
      </c>
      <c r="D74" s="85" t="s">
        <v>6355</v>
      </c>
      <c r="E74" s="97">
        <v>6.4999999999999997E-3</v>
      </c>
      <c r="F74" s="97">
        <v>-0.2462</v>
      </c>
      <c r="G74" s="85" t="s">
        <v>5981</v>
      </c>
      <c r="H74" s="84">
        <f>_xlfn.IFNA(LEFT(D74,LEN(D74)-1)*CHOOSE(MATCH(RIGHT(D74,1), {"K","M","B"},0),1000,1000000,1000000000),D74)</f>
        <v>9230000</v>
      </c>
    </row>
    <row r="75" spans="1:8" ht="15.75" customHeight="1" x14ac:dyDescent="0.25">
      <c r="A75" s="83" t="s">
        <v>6332</v>
      </c>
      <c r="B75" s="99" t="s">
        <v>6333</v>
      </c>
      <c r="C75" s="85" t="s">
        <v>6334</v>
      </c>
      <c r="D75" s="85" t="s">
        <v>6335</v>
      </c>
      <c r="E75" s="97">
        <v>7.0000000000000001E-3</v>
      </c>
      <c r="F75" s="97">
        <v>-0.19689999999999999</v>
      </c>
      <c r="G75" s="85" t="s">
        <v>5981</v>
      </c>
      <c r="H75" s="84">
        <f>_xlfn.IFNA(LEFT(D75,LEN(D75)-1)*CHOOSE(MATCH(RIGHT(D75,1), {"K","M","B"},0),1000,1000000,1000000000),D75)</f>
        <v>11160000</v>
      </c>
    </row>
    <row r="76" spans="1:8" ht="15.75" customHeight="1" x14ac:dyDescent="0.25">
      <c r="A76" s="70" t="s">
        <v>5921</v>
      </c>
      <c r="B76" s="71" t="s">
        <v>5922</v>
      </c>
      <c r="C76" s="72" t="s">
        <v>5923</v>
      </c>
      <c r="D76" s="72" t="s">
        <v>5924</v>
      </c>
      <c r="E76" s="91">
        <v>1.32E-2</v>
      </c>
      <c r="F76" s="91">
        <v>-0.50329999999999997</v>
      </c>
      <c r="G76" s="72" t="s">
        <v>5925</v>
      </c>
      <c r="H76" s="79">
        <f>_xlfn.IFNA(LEFT(D76,LEN(D76)-1)*CHOOSE(MATCH(RIGHT(D76,1), {"K","M","B"},0),1000,1000000,1000000000),D76)</f>
        <v>355750000</v>
      </c>
    </row>
    <row r="77" spans="1:8" ht="15.75" customHeight="1" x14ac:dyDescent="0.25">
      <c r="A77" s="70" t="s">
        <v>5994</v>
      </c>
      <c r="B77" s="71" t="s">
        <v>5995</v>
      </c>
      <c r="C77" s="72" t="s">
        <v>5923</v>
      </c>
      <c r="D77" s="72" t="s">
        <v>5996</v>
      </c>
      <c r="E77" s="91">
        <v>9.5999999999999992E-3</v>
      </c>
      <c r="F77" s="91">
        <v>-0.50700000000000001</v>
      </c>
      <c r="G77" s="72" t="s">
        <v>5997</v>
      </c>
      <c r="H77" s="79">
        <f>_xlfn.IFNA(LEFT(D77,LEN(D77)-1)*CHOOSE(MATCH(RIGHT(D77,1), {"K","M","B"},0),1000,1000000,1000000000),D77)</f>
        <v>193060000</v>
      </c>
    </row>
    <row r="78" spans="1:8" ht="15.75" customHeight="1" x14ac:dyDescent="0.25">
      <c r="A78" s="83" t="s">
        <v>6049</v>
      </c>
      <c r="B78" s="99" t="s">
        <v>6050</v>
      </c>
      <c r="C78" s="85" t="s">
        <v>5923</v>
      </c>
      <c r="D78" s="85" t="s">
        <v>6051</v>
      </c>
      <c r="E78" s="97">
        <v>9.7000000000000003E-3</v>
      </c>
      <c r="F78" s="97">
        <v>-0.55389999999999995</v>
      </c>
      <c r="G78" s="85" t="s">
        <v>6052</v>
      </c>
      <c r="H78" s="84">
        <f>_xlfn.IFNA(LEFT(D78,LEN(D78)-1)*CHOOSE(MATCH(RIGHT(D78,1), {"K","M","B"},0),1000,1000000,1000000000),D78)</f>
        <v>108710000</v>
      </c>
    </row>
    <row r="79" spans="1:8" ht="15.75" customHeight="1" x14ac:dyDescent="0.25">
      <c r="A79" s="83" t="s">
        <v>6105</v>
      </c>
      <c r="B79" s="99" t="s">
        <v>6106</v>
      </c>
      <c r="C79" s="85" t="s">
        <v>5923</v>
      </c>
      <c r="D79" s="85" t="s">
        <v>6107</v>
      </c>
      <c r="E79" s="97">
        <v>9.7000000000000003E-3</v>
      </c>
      <c r="F79" s="97">
        <v>-0.34610000000000002</v>
      </c>
      <c r="G79" s="85" t="s">
        <v>6108</v>
      </c>
      <c r="H79" s="84">
        <f>_xlfn.IFNA(LEFT(D79,LEN(D79)-1)*CHOOSE(MATCH(RIGHT(D79,1), {"K","M","B"},0),1000,1000000,1000000000),D79)</f>
        <v>67630000</v>
      </c>
    </row>
    <row r="80" spans="1:8" ht="15.75" customHeight="1" x14ac:dyDescent="0.25">
      <c r="A80" s="83" t="s">
        <v>6118</v>
      </c>
      <c r="B80" s="99" t="s">
        <v>6119</v>
      </c>
      <c r="C80" s="85" t="s">
        <v>5923</v>
      </c>
      <c r="D80" s="85" t="s">
        <v>6120</v>
      </c>
      <c r="E80" s="97">
        <v>4.4999999999999997E-3</v>
      </c>
      <c r="F80" s="97">
        <v>-0.1421</v>
      </c>
      <c r="G80" s="85" t="s">
        <v>6121</v>
      </c>
      <c r="H80" s="84">
        <f>_xlfn.IFNA(LEFT(D80,LEN(D80)-1)*CHOOSE(MATCH(RIGHT(D80,1), {"K","M","B"},0),1000,1000000,1000000000),D80)</f>
        <v>65239999.999999993</v>
      </c>
    </row>
    <row r="81" spans="1:8" ht="15.75" customHeight="1" x14ac:dyDescent="0.25">
      <c r="A81" s="83" t="s">
        <v>6135</v>
      </c>
      <c r="B81" s="99" t="s">
        <v>6136</v>
      </c>
      <c r="C81" s="85" t="s">
        <v>5923</v>
      </c>
      <c r="D81" s="85" t="s">
        <v>6137</v>
      </c>
      <c r="E81" s="97">
        <v>6.4999999999999997E-3</v>
      </c>
      <c r="F81" s="97">
        <v>-0.20230000000000001</v>
      </c>
      <c r="G81" s="85" t="s">
        <v>6138</v>
      </c>
      <c r="H81" s="84">
        <f>_xlfn.IFNA(LEFT(D81,LEN(D81)-1)*CHOOSE(MATCH(RIGHT(D81,1), {"K","M","B"},0),1000,1000000,1000000000),D81)</f>
        <v>56270000</v>
      </c>
    </row>
    <row r="82" spans="1:8" ht="15.75" customHeight="1" x14ac:dyDescent="0.25">
      <c r="A82" s="83" t="s">
        <v>6170</v>
      </c>
      <c r="B82" s="99" t="s">
        <v>6171</v>
      </c>
      <c r="C82" s="85" t="s">
        <v>5923</v>
      </c>
      <c r="D82" s="85" t="s">
        <v>6172</v>
      </c>
      <c r="E82" s="97">
        <v>9.4999999999999998E-3</v>
      </c>
      <c r="F82" s="97">
        <v>-0.2422</v>
      </c>
      <c r="G82" s="85" t="s">
        <v>6173</v>
      </c>
      <c r="H82" s="84">
        <f>_xlfn.IFNA(LEFT(D82,LEN(D82)-1)*CHOOSE(MATCH(RIGHT(D82,1), {"K","M","B"},0),1000,1000000,1000000000),D82)</f>
        <v>45710000</v>
      </c>
    </row>
    <row r="83" spans="1:8" ht="15.75" customHeight="1" x14ac:dyDescent="0.25">
      <c r="A83" s="83" t="s">
        <v>6209</v>
      </c>
      <c r="B83" s="99" t="s">
        <v>6210</v>
      </c>
      <c r="C83" s="85" t="s">
        <v>5923</v>
      </c>
      <c r="D83" s="85" t="s">
        <v>6211</v>
      </c>
      <c r="E83" s="97">
        <v>4.4999999999999997E-3</v>
      </c>
      <c r="F83" s="97">
        <v>-2.5499999999999998E-2</v>
      </c>
      <c r="G83" s="85" t="s">
        <v>5717</v>
      </c>
      <c r="H83" s="84">
        <f>_xlfn.IFNA(LEFT(D83,LEN(D83)-1)*CHOOSE(MATCH(RIGHT(D83,1), {"K","M","B"},0),1000,1000000,1000000000),D83)</f>
        <v>33390000</v>
      </c>
    </row>
    <row r="84" spans="1:8" ht="15.75" customHeight="1" x14ac:dyDescent="0.25">
      <c r="A84" s="83" t="s">
        <v>6225</v>
      </c>
      <c r="B84" s="99" t="s">
        <v>6226</v>
      </c>
      <c r="C84" s="85" t="s">
        <v>5923</v>
      </c>
      <c r="D84" s="85" t="s">
        <v>6227</v>
      </c>
      <c r="E84" s="97">
        <v>1.01E-2</v>
      </c>
      <c r="F84" s="97">
        <v>0.43659999999999999</v>
      </c>
      <c r="G84" s="85" t="s">
        <v>6228</v>
      </c>
      <c r="H84" s="84">
        <f>_xlfn.IFNA(LEFT(D84,LEN(D84)-1)*CHOOSE(MATCH(RIGHT(D84,1), {"K","M","B"},0),1000,1000000,1000000000),D84)</f>
        <v>27980000</v>
      </c>
    </row>
    <row r="85" spans="1:8" ht="15.75" customHeight="1" x14ac:dyDescent="0.25">
      <c r="A85" s="83" t="s">
        <v>6292</v>
      </c>
      <c r="B85" s="99" t="s">
        <v>6293</v>
      </c>
      <c r="C85" s="85" t="s">
        <v>5923</v>
      </c>
      <c r="D85" s="85" t="s">
        <v>6294</v>
      </c>
      <c r="E85" s="97">
        <v>1.29E-2</v>
      </c>
      <c r="F85" s="97">
        <v>-0.3967</v>
      </c>
      <c r="G85" s="85" t="s">
        <v>6295</v>
      </c>
      <c r="H85" s="84">
        <f>_xlfn.IFNA(LEFT(D85,LEN(D85)-1)*CHOOSE(MATCH(RIGHT(D85,1), {"K","M","B"},0),1000,1000000,1000000000),D85)</f>
        <v>17200000</v>
      </c>
    </row>
    <row r="86" spans="1:8" ht="15.75" customHeight="1" x14ac:dyDescent="0.25">
      <c r="A86" s="83" t="s">
        <v>6359</v>
      </c>
      <c r="B86" s="99" t="s">
        <v>6360</v>
      </c>
      <c r="C86" s="85" t="s">
        <v>5923</v>
      </c>
      <c r="D86" s="85" t="s">
        <v>6361</v>
      </c>
      <c r="E86" s="97">
        <v>9.5999999999999992E-3</v>
      </c>
      <c r="F86" s="97">
        <v>-0.47589999999999999</v>
      </c>
      <c r="G86" s="85" t="s">
        <v>5845</v>
      </c>
      <c r="H86" s="84">
        <f>_xlfn.IFNA(LEFT(D86,LEN(D86)-1)*CHOOSE(MATCH(RIGHT(D86,1), {"K","M","B"},0),1000,1000000,1000000000),D86)</f>
        <v>9150000</v>
      </c>
    </row>
    <row r="87" spans="1:8" ht="15.75" customHeight="1" x14ac:dyDescent="0.25">
      <c r="A87" s="83" t="s">
        <v>6419</v>
      </c>
      <c r="B87" s="99" t="s">
        <v>6420</v>
      </c>
      <c r="C87" s="85" t="s">
        <v>5923</v>
      </c>
      <c r="D87" s="85" t="s">
        <v>6421</v>
      </c>
      <c r="E87" s="97">
        <v>9.5999999999999992E-3</v>
      </c>
      <c r="F87" s="97">
        <v>-4.8599999999999997E-2</v>
      </c>
      <c r="G87" s="85" t="s">
        <v>6422</v>
      </c>
      <c r="H87" s="84">
        <f>_xlfn.IFNA(LEFT(D87,LEN(D87)-1)*CHOOSE(MATCH(RIGHT(D87,1), {"K","M","B"},0),1000,1000000,1000000000),D87)</f>
        <v>6330000</v>
      </c>
    </row>
    <row r="88" spans="1:8" ht="15.75" customHeight="1" x14ac:dyDescent="0.25">
      <c r="A88" s="83" t="s">
        <v>6435</v>
      </c>
      <c r="B88" s="99" t="s">
        <v>6436</v>
      </c>
      <c r="C88" s="85" t="s">
        <v>5923</v>
      </c>
      <c r="D88" s="85" t="s">
        <v>6437</v>
      </c>
      <c r="E88" s="97">
        <v>1.29E-2</v>
      </c>
      <c r="F88" s="97">
        <v>-1.7399999999999999E-2</v>
      </c>
      <c r="G88" s="85" t="s">
        <v>6438</v>
      </c>
      <c r="H88" s="84">
        <f>_xlfn.IFNA(LEFT(D88,LEN(D88)-1)*CHOOSE(MATCH(RIGHT(D88,1), {"K","M","B"},0),1000,1000000,1000000000),D88)</f>
        <v>5550000</v>
      </c>
    </row>
    <row r="89" spans="1:8" ht="15.75" customHeight="1" x14ac:dyDescent="0.25">
      <c r="A89" s="83" t="s">
        <v>6472</v>
      </c>
      <c r="B89" s="99" t="s">
        <v>6473</v>
      </c>
      <c r="C89" s="85" t="s">
        <v>5923</v>
      </c>
      <c r="D89" s="85" t="s">
        <v>6474</v>
      </c>
      <c r="E89" s="97">
        <v>1.0699999999999999E-2</v>
      </c>
      <c r="F89" s="97">
        <v>-0.30209999999999998</v>
      </c>
      <c r="G89" s="85" t="s">
        <v>6475</v>
      </c>
      <c r="H89" s="84">
        <f>_xlfn.IFNA(LEFT(D89,LEN(D89)-1)*CHOOSE(MATCH(RIGHT(D89,1), {"K","M","B"},0),1000,1000000,1000000000),D89)</f>
        <v>4540000</v>
      </c>
    </row>
    <row r="90" spans="1:8" ht="15.75" customHeight="1" x14ac:dyDescent="0.25">
      <c r="A90" s="83" t="s">
        <v>6476</v>
      </c>
      <c r="B90" s="99" t="s">
        <v>6477</v>
      </c>
      <c r="C90" s="85" t="s">
        <v>5923</v>
      </c>
      <c r="D90" s="85" t="s">
        <v>6478</v>
      </c>
      <c r="E90" s="97">
        <v>5.0000000000000001E-3</v>
      </c>
      <c r="F90" s="97">
        <v>-0.12470000000000001</v>
      </c>
      <c r="G90" s="85" t="s">
        <v>6138</v>
      </c>
      <c r="H90" s="84">
        <f>_xlfn.IFNA(LEFT(D90,LEN(D90)-1)*CHOOSE(MATCH(RIGHT(D90,1), {"K","M","B"},0),1000,1000000,1000000000),D90)</f>
        <v>4480000</v>
      </c>
    </row>
    <row r="91" spans="1:8" ht="15.75" customHeight="1" x14ac:dyDescent="0.25">
      <c r="A91" s="83" t="s">
        <v>6576</v>
      </c>
      <c r="B91" s="99" t="s">
        <v>6577</v>
      </c>
      <c r="C91" s="85" t="s">
        <v>5923</v>
      </c>
      <c r="D91" s="85" t="s">
        <v>6578</v>
      </c>
      <c r="E91" s="97">
        <v>6.4999999999999997E-3</v>
      </c>
      <c r="F91" s="97">
        <v>-0.1991</v>
      </c>
      <c r="G91" s="85" t="s">
        <v>5933</v>
      </c>
      <c r="H91" s="84">
        <f>_xlfn.IFNA(LEFT(D91,LEN(D91)-1)*CHOOSE(MATCH(RIGHT(D91,1), {"K","M","B"},0),1000,1000000,1000000000),D91)</f>
        <v>1580000</v>
      </c>
    </row>
    <row r="92" spans="1:8" ht="15.75" customHeight="1" x14ac:dyDescent="0.25">
      <c r="A92" s="70" t="s">
        <v>6658</v>
      </c>
      <c r="B92" s="100" t="s">
        <v>6659</v>
      </c>
      <c r="C92" s="72" t="s">
        <v>5923</v>
      </c>
      <c r="D92" s="72" t="s">
        <v>5879</v>
      </c>
      <c r="E92" s="91">
        <v>4.4999999999999997E-3</v>
      </c>
      <c r="F92" s="96">
        <v>0</v>
      </c>
      <c r="G92" s="72" t="s">
        <v>6249</v>
      </c>
      <c r="H92" s="79" t="e">
        <f>_xlfn.IFNA(LEFT(D92,LEN(D92)-1)*CHOOSE(MATCH(RIGHT(D92,1), {"K","M","B"},0),1000,1000000,1000000000),D92)</f>
        <v>#VALUE!</v>
      </c>
    </row>
    <row r="93" spans="1:8" ht="15.75" customHeight="1" x14ac:dyDescent="0.25">
      <c r="A93" s="70" t="s">
        <v>5850</v>
      </c>
      <c r="B93" s="71" t="s">
        <v>5851</v>
      </c>
      <c r="C93" s="72" t="s">
        <v>5852</v>
      </c>
      <c r="D93" s="72" t="s">
        <v>5853</v>
      </c>
      <c r="E93" s="91">
        <v>1.5E-3</v>
      </c>
      <c r="F93" s="91">
        <v>-0.1168</v>
      </c>
      <c r="G93" s="72" t="s">
        <v>5854</v>
      </c>
      <c r="H93" s="79">
        <f>_xlfn.IFNA(LEFT(D93,LEN(D93)-1)*CHOOSE(MATCH(RIGHT(D93,1), {"K","M","B"},0),1000,1000000,1000000000),D93)</f>
        <v>678610000</v>
      </c>
    </row>
    <row r="94" spans="1:8" ht="15.75" customHeight="1" x14ac:dyDescent="0.25">
      <c r="A94" s="83" t="s">
        <v>6415</v>
      </c>
      <c r="B94" s="99" t="s">
        <v>6416</v>
      </c>
      <c r="C94" s="85" t="s">
        <v>6417</v>
      </c>
      <c r="D94" s="85" t="s">
        <v>6418</v>
      </c>
      <c r="E94" s="97">
        <v>6.0000000000000001E-3</v>
      </c>
      <c r="F94" s="97">
        <v>-0.1585</v>
      </c>
      <c r="G94" s="85" t="s">
        <v>6060</v>
      </c>
      <c r="H94" s="84">
        <f>_xlfn.IFNA(LEFT(D94,LEN(D94)-1)*CHOOSE(MATCH(RIGHT(D94,1), {"K","M","B"},0),1000,1000000,1000000000),D94)</f>
        <v>6570000</v>
      </c>
    </row>
    <row r="95" spans="1:8" ht="15.75" customHeight="1" x14ac:dyDescent="0.25">
      <c r="A95" s="83" t="s">
        <v>6541</v>
      </c>
      <c r="B95" s="99" t="s">
        <v>6542</v>
      </c>
      <c r="C95" s="85" t="s">
        <v>6417</v>
      </c>
      <c r="D95" s="85" t="s">
        <v>6543</v>
      </c>
      <c r="E95" s="97">
        <v>4.8999999999999998E-3</v>
      </c>
      <c r="F95" s="97">
        <v>-0.14710000000000001</v>
      </c>
      <c r="G95" s="85" t="s">
        <v>6249</v>
      </c>
      <c r="H95" s="84">
        <f>_xlfn.IFNA(LEFT(D95,LEN(D95)-1)*CHOOSE(MATCH(RIGHT(D95,1), {"K","M","B"},0),1000,1000000,1000000000),D95)</f>
        <v>2510000</v>
      </c>
    </row>
    <row r="96" spans="1:8" ht="15.75" customHeight="1" x14ac:dyDescent="0.25">
      <c r="A96" s="83" t="s">
        <v>6084</v>
      </c>
      <c r="B96" s="99" t="s">
        <v>6085</v>
      </c>
      <c r="C96" s="85" t="s">
        <v>6086</v>
      </c>
      <c r="D96" s="85" t="s">
        <v>6087</v>
      </c>
      <c r="E96" s="97">
        <v>7.4999999999999997E-3</v>
      </c>
      <c r="F96" s="98" t="s">
        <v>5879</v>
      </c>
      <c r="G96" s="85" t="s">
        <v>5780</v>
      </c>
      <c r="H96" s="84">
        <f>_xlfn.IFNA(LEFT(D96,LEN(D96)-1)*CHOOSE(MATCH(RIGHT(D96,1), {"K","M","B"},0),1000,1000000,1000000000),D96)</f>
        <v>82950000</v>
      </c>
    </row>
    <row r="97" spans="1:8" ht="15.75" customHeight="1" x14ac:dyDescent="0.25">
      <c r="A97" s="83" t="s">
        <v>6200</v>
      </c>
      <c r="B97" s="99" t="s">
        <v>6201</v>
      </c>
      <c r="C97" s="85" t="s">
        <v>6202</v>
      </c>
      <c r="D97" s="85" t="s">
        <v>6203</v>
      </c>
      <c r="E97" s="97">
        <v>4.8999999999999998E-3</v>
      </c>
      <c r="F97" s="97">
        <v>-0.1852</v>
      </c>
      <c r="G97" s="85" t="s">
        <v>6138</v>
      </c>
      <c r="H97" s="84">
        <f>_xlfn.IFNA(LEFT(D97,LEN(D97)-1)*CHOOSE(MATCH(RIGHT(D97,1), {"K","M","B"},0),1000,1000000,1000000000),D97)</f>
        <v>34240000</v>
      </c>
    </row>
    <row r="98" spans="1:8" ht="15.75" customHeight="1" x14ac:dyDescent="0.25">
      <c r="A98" s="83" t="s">
        <v>6242</v>
      </c>
      <c r="B98" s="99" t="s">
        <v>6243</v>
      </c>
      <c r="C98" s="85" t="s">
        <v>6202</v>
      </c>
      <c r="D98" s="85" t="s">
        <v>6244</v>
      </c>
      <c r="E98" s="97">
        <v>7.4999999999999997E-3</v>
      </c>
      <c r="F98" s="97">
        <v>-0.14399999999999999</v>
      </c>
      <c r="G98" s="85" t="s">
        <v>6224</v>
      </c>
      <c r="H98" s="84">
        <f>_xlfn.IFNA(LEFT(D98,LEN(D98)-1)*CHOOSE(MATCH(RIGHT(D98,1), {"K","M","B"},0),1000,1000000,1000000000),D98)</f>
        <v>23750000</v>
      </c>
    </row>
    <row r="99" spans="1:8" ht="15.75" customHeight="1" x14ac:dyDescent="0.25">
      <c r="A99" s="83" t="s">
        <v>6229</v>
      </c>
      <c r="B99" s="99" t="s">
        <v>6230</v>
      </c>
      <c r="C99" s="85" t="s">
        <v>6231</v>
      </c>
      <c r="D99" s="85" t="s">
        <v>6232</v>
      </c>
      <c r="E99" s="97">
        <v>7.4999999999999997E-3</v>
      </c>
      <c r="F99" s="97">
        <v>-0.21260000000000001</v>
      </c>
      <c r="G99" s="85" t="s">
        <v>5808</v>
      </c>
      <c r="H99" s="84">
        <f>_xlfn.IFNA(LEFT(D99,LEN(D99)-1)*CHOOSE(MATCH(RIGHT(D99,1), {"K","M","B"},0),1000,1000000,1000000000),D99)</f>
        <v>27690000</v>
      </c>
    </row>
    <row r="100" spans="1:8" ht="15.75" customHeight="1" x14ac:dyDescent="0.25">
      <c r="A100" s="70" t="s">
        <v>5745</v>
      </c>
      <c r="B100" s="71" t="s">
        <v>5746</v>
      </c>
      <c r="C100" s="72" t="s">
        <v>5747</v>
      </c>
      <c r="D100" s="72" t="s">
        <v>5748</v>
      </c>
      <c r="E100" s="91">
        <v>6.0000000000000001E-3</v>
      </c>
      <c r="F100" s="91">
        <v>-4.24E-2</v>
      </c>
      <c r="G100" s="72" t="s">
        <v>5697</v>
      </c>
      <c r="H100" s="79">
        <f>_xlfn.IFNA(LEFT(D100,LEN(D100)-1)*CHOOSE(MATCH(RIGHT(D100,1), {"K","M","B"},0),1000,1000000,1000000000),D100)</f>
        <v>1920000000</v>
      </c>
    </row>
    <row r="101" spans="1:8" ht="15.75" customHeight="1" x14ac:dyDescent="0.25">
      <c r="A101" s="70" t="s">
        <v>5828</v>
      </c>
      <c r="B101" s="71" t="s">
        <v>5829</v>
      </c>
      <c r="C101" s="72" t="s">
        <v>5747</v>
      </c>
      <c r="D101" s="72" t="s">
        <v>5830</v>
      </c>
      <c r="E101" s="91">
        <v>7.4999999999999997E-3</v>
      </c>
      <c r="F101" s="91">
        <v>-0.13439999999999999</v>
      </c>
      <c r="G101" s="72" t="s">
        <v>5831</v>
      </c>
      <c r="H101" s="79">
        <f>_xlfn.IFNA(LEFT(D101,LEN(D101)-1)*CHOOSE(MATCH(RIGHT(D101,1), {"K","M","B"},0),1000,1000000,1000000000),D101)</f>
        <v>773890000</v>
      </c>
    </row>
    <row r="102" spans="1:8" s="23" customFormat="1" ht="15.75" customHeight="1" x14ac:dyDescent="0.25">
      <c r="A102" s="70" t="s">
        <v>5872</v>
      </c>
      <c r="B102" s="71" t="s">
        <v>5873</v>
      </c>
      <c r="C102" s="72" t="s">
        <v>5747</v>
      </c>
      <c r="D102" s="72" t="s">
        <v>5874</v>
      </c>
      <c r="E102" s="91">
        <v>7.4999999999999997E-3</v>
      </c>
      <c r="F102" s="91">
        <v>-0.16470000000000001</v>
      </c>
      <c r="G102" s="72" t="s">
        <v>5875</v>
      </c>
      <c r="H102" s="79">
        <f>_xlfn.IFNA(LEFT(D102,LEN(D102)-1)*CHOOSE(MATCH(RIGHT(D102,1), {"K","M","B"},0),1000,1000000,1000000000),D102)</f>
        <v>580260000</v>
      </c>
    </row>
    <row r="103" spans="1:8" s="23" customFormat="1" ht="15.75" customHeight="1" x14ac:dyDescent="0.25">
      <c r="A103" s="83" t="s">
        <v>6095</v>
      </c>
      <c r="B103" s="99" t="s">
        <v>6096</v>
      </c>
      <c r="C103" s="85" t="s">
        <v>5747</v>
      </c>
      <c r="D103" s="85" t="s">
        <v>6097</v>
      </c>
      <c r="E103" s="97">
        <v>7.4999999999999997E-3</v>
      </c>
      <c r="F103" s="97">
        <v>-0.18440000000000001</v>
      </c>
      <c r="G103" s="85" t="s">
        <v>5912</v>
      </c>
      <c r="H103" s="84">
        <f>_xlfn.IFNA(LEFT(D103,LEN(D103)-1)*CHOOSE(MATCH(RIGHT(D103,1), {"K","M","B"},0),1000,1000000,1000000000),D103)</f>
        <v>72610000</v>
      </c>
    </row>
    <row r="104" spans="1:8" s="23" customFormat="1" ht="15.75" customHeight="1" x14ac:dyDescent="0.25">
      <c r="A104" s="83" t="s">
        <v>6369</v>
      </c>
      <c r="B104" s="99" t="s">
        <v>6370</v>
      </c>
      <c r="C104" s="85" t="s">
        <v>5747</v>
      </c>
      <c r="D104" s="85" t="s">
        <v>6371</v>
      </c>
      <c r="E104" s="97">
        <v>7.4999999999999997E-3</v>
      </c>
      <c r="F104" s="97">
        <v>-4.9099999999999998E-2</v>
      </c>
      <c r="G104" s="85" t="s">
        <v>6249</v>
      </c>
      <c r="H104" s="84">
        <f>_xlfn.IFNA(LEFT(D104,LEN(D104)-1)*CHOOSE(MATCH(RIGHT(D104,1), {"K","M","B"},0),1000,1000000,1000000000),D104)</f>
        <v>8260000</v>
      </c>
    </row>
    <row r="105" spans="1:8" s="23" customFormat="1" ht="15.75" customHeight="1" x14ac:dyDescent="0.25">
      <c r="A105" s="83" t="s">
        <v>6528</v>
      </c>
      <c r="B105" s="99" t="s">
        <v>6529</v>
      </c>
      <c r="C105" s="85" t="s">
        <v>5747</v>
      </c>
      <c r="D105" s="85" t="s">
        <v>6530</v>
      </c>
      <c r="E105" s="97">
        <v>7.4999999999999997E-3</v>
      </c>
      <c r="F105" s="97">
        <v>-0.3105</v>
      </c>
      <c r="G105" s="85" t="s">
        <v>5836</v>
      </c>
      <c r="H105" s="84">
        <f>_xlfn.IFNA(LEFT(D105,LEN(D105)-1)*CHOOSE(MATCH(RIGHT(D105,1), {"K","M","B"},0),1000,1000000,1000000000),D105)</f>
        <v>2940000</v>
      </c>
    </row>
    <row r="106" spans="1:8" s="23" customFormat="1" ht="15.75" customHeight="1" x14ac:dyDescent="0.25">
      <c r="A106" s="83" t="s">
        <v>6550</v>
      </c>
      <c r="B106" s="99" t="s">
        <v>6551</v>
      </c>
      <c r="C106" s="85" t="s">
        <v>5747</v>
      </c>
      <c r="D106" s="85" t="s">
        <v>6552</v>
      </c>
      <c r="E106" s="97">
        <v>9.4999999999999998E-3</v>
      </c>
      <c r="F106" s="97">
        <v>0.1628</v>
      </c>
      <c r="G106" s="85" t="s">
        <v>6553</v>
      </c>
      <c r="H106" s="84">
        <f>_xlfn.IFNA(LEFT(D106,LEN(D106)-1)*CHOOSE(MATCH(RIGHT(D106,1), {"K","M","B"},0),1000,1000000,1000000000),D106)</f>
        <v>2260000</v>
      </c>
    </row>
    <row r="107" spans="1:8" s="23" customFormat="1" ht="15.75" customHeight="1" x14ac:dyDescent="0.25">
      <c r="A107" s="83" t="s">
        <v>6554</v>
      </c>
      <c r="B107" s="99" t="s">
        <v>6555</v>
      </c>
      <c r="C107" s="85" t="s">
        <v>5747</v>
      </c>
      <c r="D107" s="85" t="s">
        <v>6556</v>
      </c>
      <c r="E107" s="97">
        <v>7.4999999999999997E-3</v>
      </c>
      <c r="F107" s="97">
        <v>1.4500000000000001E-2</v>
      </c>
      <c r="G107" s="85" t="s">
        <v>6291</v>
      </c>
      <c r="H107" s="84">
        <f>_xlfn.IFNA(LEFT(D107,LEN(D107)-1)*CHOOSE(MATCH(RIGHT(D107,1), {"K","M","B"},0),1000,1000000,1000000000),D107)</f>
        <v>2250000</v>
      </c>
    </row>
    <row r="108" spans="1:8" s="23" customFormat="1" ht="15.75" customHeight="1" x14ac:dyDescent="0.25">
      <c r="A108" s="83" t="s">
        <v>6611</v>
      </c>
      <c r="B108" s="99" t="s">
        <v>6612</v>
      </c>
      <c r="C108" s="85" t="s">
        <v>5747</v>
      </c>
      <c r="D108" s="85" t="s">
        <v>6613</v>
      </c>
      <c r="E108" s="97">
        <v>9.4999999999999998E-3</v>
      </c>
      <c r="F108" s="97">
        <v>-0.35110000000000002</v>
      </c>
      <c r="G108" s="85" t="s">
        <v>6398</v>
      </c>
      <c r="H108" s="84">
        <f>_xlfn.IFNA(LEFT(D108,LEN(D108)-1)*CHOOSE(MATCH(RIGHT(D108,1), {"K","M","B"},0),1000,1000000,1000000000),D108)</f>
        <v>715300</v>
      </c>
    </row>
    <row r="109" spans="1:8" s="23" customFormat="1" ht="15.75" customHeight="1" x14ac:dyDescent="0.25">
      <c r="A109" s="70" t="s">
        <v>5770</v>
      </c>
      <c r="B109" s="71" t="s">
        <v>5771</v>
      </c>
      <c r="C109" s="72" t="s">
        <v>5772</v>
      </c>
      <c r="D109" s="72" t="s">
        <v>5773</v>
      </c>
      <c r="E109" s="91">
        <v>9.4999999999999998E-3</v>
      </c>
      <c r="F109" s="91">
        <v>-0.1943</v>
      </c>
      <c r="G109" s="72" t="s">
        <v>5774</v>
      </c>
      <c r="H109" s="79">
        <f>_xlfn.IFNA(LEFT(D109,LEN(D109)-1)*CHOOSE(MATCH(RIGHT(D109,1), {"K","M","B"},0),1000,1000000,1000000000),D109)</f>
        <v>1390000000</v>
      </c>
    </row>
    <row r="110" spans="1:8" s="23" customFormat="1" ht="15.75" customHeight="1" x14ac:dyDescent="0.25">
      <c r="A110" s="70" t="s">
        <v>5858</v>
      </c>
      <c r="B110" s="71" t="s">
        <v>5859</v>
      </c>
      <c r="C110" s="72" t="s">
        <v>5772</v>
      </c>
      <c r="D110" s="72" t="s">
        <v>5860</v>
      </c>
      <c r="E110" s="91">
        <v>8.6E-3</v>
      </c>
      <c r="F110" s="91">
        <v>-0.2223</v>
      </c>
      <c r="G110" s="72" t="s">
        <v>5861</v>
      </c>
      <c r="H110" s="79">
        <f>_xlfn.IFNA(LEFT(D110,LEN(D110)-1)*CHOOSE(MATCH(RIGHT(D110,1), {"K","M","B"},0),1000,1000000,1000000000),D110)</f>
        <v>651270000</v>
      </c>
    </row>
    <row r="111" spans="1:8" s="23" customFormat="1" ht="15.75" customHeight="1" x14ac:dyDescent="0.25">
      <c r="A111" s="83" t="s">
        <v>6065</v>
      </c>
      <c r="B111" s="99" t="s">
        <v>6066</v>
      </c>
      <c r="C111" s="85" t="s">
        <v>5772</v>
      </c>
      <c r="D111" s="85" t="s">
        <v>6067</v>
      </c>
      <c r="E111" s="97">
        <v>8.5000000000000006E-3</v>
      </c>
      <c r="F111" s="97">
        <v>-0.2137</v>
      </c>
      <c r="G111" s="85" t="s">
        <v>5981</v>
      </c>
      <c r="H111" s="84">
        <f>_xlfn.IFNA(LEFT(D111,LEN(D111)-1)*CHOOSE(MATCH(RIGHT(D111,1), {"K","M","B"},0),1000,1000000,1000000000),D111)</f>
        <v>89360000</v>
      </c>
    </row>
    <row r="112" spans="1:8" s="23" customFormat="1" ht="15.75" customHeight="1" x14ac:dyDescent="0.25">
      <c r="A112" s="83" t="s">
        <v>6218</v>
      </c>
      <c r="B112" s="99" t="s">
        <v>6219</v>
      </c>
      <c r="C112" s="85" t="s">
        <v>5772</v>
      </c>
      <c r="D112" s="85" t="s">
        <v>6220</v>
      </c>
      <c r="E112" s="97">
        <v>6.7999999999999996E-3</v>
      </c>
      <c r="F112" s="97">
        <v>-0.18210000000000001</v>
      </c>
      <c r="G112" s="85" t="s">
        <v>5774</v>
      </c>
      <c r="H112" s="84">
        <f>_xlfn.IFNA(LEFT(D112,LEN(D112)-1)*CHOOSE(MATCH(RIGHT(D112,1), {"K","M","B"},0),1000,1000000,1000000000),D112)</f>
        <v>30000000</v>
      </c>
    </row>
    <row r="113" spans="1:8" s="23" customFormat="1" ht="15.75" customHeight="1" x14ac:dyDescent="0.25">
      <c r="A113" s="83" t="s">
        <v>6250</v>
      </c>
      <c r="B113" s="99" t="s">
        <v>6251</v>
      </c>
      <c r="C113" s="85" t="s">
        <v>5772</v>
      </c>
      <c r="D113" s="85" t="s">
        <v>6252</v>
      </c>
      <c r="E113" s="97">
        <v>7.4999999999999997E-3</v>
      </c>
      <c r="F113" s="97">
        <v>-0.12809999999999999</v>
      </c>
      <c r="G113" s="85" t="s">
        <v>5792</v>
      </c>
      <c r="H113" s="84">
        <f>_xlfn.IFNA(LEFT(D113,LEN(D113)-1)*CHOOSE(MATCH(RIGHT(D113,1), {"K","M","B"},0),1000,1000000,1000000000),D113)</f>
        <v>22840000</v>
      </c>
    </row>
    <row r="114" spans="1:8" s="23" customFormat="1" ht="15.75" customHeight="1" x14ac:dyDescent="0.25">
      <c r="A114" s="83" t="s">
        <v>6307</v>
      </c>
      <c r="B114" s="99" t="s">
        <v>6308</v>
      </c>
      <c r="C114" s="85" t="s">
        <v>5772</v>
      </c>
      <c r="D114" s="85" t="s">
        <v>6309</v>
      </c>
      <c r="E114" s="97">
        <v>8.6E-3</v>
      </c>
      <c r="F114" s="97">
        <v>-0.27479999999999999</v>
      </c>
      <c r="G114" s="85" t="s">
        <v>5751</v>
      </c>
      <c r="H114" s="84">
        <f>_xlfn.IFNA(LEFT(D114,LEN(D114)-1)*CHOOSE(MATCH(RIGHT(D114,1), {"K","M","B"},0),1000,1000000,1000000000),D114)</f>
        <v>14880000</v>
      </c>
    </row>
    <row r="115" spans="1:8" s="23" customFormat="1" ht="15.75" customHeight="1" x14ac:dyDescent="0.25">
      <c r="A115" s="83" t="s">
        <v>6356</v>
      </c>
      <c r="B115" s="99" t="s">
        <v>6357</v>
      </c>
      <c r="C115" s="85" t="s">
        <v>5772</v>
      </c>
      <c r="D115" s="85" t="s">
        <v>6358</v>
      </c>
      <c r="E115" s="97">
        <v>6.4999999999999997E-3</v>
      </c>
      <c r="F115" s="97">
        <v>-0.15870000000000001</v>
      </c>
      <c r="G115" s="85" t="s">
        <v>5717</v>
      </c>
      <c r="H115" s="84">
        <f>_xlfn.IFNA(LEFT(D115,LEN(D115)-1)*CHOOSE(MATCH(RIGHT(D115,1), {"K","M","B"},0),1000,1000000,1000000000),D115)</f>
        <v>9220000</v>
      </c>
    </row>
    <row r="116" spans="1:8" s="23" customFormat="1" ht="15.75" customHeight="1" x14ac:dyDescent="0.25">
      <c r="A116" s="83" t="s">
        <v>6372</v>
      </c>
      <c r="B116" s="99" t="s">
        <v>6373</v>
      </c>
      <c r="C116" s="85" t="s">
        <v>5772</v>
      </c>
      <c r="D116" s="85" t="s">
        <v>6374</v>
      </c>
      <c r="E116" s="97">
        <v>7.0000000000000001E-3</v>
      </c>
      <c r="F116" s="97">
        <v>-0.17680000000000001</v>
      </c>
      <c r="G116" s="85" t="s">
        <v>5751</v>
      </c>
      <c r="H116" s="84">
        <f>_xlfn.IFNA(LEFT(D116,LEN(D116)-1)*CHOOSE(MATCH(RIGHT(D116,1), {"K","M","B"},0),1000,1000000,1000000000),D116)</f>
        <v>8109999.9999999991</v>
      </c>
    </row>
    <row r="117" spans="1:8" s="23" customFormat="1" ht="15.75" customHeight="1" x14ac:dyDescent="0.25">
      <c r="A117" s="83" t="s">
        <v>6399</v>
      </c>
      <c r="B117" s="99" t="s">
        <v>6400</v>
      </c>
      <c r="C117" s="85" t="s">
        <v>5772</v>
      </c>
      <c r="D117" s="85" t="s">
        <v>6401</v>
      </c>
      <c r="E117" s="97">
        <v>8.6999999999999994E-3</v>
      </c>
      <c r="F117" s="97">
        <v>-7.22E-2</v>
      </c>
      <c r="G117" s="85" t="s">
        <v>5689</v>
      </c>
      <c r="H117" s="84">
        <f>_xlfn.IFNA(LEFT(D117,LEN(D117)-1)*CHOOSE(MATCH(RIGHT(D117,1), {"K","M","B"},0),1000,1000000,1000000000),D117)</f>
        <v>7060000</v>
      </c>
    </row>
    <row r="118" spans="1:8" s="23" customFormat="1" ht="15.75" customHeight="1" x14ac:dyDescent="0.25">
      <c r="A118" s="83" t="s">
        <v>6432</v>
      </c>
      <c r="B118" s="99" t="s">
        <v>6433</v>
      </c>
      <c r="C118" s="85" t="s">
        <v>5772</v>
      </c>
      <c r="D118" s="85" t="s">
        <v>6434</v>
      </c>
      <c r="E118" s="97">
        <v>7.0000000000000001E-3</v>
      </c>
      <c r="F118" s="97">
        <v>-0.1404</v>
      </c>
      <c r="G118" s="85" t="s">
        <v>6060</v>
      </c>
      <c r="H118" s="84">
        <f>_xlfn.IFNA(LEFT(D118,LEN(D118)-1)*CHOOSE(MATCH(RIGHT(D118,1), {"K","M","B"},0),1000,1000000,1000000000),D118)</f>
        <v>5670000</v>
      </c>
    </row>
    <row r="119" spans="1:8" s="23" customFormat="1" ht="15.75" customHeight="1" x14ac:dyDescent="0.25">
      <c r="A119" s="83" t="s">
        <v>6607</v>
      </c>
      <c r="B119" s="99" t="s">
        <v>6608</v>
      </c>
      <c r="C119" s="85" t="s">
        <v>5772</v>
      </c>
      <c r="D119" s="85" t="s">
        <v>6609</v>
      </c>
      <c r="E119" s="97">
        <v>8.6E-3</v>
      </c>
      <c r="F119" s="98" t="s">
        <v>5879</v>
      </c>
      <c r="G119" s="85" t="s">
        <v>6610</v>
      </c>
      <c r="H119" s="84">
        <f>_xlfn.IFNA(LEFT(D119,LEN(D119)-1)*CHOOSE(MATCH(RIGHT(D119,1), {"K","M","B"},0),1000,1000000,1000000000),D119)</f>
        <v>736550</v>
      </c>
    </row>
    <row r="120" spans="1:8" s="23" customFormat="1" ht="15.75" customHeight="1" x14ac:dyDescent="0.25">
      <c r="A120" s="83" t="s">
        <v>6125</v>
      </c>
      <c r="B120" s="99" t="s">
        <v>6126</v>
      </c>
      <c r="C120" s="85" t="s">
        <v>6127</v>
      </c>
      <c r="D120" s="85" t="s">
        <v>6128</v>
      </c>
      <c r="E120" s="97">
        <v>5.8999999999999999E-3</v>
      </c>
      <c r="F120" s="97">
        <v>-3.73E-2</v>
      </c>
      <c r="G120" s="85" t="s">
        <v>5689</v>
      </c>
      <c r="H120" s="84">
        <f>_xlfn.IFNA(LEFT(D120,LEN(D120)-1)*CHOOSE(MATCH(RIGHT(D120,1), {"K","M","B"},0),1000,1000000,1000000000),D120)</f>
        <v>59780000</v>
      </c>
    </row>
    <row r="121" spans="1:8" s="23" customFormat="1" ht="15.75" customHeight="1" x14ac:dyDescent="0.25">
      <c r="A121" s="83" t="s">
        <v>5650</v>
      </c>
      <c r="B121" s="99" t="s">
        <v>6185</v>
      </c>
      <c r="C121" s="85" t="s">
        <v>6127</v>
      </c>
      <c r="D121" s="85" t="s">
        <v>6186</v>
      </c>
      <c r="E121" s="97">
        <v>3.8999999999999998E-3</v>
      </c>
      <c r="F121" s="97">
        <v>-0.16189999999999999</v>
      </c>
      <c r="G121" s="85" t="s">
        <v>5717</v>
      </c>
      <c r="H121" s="84">
        <f>_xlfn.IFNA(LEFT(D121,LEN(D121)-1)*CHOOSE(MATCH(RIGHT(D121,1), {"K","M","B"},0),1000,1000000,1000000000),D121)</f>
        <v>40280000</v>
      </c>
    </row>
    <row r="122" spans="1:8" s="23" customFormat="1" ht="15.75" customHeight="1" x14ac:dyDescent="0.25">
      <c r="A122" s="83" t="s">
        <v>5645</v>
      </c>
      <c r="B122" s="99" t="s">
        <v>5646</v>
      </c>
      <c r="C122" s="85" t="s">
        <v>6127</v>
      </c>
      <c r="D122" s="85" t="s">
        <v>6236</v>
      </c>
      <c r="E122" s="97">
        <v>3.8999999999999998E-3</v>
      </c>
      <c r="F122" s="97">
        <v>-1.2E-2</v>
      </c>
      <c r="G122" s="85" t="s">
        <v>5709</v>
      </c>
      <c r="H122" s="84">
        <f>_xlfn.IFNA(LEFT(D122,LEN(D122)-1)*CHOOSE(MATCH(RIGHT(D122,1), {"K","M","B"},0),1000,1000000,1000000000),D122)</f>
        <v>24270000</v>
      </c>
    </row>
    <row r="123" spans="1:8" s="23" customFormat="1" ht="15.75" customHeight="1" x14ac:dyDescent="0.25">
      <c r="A123" s="70" t="s">
        <v>6631</v>
      </c>
      <c r="B123" s="100" t="s">
        <v>6632</v>
      </c>
      <c r="C123" s="72" t="s">
        <v>6127</v>
      </c>
      <c r="D123" s="72" t="s">
        <v>5879</v>
      </c>
      <c r="E123" s="91">
        <v>3.8999999999999998E-3</v>
      </c>
      <c r="F123" s="92" t="s">
        <v>5879</v>
      </c>
      <c r="G123" s="72" t="s">
        <v>5981</v>
      </c>
      <c r="H123" s="79" t="e">
        <f>_xlfn.IFNA(LEFT(D123,LEN(D123)-1)*CHOOSE(MATCH(RIGHT(D123,1), {"K","M","B"},0),1000,1000000,1000000000),D123)</f>
        <v>#VALUE!</v>
      </c>
    </row>
    <row r="124" spans="1:8" s="23" customFormat="1" ht="15.75" customHeight="1" x14ac:dyDescent="0.25">
      <c r="A124" s="70" t="s">
        <v>5656</v>
      </c>
      <c r="B124" s="100" t="s">
        <v>6633</v>
      </c>
      <c r="C124" s="72" t="s">
        <v>6127</v>
      </c>
      <c r="D124" s="72" t="s">
        <v>5879</v>
      </c>
      <c r="E124" s="91">
        <v>3.8999999999999998E-3</v>
      </c>
      <c r="F124" s="92" t="s">
        <v>5879</v>
      </c>
      <c r="G124" s="72" t="s">
        <v>5751</v>
      </c>
      <c r="H124" s="79" t="e">
        <f>_xlfn.IFNA(LEFT(D124,LEN(D124)-1)*CHOOSE(MATCH(RIGHT(D124,1), {"K","M","B"},0),1000,1000000,1000000000),D124)</f>
        <v>#VALUE!</v>
      </c>
    </row>
    <row r="125" spans="1:8" s="23" customFormat="1" ht="15.75" customHeight="1" x14ac:dyDescent="0.25">
      <c r="A125" s="70" t="s">
        <v>5676</v>
      </c>
      <c r="B125" s="71" t="s">
        <v>5677</v>
      </c>
      <c r="C125" s="72" t="s">
        <v>5695</v>
      </c>
      <c r="D125" s="72" t="s">
        <v>5696</v>
      </c>
      <c r="E125" s="91">
        <v>6.0000000000000001E-3</v>
      </c>
      <c r="F125" s="91">
        <v>1.6000000000000001E-3</v>
      </c>
      <c r="G125" s="72" t="s">
        <v>5697</v>
      </c>
      <c r="H125" s="79">
        <f>_xlfn.IFNA(LEFT(D125,LEN(D125)-1)*CHOOSE(MATCH(RIGHT(D125,1), {"K","M","B"},0),1000,1000000,1000000000),D125)</f>
        <v>5990000000</v>
      </c>
    </row>
    <row r="126" spans="1:8" s="23" customFormat="1" ht="15.75" customHeight="1" x14ac:dyDescent="0.25">
      <c r="A126" s="70" t="s">
        <v>5703</v>
      </c>
      <c r="B126" s="71" t="s">
        <v>5704</v>
      </c>
      <c r="C126" s="72" t="s">
        <v>5695</v>
      </c>
      <c r="D126" s="72" t="s">
        <v>5705</v>
      </c>
      <c r="E126" s="91">
        <v>5.1000000000000004E-3</v>
      </c>
      <c r="F126" s="91">
        <v>-0.19639999999999999</v>
      </c>
      <c r="G126" s="72" t="s">
        <v>5706</v>
      </c>
      <c r="H126" s="79">
        <f>_xlfn.IFNA(LEFT(D126,LEN(D126)-1)*CHOOSE(MATCH(RIGHT(D126,1), {"K","M","B"},0),1000,1000000,1000000000),D126)</f>
        <v>5150000000</v>
      </c>
    </row>
    <row r="127" spans="1:8" s="23" customFormat="1" ht="15.75" customHeight="1" x14ac:dyDescent="0.25">
      <c r="A127" s="70" t="s">
        <v>5669</v>
      </c>
      <c r="B127" s="71" t="s">
        <v>5670</v>
      </c>
      <c r="C127" s="72" t="s">
        <v>5695</v>
      </c>
      <c r="D127" s="72" t="s">
        <v>5738</v>
      </c>
      <c r="E127" s="91">
        <v>5.7999999999999996E-3</v>
      </c>
      <c r="F127" s="91">
        <v>-5.6099999999999997E-2</v>
      </c>
      <c r="G127" s="72" t="s">
        <v>5739</v>
      </c>
      <c r="H127" s="79">
        <f>_xlfn.IFNA(LEFT(D127,LEN(D127)-1)*CHOOSE(MATCH(RIGHT(D127,1), {"K","M","B"},0),1000,1000000,1000000000),D127)</f>
        <v>2000000000</v>
      </c>
    </row>
    <row r="128" spans="1:8" s="23" customFormat="1" ht="15.75" customHeight="1" x14ac:dyDescent="0.25">
      <c r="A128" s="70" t="s">
        <v>5784</v>
      </c>
      <c r="B128" s="71" t="s">
        <v>5785</v>
      </c>
      <c r="C128" s="72" t="s">
        <v>5695</v>
      </c>
      <c r="D128" s="72" t="s">
        <v>5786</v>
      </c>
      <c r="E128" s="91">
        <v>5.3E-3</v>
      </c>
      <c r="F128" s="91">
        <v>-8.1900000000000001E-2</v>
      </c>
      <c r="G128" s="72" t="s">
        <v>5765</v>
      </c>
      <c r="H128" s="79">
        <f>_xlfn.IFNA(LEFT(D128,LEN(D128)-1)*CHOOSE(MATCH(RIGHT(D128,1), {"K","M","B"},0),1000,1000000,1000000000),D128)</f>
        <v>1240000000</v>
      </c>
    </row>
    <row r="129" spans="1:8" s="23" customFormat="1" ht="15.75" customHeight="1" x14ac:dyDescent="0.25">
      <c r="A129" s="70" t="s">
        <v>5820</v>
      </c>
      <c r="B129" s="71" t="s">
        <v>5821</v>
      </c>
      <c r="C129" s="72" t="s">
        <v>5695</v>
      </c>
      <c r="D129" s="72" t="s">
        <v>5822</v>
      </c>
      <c r="E129" s="91">
        <v>7.0000000000000001E-3</v>
      </c>
      <c r="F129" s="91">
        <v>-0.112</v>
      </c>
      <c r="G129" s="72" t="s">
        <v>5808</v>
      </c>
      <c r="H129" s="79">
        <f>_xlfn.IFNA(LEFT(D129,LEN(D129)-1)*CHOOSE(MATCH(RIGHT(D129,1), {"K","M","B"},0),1000,1000000,1000000000),D129)</f>
        <v>848860000</v>
      </c>
    </row>
    <row r="130" spans="1:8" s="23" customFormat="1" ht="15.75" customHeight="1" x14ac:dyDescent="0.25">
      <c r="A130" s="70" t="s">
        <v>5855</v>
      </c>
      <c r="B130" s="71" t="s">
        <v>5856</v>
      </c>
      <c r="C130" s="72" t="s">
        <v>5695</v>
      </c>
      <c r="D130" s="72" t="s">
        <v>5857</v>
      </c>
      <c r="E130" s="91">
        <v>6.3E-3</v>
      </c>
      <c r="F130" s="91">
        <v>-8.5800000000000001E-2</v>
      </c>
      <c r="G130" s="72" t="s">
        <v>5729</v>
      </c>
      <c r="H130" s="79">
        <f>_xlfn.IFNA(LEFT(D130,LEN(D130)-1)*CHOOSE(MATCH(RIGHT(D130,1), {"K","M","B"},0),1000,1000000,1000000000),D130)</f>
        <v>659640000</v>
      </c>
    </row>
    <row r="131" spans="1:8" s="23" customFormat="1" ht="15.75" customHeight="1" x14ac:dyDescent="0.25">
      <c r="A131" s="70" t="s">
        <v>5938</v>
      </c>
      <c r="B131" s="71" t="s">
        <v>5939</v>
      </c>
      <c r="C131" s="72" t="s">
        <v>5695</v>
      </c>
      <c r="D131" s="72" t="s">
        <v>5940</v>
      </c>
      <c r="E131" s="91">
        <v>6.1999999999999998E-3</v>
      </c>
      <c r="F131" s="91">
        <v>-5.57E-2</v>
      </c>
      <c r="G131" s="72" t="s">
        <v>5709</v>
      </c>
      <c r="H131" s="79">
        <f>_xlfn.IFNA(LEFT(D131,LEN(D131)-1)*CHOOSE(MATCH(RIGHT(D131,1), {"K","M","B"},0),1000,1000000,1000000000),D131)</f>
        <v>298120000</v>
      </c>
    </row>
    <row r="132" spans="1:8" s="23" customFormat="1" ht="15.75" customHeight="1" x14ac:dyDescent="0.25">
      <c r="A132" s="70" t="s">
        <v>5982</v>
      </c>
      <c r="B132" s="71" t="s">
        <v>5983</v>
      </c>
      <c r="C132" s="72" t="s">
        <v>5695</v>
      </c>
      <c r="D132" s="72" t="s">
        <v>5984</v>
      </c>
      <c r="E132" s="91">
        <v>6.4999999999999997E-3</v>
      </c>
      <c r="F132" s="91">
        <v>-0.1618</v>
      </c>
      <c r="G132" s="72" t="s">
        <v>5774</v>
      </c>
      <c r="H132" s="79">
        <f>_xlfn.IFNA(LEFT(D132,LEN(D132)-1)*CHOOSE(MATCH(RIGHT(D132,1), {"K","M","B"},0),1000,1000000,1000000000),D132)</f>
        <v>214450000</v>
      </c>
    </row>
    <row r="133" spans="1:8" s="23" customFormat="1" ht="15.75" customHeight="1" x14ac:dyDescent="0.25">
      <c r="A133" s="70" t="s">
        <v>6002</v>
      </c>
      <c r="B133" s="71" t="s">
        <v>6003</v>
      </c>
      <c r="C133" s="72" t="s">
        <v>5695</v>
      </c>
      <c r="D133" s="72" t="s">
        <v>6004</v>
      </c>
      <c r="E133" s="91">
        <v>7.0000000000000001E-3</v>
      </c>
      <c r="F133" s="91">
        <v>2.4E-2</v>
      </c>
      <c r="G133" s="72" t="s">
        <v>5694</v>
      </c>
      <c r="H133" s="79">
        <f>_xlfn.IFNA(LEFT(D133,LEN(D133)-1)*CHOOSE(MATCH(RIGHT(D133,1), {"K","M","B"},0),1000,1000000,1000000000),D133)</f>
        <v>175070000</v>
      </c>
    </row>
    <row r="134" spans="1:8" s="23" customFormat="1" ht="15.75" customHeight="1" x14ac:dyDescent="0.25">
      <c r="A134" s="70" t="s">
        <v>6026</v>
      </c>
      <c r="B134" s="71" t="s">
        <v>6027</v>
      </c>
      <c r="C134" s="72" t="s">
        <v>5695</v>
      </c>
      <c r="D134" s="72" t="s">
        <v>6028</v>
      </c>
      <c r="E134" s="91">
        <v>6.4999999999999997E-3</v>
      </c>
      <c r="F134" s="91">
        <v>-0.1492</v>
      </c>
      <c r="G134" s="72" t="s">
        <v>5827</v>
      </c>
      <c r="H134" s="79">
        <f>_xlfn.IFNA(LEFT(D134,LEN(D134)-1)*CHOOSE(MATCH(RIGHT(D134,1), {"K","M","B"},0),1000,1000000,1000000000),D134)</f>
        <v>137620000</v>
      </c>
    </row>
    <row r="135" spans="1:8" s="23" customFormat="1" ht="15.75" customHeight="1" x14ac:dyDescent="0.25">
      <c r="A135" s="83" t="s">
        <v>6122</v>
      </c>
      <c r="B135" s="99" t="s">
        <v>6123</v>
      </c>
      <c r="C135" s="85" t="s">
        <v>5695</v>
      </c>
      <c r="D135" s="85" t="s">
        <v>6124</v>
      </c>
      <c r="E135" s="97">
        <v>7.0000000000000001E-3</v>
      </c>
      <c r="F135" s="97">
        <v>-0.153</v>
      </c>
      <c r="G135" s="85" t="s">
        <v>5717</v>
      </c>
      <c r="H135" s="84">
        <f>_xlfn.IFNA(LEFT(D135,LEN(D135)-1)*CHOOSE(MATCH(RIGHT(D135,1), {"K","M","B"},0),1000,1000000,1000000000),D135)</f>
        <v>61620000</v>
      </c>
    </row>
    <row r="136" spans="1:8" s="23" customFormat="1" ht="15.75" customHeight="1" x14ac:dyDescent="0.25">
      <c r="A136" s="83" t="s">
        <v>6179</v>
      </c>
      <c r="B136" s="99" t="s">
        <v>6180</v>
      </c>
      <c r="C136" s="85" t="s">
        <v>5695</v>
      </c>
      <c r="D136" s="85" t="s">
        <v>6181</v>
      </c>
      <c r="E136" s="97">
        <v>8.5000000000000006E-3</v>
      </c>
      <c r="F136" s="97">
        <v>-0.21299999999999999</v>
      </c>
      <c r="G136" s="85" t="s">
        <v>5981</v>
      </c>
      <c r="H136" s="84">
        <f>_xlfn.IFNA(LEFT(D136,LEN(D136)-1)*CHOOSE(MATCH(RIGHT(D136,1), {"K","M","B"},0),1000,1000000,1000000000),D136)</f>
        <v>43840000</v>
      </c>
    </row>
    <row r="137" spans="1:8" s="23" customFormat="1" ht="15.75" customHeight="1" x14ac:dyDescent="0.25">
      <c r="A137" s="83" t="s">
        <v>6193</v>
      </c>
      <c r="B137" s="99" t="s">
        <v>6194</v>
      </c>
      <c r="C137" s="85" t="s">
        <v>5695</v>
      </c>
      <c r="D137" s="85" t="s">
        <v>6195</v>
      </c>
      <c r="E137" s="97">
        <v>6.4999999999999997E-3</v>
      </c>
      <c r="F137" s="97">
        <v>-0.27829999999999999</v>
      </c>
      <c r="G137" s="85" t="s">
        <v>6196</v>
      </c>
      <c r="H137" s="84">
        <f>_xlfn.IFNA(LEFT(D137,LEN(D137)-1)*CHOOSE(MATCH(RIGHT(D137,1), {"K","M","B"},0),1000,1000000,1000000000),D137)</f>
        <v>35730000</v>
      </c>
    </row>
    <row r="138" spans="1:8" s="23" customFormat="1" ht="15.75" customHeight="1" x14ac:dyDescent="0.25">
      <c r="A138" s="83" t="s">
        <v>6285</v>
      </c>
      <c r="B138" s="99" t="s">
        <v>6286</v>
      </c>
      <c r="C138" s="85" t="s">
        <v>5695</v>
      </c>
      <c r="D138" s="85" t="s">
        <v>6287</v>
      </c>
      <c r="E138" s="97">
        <v>7.0000000000000001E-3</v>
      </c>
      <c r="F138" s="97">
        <v>1.4800000000000001E-2</v>
      </c>
      <c r="G138" s="85" t="s">
        <v>5744</v>
      </c>
      <c r="H138" s="84">
        <f>_xlfn.IFNA(LEFT(D138,LEN(D138)-1)*CHOOSE(MATCH(RIGHT(D138,1), {"K","M","B"},0),1000,1000000,1000000000),D138)</f>
        <v>18810000</v>
      </c>
    </row>
    <row r="139" spans="1:8" s="23" customFormat="1" ht="15.75" customHeight="1" x14ac:dyDescent="0.25">
      <c r="A139" s="83" t="s">
        <v>6288</v>
      </c>
      <c r="B139" s="99" t="s">
        <v>6289</v>
      </c>
      <c r="C139" s="85" t="s">
        <v>5695</v>
      </c>
      <c r="D139" s="85" t="s">
        <v>6290</v>
      </c>
      <c r="E139" s="97">
        <v>9.4999999999999998E-3</v>
      </c>
      <c r="F139" s="97">
        <v>2.9600000000000001E-2</v>
      </c>
      <c r="G139" s="85" t="s">
        <v>6291</v>
      </c>
      <c r="H139" s="84">
        <f>_xlfn.IFNA(LEFT(D139,LEN(D139)-1)*CHOOSE(MATCH(RIGHT(D139,1), {"K","M","B"},0),1000,1000000,1000000000),D139)</f>
        <v>18790000</v>
      </c>
    </row>
    <row r="140" spans="1:8" s="23" customFormat="1" ht="15.75" customHeight="1" x14ac:dyDescent="0.25">
      <c r="A140" s="83" t="s">
        <v>6304</v>
      </c>
      <c r="B140" s="99" t="s">
        <v>6305</v>
      </c>
      <c r="C140" s="85" t="s">
        <v>5695</v>
      </c>
      <c r="D140" s="85" t="s">
        <v>6306</v>
      </c>
      <c r="E140" s="97">
        <v>6.4999999999999997E-3</v>
      </c>
      <c r="F140" s="97">
        <v>-0.15040000000000001</v>
      </c>
      <c r="G140" s="85" t="s">
        <v>5933</v>
      </c>
      <c r="H140" s="84">
        <f>_xlfn.IFNA(LEFT(D140,LEN(D140)-1)*CHOOSE(MATCH(RIGHT(D140,1), {"K","M","B"},0),1000,1000000,1000000000),D140)</f>
        <v>15300000</v>
      </c>
    </row>
    <row r="141" spans="1:8" s="23" customFormat="1" ht="15.75" customHeight="1" x14ac:dyDescent="0.25">
      <c r="A141" s="83" t="s">
        <v>6313</v>
      </c>
      <c r="B141" s="99" t="s">
        <v>6314</v>
      </c>
      <c r="C141" s="85" t="s">
        <v>5695</v>
      </c>
      <c r="D141" s="85" t="s">
        <v>6315</v>
      </c>
      <c r="E141" s="97">
        <v>6.0000000000000001E-3</v>
      </c>
      <c r="F141" s="97">
        <v>-0.21340000000000001</v>
      </c>
      <c r="G141" s="85" t="s">
        <v>6001</v>
      </c>
      <c r="H141" s="84">
        <f>_xlfn.IFNA(LEFT(D141,LEN(D141)-1)*CHOOSE(MATCH(RIGHT(D141,1), {"K","M","B"},0),1000,1000000,1000000000),D141)</f>
        <v>13740000</v>
      </c>
    </row>
    <row r="142" spans="1:8" s="23" customFormat="1" ht="15.75" customHeight="1" x14ac:dyDescent="0.25">
      <c r="A142" s="83" t="s">
        <v>6515</v>
      </c>
      <c r="B142" s="99" t="s">
        <v>6516</v>
      </c>
      <c r="C142" s="85" t="s">
        <v>5695</v>
      </c>
      <c r="D142" s="85" t="s">
        <v>6517</v>
      </c>
      <c r="E142" s="97">
        <v>7.4999999999999997E-3</v>
      </c>
      <c r="F142" s="97">
        <v>-0.14849999999999999</v>
      </c>
      <c r="G142" s="85" t="s">
        <v>5689</v>
      </c>
      <c r="H142" s="84">
        <f>_xlfn.IFNA(LEFT(D142,LEN(D142)-1)*CHOOSE(MATCH(RIGHT(D142,1), {"K","M","B"},0),1000,1000000,1000000000),D142)</f>
        <v>3210000</v>
      </c>
    </row>
    <row r="143" spans="1:8" s="23" customFormat="1" ht="15.75" customHeight="1" x14ac:dyDescent="0.25">
      <c r="A143" s="83" t="s">
        <v>6525</v>
      </c>
      <c r="B143" s="99" t="s">
        <v>6526</v>
      </c>
      <c r="C143" s="85" t="s">
        <v>5695</v>
      </c>
      <c r="D143" s="85" t="s">
        <v>6527</v>
      </c>
      <c r="E143" s="97">
        <v>7.0000000000000001E-3</v>
      </c>
      <c r="F143" s="97">
        <v>-0.81540000000000001</v>
      </c>
      <c r="G143" s="85" t="s">
        <v>5912</v>
      </c>
      <c r="H143" s="84">
        <f>_xlfn.IFNA(LEFT(D143,LEN(D143)-1)*CHOOSE(MATCH(RIGHT(D143,1), {"K","M","B"},0),1000,1000000,1000000000),D143)</f>
        <v>2990000</v>
      </c>
    </row>
    <row r="144" spans="1:8" s="23" customFormat="1" ht="15.75" customHeight="1" x14ac:dyDescent="0.25">
      <c r="A144" s="83" t="s">
        <v>6531</v>
      </c>
      <c r="B144" s="99" t="s">
        <v>6532</v>
      </c>
      <c r="C144" s="85" t="s">
        <v>5695</v>
      </c>
      <c r="D144" s="85" t="s">
        <v>6533</v>
      </c>
      <c r="E144" s="97">
        <v>7.0000000000000001E-3</v>
      </c>
      <c r="F144" s="98" t="s">
        <v>5879</v>
      </c>
      <c r="G144" s="85" t="s">
        <v>5751</v>
      </c>
      <c r="H144" s="84">
        <f>_xlfn.IFNA(LEFT(D144,LEN(D144)-1)*CHOOSE(MATCH(RIGHT(D144,1), {"K","M","B"},0),1000,1000000,1000000000),D144)</f>
        <v>2850000</v>
      </c>
    </row>
    <row r="145" spans="1:8" s="23" customFormat="1" ht="15.75" customHeight="1" x14ac:dyDescent="0.25">
      <c r="A145" s="83" t="s">
        <v>6300</v>
      </c>
      <c r="B145" s="99" t="s">
        <v>6301</v>
      </c>
      <c r="C145" s="85" t="s">
        <v>6302</v>
      </c>
      <c r="D145" s="85" t="s">
        <v>6303</v>
      </c>
      <c r="E145" s="97">
        <v>5.0000000000000001E-3</v>
      </c>
      <c r="F145" s="97">
        <v>-0.20219999999999999</v>
      </c>
      <c r="G145" s="85" t="s">
        <v>5981</v>
      </c>
      <c r="H145" s="84">
        <f>_xlfn.IFNA(LEFT(D145,LEN(D145)-1)*CHOOSE(MATCH(RIGHT(D145,1), {"K","M","B"},0),1000,1000000,1000000000),D145)</f>
        <v>15710000</v>
      </c>
    </row>
    <row r="146" spans="1:8" s="23" customFormat="1" ht="15.75" customHeight="1" x14ac:dyDescent="0.25">
      <c r="A146" s="83" t="s">
        <v>6310</v>
      </c>
      <c r="B146" s="99" t="s">
        <v>6311</v>
      </c>
      <c r="C146" s="85" t="s">
        <v>6302</v>
      </c>
      <c r="D146" s="85" t="s">
        <v>6312</v>
      </c>
      <c r="E146" s="97">
        <v>5.0000000000000001E-3</v>
      </c>
      <c r="F146" s="97">
        <v>-0.17929999999999999</v>
      </c>
      <c r="G146" s="85" t="s">
        <v>5732</v>
      </c>
      <c r="H146" s="84">
        <f>_xlfn.IFNA(LEFT(D146,LEN(D146)-1)*CHOOSE(MATCH(RIGHT(D146,1), {"K","M","B"},0),1000,1000000,1000000000),D146)</f>
        <v>14720000</v>
      </c>
    </row>
    <row r="147" spans="1:8" s="23" customFormat="1" ht="15.75" customHeight="1" x14ac:dyDescent="0.25">
      <c r="A147" s="83" t="s">
        <v>6347</v>
      </c>
      <c r="B147" s="99" t="s">
        <v>6348</v>
      </c>
      <c r="C147" s="85" t="s">
        <v>6302</v>
      </c>
      <c r="D147" s="85" t="s">
        <v>6349</v>
      </c>
      <c r="E147" s="97">
        <v>5.0000000000000001E-3</v>
      </c>
      <c r="F147" s="97">
        <v>-0.1512</v>
      </c>
      <c r="G147" s="85" t="s">
        <v>5774</v>
      </c>
      <c r="H147" s="84">
        <f>_xlfn.IFNA(LEFT(D147,LEN(D147)-1)*CHOOSE(MATCH(RIGHT(D147,1), {"K","M","B"},0),1000,1000000,1000000000),D147)</f>
        <v>9940000</v>
      </c>
    </row>
    <row r="148" spans="1:8" s="23" customFormat="1" ht="15.75" customHeight="1" x14ac:dyDescent="0.25">
      <c r="A148" s="83" t="s">
        <v>6328</v>
      </c>
      <c r="B148" s="99" t="s">
        <v>6329</v>
      </c>
      <c r="C148" s="85" t="s">
        <v>6330</v>
      </c>
      <c r="D148" s="85" t="s">
        <v>6331</v>
      </c>
      <c r="E148" s="97">
        <v>1.01E-2</v>
      </c>
      <c r="F148" s="97">
        <v>-0.112</v>
      </c>
      <c r="G148" s="85" t="s">
        <v>6138</v>
      </c>
      <c r="H148" s="84">
        <f>_xlfn.IFNA(LEFT(D148,LEN(D148)-1)*CHOOSE(MATCH(RIGHT(D148,1), {"K","M","B"},0),1000,1000000,1000000000),D148)</f>
        <v>11290000</v>
      </c>
    </row>
    <row r="149" spans="1:8" s="23" customFormat="1" ht="15.75" customHeight="1" x14ac:dyDescent="0.25">
      <c r="A149" s="83" t="s">
        <v>6479</v>
      </c>
      <c r="B149" s="99" t="s">
        <v>6480</v>
      </c>
      <c r="C149" s="85" t="s">
        <v>6481</v>
      </c>
      <c r="D149" s="85" t="s">
        <v>6482</v>
      </c>
      <c r="E149" s="97">
        <v>8.9999999999999993E-3</v>
      </c>
      <c r="F149" s="97">
        <v>-0.1051</v>
      </c>
      <c r="G149" s="85" t="s">
        <v>6261</v>
      </c>
      <c r="H149" s="84">
        <f>_xlfn.IFNA(LEFT(D149,LEN(D149)-1)*CHOOSE(MATCH(RIGHT(D149,1), {"K","M","B"},0),1000,1000000,1000000000),D149)</f>
        <v>4430000</v>
      </c>
    </row>
    <row r="150" spans="1:8" s="23" customFormat="1" ht="15.75" customHeight="1" x14ac:dyDescent="0.25">
      <c r="A150" s="70" t="s">
        <v>5905</v>
      </c>
      <c r="B150" s="71" t="s">
        <v>5906</v>
      </c>
      <c r="C150" s="72" t="s">
        <v>5907</v>
      </c>
      <c r="D150" s="72" t="s">
        <v>5908</v>
      </c>
      <c r="E150" s="91">
        <v>5.0000000000000001E-3</v>
      </c>
      <c r="F150" s="91">
        <v>-0.14499999999999999</v>
      </c>
      <c r="G150" s="72" t="s">
        <v>5689</v>
      </c>
      <c r="H150" s="79">
        <f>_xlfn.IFNA(LEFT(D150,LEN(D150)-1)*CHOOSE(MATCH(RIGHT(D150,1), {"K","M","B"},0),1000,1000000,1000000000),D150)</f>
        <v>375620000</v>
      </c>
    </row>
    <row r="151" spans="1:8" s="23" customFormat="1" ht="15.75" customHeight="1" x14ac:dyDescent="0.25">
      <c r="A151" s="70" t="s">
        <v>5985</v>
      </c>
      <c r="B151" s="71" t="s">
        <v>5986</v>
      </c>
      <c r="C151" s="72" t="s">
        <v>5907</v>
      </c>
      <c r="D151" s="72" t="s">
        <v>5987</v>
      </c>
      <c r="E151" s="91">
        <v>7.4999999999999997E-3</v>
      </c>
      <c r="F151" s="91">
        <v>-0.1381</v>
      </c>
      <c r="G151" s="72" t="s">
        <v>5904</v>
      </c>
      <c r="H151" s="79">
        <f>_xlfn.IFNA(LEFT(D151,LEN(D151)-1)*CHOOSE(MATCH(RIGHT(D151,1), {"K","M","B"},0),1000,1000000,1000000000),D151)</f>
        <v>201370000</v>
      </c>
    </row>
    <row r="152" spans="1:8" s="23" customFormat="1" ht="15.75" customHeight="1" x14ac:dyDescent="0.25">
      <c r="A152" s="83" t="s">
        <v>6057</v>
      </c>
      <c r="B152" s="99" t="s">
        <v>6058</v>
      </c>
      <c r="C152" s="85" t="s">
        <v>5907</v>
      </c>
      <c r="D152" s="85" t="s">
        <v>6059</v>
      </c>
      <c r="E152" s="97">
        <v>7.4999999999999997E-3</v>
      </c>
      <c r="F152" s="97">
        <v>-0.18049999999999999</v>
      </c>
      <c r="G152" s="85" t="s">
        <v>6060</v>
      </c>
      <c r="H152" s="84">
        <f>_xlfn.IFNA(LEFT(D152,LEN(D152)-1)*CHOOSE(MATCH(RIGHT(D152,1), {"K","M","B"},0),1000,1000000,1000000000),D152)</f>
        <v>101280000</v>
      </c>
    </row>
    <row r="153" spans="1:8" s="23" customFormat="1" ht="15.75" customHeight="1" x14ac:dyDescent="0.25">
      <c r="A153" s="83" t="s">
        <v>6389</v>
      </c>
      <c r="B153" s="99" t="s">
        <v>6390</v>
      </c>
      <c r="C153" s="85" t="s">
        <v>5907</v>
      </c>
      <c r="D153" s="85" t="s">
        <v>6391</v>
      </c>
      <c r="E153" s="97">
        <v>4.4999999999999997E-3</v>
      </c>
      <c r="F153" s="98" t="s">
        <v>5879</v>
      </c>
      <c r="G153" s="85" t="s">
        <v>5739</v>
      </c>
      <c r="H153" s="84">
        <f>_xlfn.IFNA(LEFT(D153,LEN(D153)-1)*CHOOSE(MATCH(RIGHT(D153,1), {"K","M","B"},0),1000,1000000,1000000000),D153)</f>
        <v>7400000</v>
      </c>
    </row>
    <row r="154" spans="1:8" s="23" customFormat="1" ht="15.75" customHeight="1" x14ac:dyDescent="0.25">
      <c r="A154" s="83" t="s">
        <v>6406</v>
      </c>
      <c r="B154" s="99" t="s">
        <v>6407</v>
      </c>
      <c r="C154" s="85" t="s">
        <v>5907</v>
      </c>
      <c r="D154" s="85" t="s">
        <v>6408</v>
      </c>
      <c r="E154" s="97">
        <v>2E-3</v>
      </c>
      <c r="F154" s="97">
        <v>-0.10580000000000001</v>
      </c>
      <c r="G154" s="85" t="s">
        <v>5780</v>
      </c>
      <c r="H154" s="84">
        <f>_xlfn.IFNA(LEFT(D154,LEN(D154)-1)*CHOOSE(MATCH(RIGHT(D154,1), {"K","M","B"},0),1000,1000000,1000000000),D154)</f>
        <v>6910000</v>
      </c>
    </row>
    <row r="155" spans="1:8" s="23" customFormat="1" ht="15.75" customHeight="1" x14ac:dyDescent="0.25">
      <c r="A155" s="83" t="s">
        <v>6587</v>
      </c>
      <c r="B155" s="99" t="s">
        <v>6588</v>
      </c>
      <c r="C155" s="85" t="s">
        <v>6589</v>
      </c>
      <c r="D155" s="85" t="s">
        <v>6590</v>
      </c>
      <c r="E155" s="97">
        <v>7.4999999999999997E-3</v>
      </c>
      <c r="F155" s="97">
        <v>-3.3999999999999998E-3</v>
      </c>
      <c r="G155" s="85" t="s">
        <v>5689</v>
      </c>
      <c r="H155" s="84">
        <f>_xlfn.IFNA(LEFT(D155,LEN(D155)-1)*CHOOSE(MATCH(RIGHT(D155,1), {"K","M","B"},0),1000,1000000,1000000000),D155)</f>
        <v>1180000</v>
      </c>
    </row>
    <row r="156" spans="1:8" s="23" customFormat="1" ht="15.75" customHeight="1" x14ac:dyDescent="0.25">
      <c r="A156" s="83" t="s">
        <v>6316</v>
      </c>
      <c r="B156" s="99" t="s">
        <v>6317</v>
      </c>
      <c r="C156" s="85" t="s">
        <v>6318</v>
      </c>
      <c r="D156" s="85" t="s">
        <v>6319</v>
      </c>
      <c r="E156" s="97">
        <v>6.7999999999999996E-3</v>
      </c>
      <c r="F156" s="97">
        <v>-0.14660000000000001</v>
      </c>
      <c r="G156" s="85" t="s">
        <v>5717</v>
      </c>
      <c r="H156" s="84">
        <f>_xlfn.IFNA(LEFT(D156,LEN(D156)-1)*CHOOSE(MATCH(RIGHT(D156,1), {"K","M","B"},0),1000,1000000,1000000000),D156)</f>
        <v>13360000</v>
      </c>
    </row>
    <row r="157" spans="1:8" s="23" customFormat="1" ht="15.75" customHeight="1" x14ac:dyDescent="0.25">
      <c r="A157" s="83" t="s">
        <v>6457</v>
      </c>
      <c r="B157" s="99" t="s">
        <v>6458</v>
      </c>
      <c r="C157" s="85" t="s">
        <v>6318</v>
      </c>
      <c r="D157" s="85" t="s">
        <v>6459</v>
      </c>
      <c r="E157" s="97">
        <v>7.9000000000000008E-3</v>
      </c>
      <c r="F157" s="97">
        <v>-7.1300000000000002E-2</v>
      </c>
      <c r="G157" s="85" t="s">
        <v>5709</v>
      </c>
      <c r="H157" s="84">
        <f>_xlfn.IFNA(LEFT(D157,LEN(D157)-1)*CHOOSE(MATCH(RIGHT(D157,1), {"K","M","B"},0),1000,1000000,1000000000),D157)</f>
        <v>4890000</v>
      </c>
    </row>
    <row r="158" spans="1:8" s="23" customFormat="1" ht="15.75" customHeight="1" x14ac:dyDescent="0.25">
      <c r="A158" s="70" t="s">
        <v>6655</v>
      </c>
      <c r="B158" s="100" t="s">
        <v>6458</v>
      </c>
      <c r="C158" s="72" t="s">
        <v>6318</v>
      </c>
      <c r="D158" s="72" t="s">
        <v>5879</v>
      </c>
      <c r="E158" s="92" t="s">
        <v>5879</v>
      </c>
      <c r="F158" s="91">
        <v>8.9999999999999998E-4</v>
      </c>
      <c r="G158" s="72" t="s">
        <v>5709</v>
      </c>
      <c r="H158" s="79" t="e">
        <f>_xlfn.IFNA(LEFT(D158,LEN(D158)-1)*CHOOSE(MATCH(RIGHT(D158,1), {"K","M","B"},0),1000,1000000,1000000000),D158)</f>
        <v>#VALUE!</v>
      </c>
    </row>
    <row r="159" spans="1:8" s="23" customFormat="1" ht="15.75" customHeight="1" x14ac:dyDescent="0.25">
      <c r="A159" s="83" t="s">
        <v>6504</v>
      </c>
      <c r="B159" s="99" t="s">
        <v>6505</v>
      </c>
      <c r="C159" s="85" t="s">
        <v>6506</v>
      </c>
      <c r="D159" s="85" t="s">
        <v>6507</v>
      </c>
      <c r="E159" s="97">
        <v>3.0000000000000001E-3</v>
      </c>
      <c r="F159" s="97">
        <v>-0.1076</v>
      </c>
      <c r="G159" s="85" t="s">
        <v>5796</v>
      </c>
      <c r="H159" s="84">
        <f>_xlfn.IFNA(LEFT(D159,LEN(D159)-1)*CHOOSE(MATCH(RIGHT(D159,1), {"K","M","B"},0),1000,1000000,1000000000),D159)</f>
        <v>3450000</v>
      </c>
    </row>
    <row r="160" spans="1:8" s="23" customFormat="1" ht="15.75" customHeight="1" x14ac:dyDescent="0.25">
      <c r="A160" s="70" t="s">
        <v>4060</v>
      </c>
      <c r="B160" s="71" t="s">
        <v>5658</v>
      </c>
      <c r="C160" s="72" t="s">
        <v>5736</v>
      </c>
      <c r="D160" s="72" t="s">
        <v>5737</v>
      </c>
      <c r="E160" s="91">
        <v>6.8999999999999999E-3</v>
      </c>
      <c r="F160" s="91">
        <v>1.5299999999999999E-2</v>
      </c>
      <c r="G160" s="72" t="s">
        <v>5709</v>
      </c>
      <c r="H160" s="79">
        <f>_xlfn.IFNA(LEFT(D160,LEN(D160)-1)*CHOOSE(MATCH(RIGHT(D160,1), {"K","M","B"},0),1000,1000000,1000000000),D160)</f>
        <v>2060000000</v>
      </c>
    </row>
    <row r="161" spans="1:8" s="23" customFormat="1" ht="15.75" customHeight="1" x14ac:dyDescent="0.25">
      <c r="A161" s="70" t="s">
        <v>5762</v>
      </c>
      <c r="B161" s="71" t="s">
        <v>5763</v>
      </c>
      <c r="C161" s="72" t="s">
        <v>5736</v>
      </c>
      <c r="D161" s="72" t="s">
        <v>5764</v>
      </c>
      <c r="E161" s="91">
        <v>6.0000000000000001E-3</v>
      </c>
      <c r="F161" s="91">
        <v>-9.0300000000000005E-2</v>
      </c>
      <c r="G161" s="72" t="s">
        <v>5765</v>
      </c>
      <c r="H161" s="79">
        <f>_xlfn.IFNA(LEFT(D161,LEN(D161)-1)*CHOOSE(MATCH(RIGHT(D161,1), {"K","M","B"},0),1000,1000000,1000000000),D161)</f>
        <v>1650000000</v>
      </c>
    </row>
    <row r="162" spans="1:8" s="23" customFormat="1" ht="15.75" customHeight="1" x14ac:dyDescent="0.25">
      <c r="A162" s="70" t="s">
        <v>4061</v>
      </c>
      <c r="B162" s="71" t="s">
        <v>5657</v>
      </c>
      <c r="C162" s="72" t="s">
        <v>5736</v>
      </c>
      <c r="D162" s="72" t="s">
        <v>5793</v>
      </c>
      <c r="E162" s="91">
        <v>6.1000000000000004E-3</v>
      </c>
      <c r="F162" s="91">
        <v>-5.3699999999999998E-2</v>
      </c>
      <c r="G162" s="72" t="s">
        <v>5709</v>
      </c>
      <c r="H162" s="79">
        <f>_xlfn.IFNA(LEFT(D162,LEN(D162)-1)*CHOOSE(MATCH(RIGHT(D162,1), {"K","M","B"},0),1000,1000000,1000000000),D162)</f>
        <v>1090000000</v>
      </c>
    </row>
    <row r="163" spans="1:8" s="23" customFormat="1" ht="15.75" customHeight="1" x14ac:dyDescent="0.25">
      <c r="A163" s="70" t="s">
        <v>5809</v>
      </c>
      <c r="B163" s="71" t="s">
        <v>5810</v>
      </c>
      <c r="C163" s="72" t="s">
        <v>5736</v>
      </c>
      <c r="D163" s="72" t="s">
        <v>5811</v>
      </c>
      <c r="E163" s="91">
        <v>5.7000000000000002E-3</v>
      </c>
      <c r="F163" s="91">
        <v>-0.1196</v>
      </c>
      <c r="G163" s="72" t="s">
        <v>5812</v>
      </c>
      <c r="H163" s="79">
        <f>_xlfn.IFNA(LEFT(D163,LEN(D163)-1)*CHOOSE(MATCH(RIGHT(D163,1), {"K","M","B"},0),1000,1000000,1000000000),D163)</f>
        <v>998450000</v>
      </c>
    </row>
    <row r="164" spans="1:8" s="23" customFormat="1" ht="15.75" customHeight="1" x14ac:dyDescent="0.25">
      <c r="A164" s="70" t="s">
        <v>5880</v>
      </c>
      <c r="B164" s="71" t="s">
        <v>5881</v>
      </c>
      <c r="C164" s="72" t="s">
        <v>5736</v>
      </c>
      <c r="D164" s="72" t="s">
        <v>5882</v>
      </c>
      <c r="E164" s="91">
        <v>6.0000000000000001E-3</v>
      </c>
      <c r="F164" s="91">
        <v>-0.23899999999999999</v>
      </c>
      <c r="G164" s="72" t="s">
        <v>5706</v>
      </c>
      <c r="H164" s="79">
        <f>_xlfn.IFNA(LEFT(D164,LEN(D164)-1)*CHOOSE(MATCH(RIGHT(D164,1), {"K","M","B"},0),1000,1000000,1000000000),D164)</f>
        <v>570410000</v>
      </c>
    </row>
    <row r="165" spans="1:8" s="23" customFormat="1" ht="15.75" customHeight="1" x14ac:dyDescent="0.25">
      <c r="A165" s="70" t="s">
        <v>5901</v>
      </c>
      <c r="B165" s="71" t="s">
        <v>5902</v>
      </c>
      <c r="C165" s="72" t="s">
        <v>5736</v>
      </c>
      <c r="D165" s="72" t="s">
        <v>5903</v>
      </c>
      <c r="E165" s="91">
        <v>5.4999999999999997E-3</v>
      </c>
      <c r="F165" s="91">
        <v>-7.8399999999999997E-2</v>
      </c>
      <c r="G165" s="72" t="s">
        <v>5904</v>
      </c>
      <c r="H165" s="79">
        <f>_xlfn.IFNA(LEFT(D165,LEN(D165)-1)*CHOOSE(MATCH(RIGHT(D165,1), {"K","M","B"},0),1000,1000000,1000000000),D165)</f>
        <v>388090000</v>
      </c>
    </row>
    <row r="166" spans="1:8" s="23" customFormat="1" ht="15.75" customHeight="1" x14ac:dyDescent="0.25">
      <c r="A166" s="70" t="s">
        <v>5950</v>
      </c>
      <c r="B166" s="71" t="s">
        <v>5951</v>
      </c>
      <c r="C166" s="72" t="s">
        <v>5736</v>
      </c>
      <c r="D166" s="72" t="s">
        <v>5952</v>
      </c>
      <c r="E166" s="91">
        <v>7.4999999999999997E-3</v>
      </c>
      <c r="F166" s="91">
        <v>-0.12740000000000001</v>
      </c>
      <c r="G166" s="72" t="s">
        <v>5812</v>
      </c>
      <c r="H166" s="79">
        <f>_xlfn.IFNA(LEFT(D166,LEN(D166)-1)*CHOOSE(MATCH(RIGHT(D166,1), {"K","M","B"},0),1000,1000000,1000000000),D166)</f>
        <v>281440000</v>
      </c>
    </row>
    <row r="167" spans="1:8" s="23" customFormat="1" ht="15.75" customHeight="1" x14ac:dyDescent="0.25">
      <c r="A167" s="70" t="s">
        <v>5960</v>
      </c>
      <c r="B167" s="71" t="s">
        <v>5961</v>
      </c>
      <c r="C167" s="72" t="s">
        <v>5736</v>
      </c>
      <c r="D167" s="72" t="s">
        <v>5962</v>
      </c>
      <c r="E167" s="91">
        <v>7.4999999999999997E-3</v>
      </c>
      <c r="F167" s="91">
        <v>-3.1800000000000002E-2</v>
      </c>
      <c r="G167" s="72" t="s">
        <v>5709</v>
      </c>
      <c r="H167" s="79">
        <f>_xlfn.IFNA(LEFT(D167,LEN(D167)-1)*CHOOSE(MATCH(RIGHT(D167,1), {"K","M","B"},0),1000,1000000,1000000000),D167)</f>
        <v>248250000</v>
      </c>
    </row>
    <row r="168" spans="1:8" s="23" customFormat="1" ht="15.75" customHeight="1" x14ac:dyDescent="0.25">
      <c r="A168" s="83" t="s">
        <v>6071</v>
      </c>
      <c r="B168" s="99" t="s">
        <v>6072</v>
      </c>
      <c r="C168" s="85" t="s">
        <v>5736</v>
      </c>
      <c r="D168" s="85" t="s">
        <v>6073</v>
      </c>
      <c r="E168" s="97">
        <v>6.1000000000000004E-3</v>
      </c>
      <c r="F168" s="97">
        <v>-4.1200000000000001E-2</v>
      </c>
      <c r="G168" s="85" t="s">
        <v>5937</v>
      </c>
      <c r="H168" s="84">
        <f>_xlfn.IFNA(LEFT(D168,LEN(D168)-1)*CHOOSE(MATCH(RIGHT(D168,1), {"K","M","B"},0),1000,1000000,1000000000),D168)</f>
        <v>84550000</v>
      </c>
    </row>
    <row r="169" spans="1:8" s="23" customFormat="1" ht="15.75" customHeight="1" x14ac:dyDescent="0.25">
      <c r="A169" s="83" t="s">
        <v>6392</v>
      </c>
      <c r="B169" s="99" t="s">
        <v>6393</v>
      </c>
      <c r="C169" s="85" t="s">
        <v>5736</v>
      </c>
      <c r="D169" s="85" t="s">
        <v>6394</v>
      </c>
      <c r="E169" s="97">
        <v>6.0000000000000001E-3</v>
      </c>
      <c r="F169" s="97">
        <v>-0.1978</v>
      </c>
      <c r="G169" s="85" t="s">
        <v>5981</v>
      </c>
      <c r="H169" s="84">
        <f>_xlfn.IFNA(LEFT(D169,LEN(D169)-1)*CHOOSE(MATCH(RIGHT(D169,1), {"K","M","B"},0),1000,1000000,1000000000),D169)</f>
        <v>7310000</v>
      </c>
    </row>
    <row r="170" spans="1:8" s="23" customFormat="1" ht="15.75" customHeight="1" x14ac:dyDescent="0.25">
      <c r="A170" s="83" t="s">
        <v>6442</v>
      </c>
      <c r="B170" s="99" t="s">
        <v>6443</v>
      </c>
      <c r="C170" s="85" t="s">
        <v>5736</v>
      </c>
      <c r="D170" s="85" t="s">
        <v>6444</v>
      </c>
      <c r="E170" s="97">
        <v>3.8999999999999998E-3</v>
      </c>
      <c r="F170" s="97">
        <v>-6.8099999999999994E-2</v>
      </c>
      <c r="G170" s="85" t="s">
        <v>5904</v>
      </c>
      <c r="H170" s="84">
        <f>_xlfn.IFNA(LEFT(D170,LEN(D170)-1)*CHOOSE(MATCH(RIGHT(D170,1), {"K","M","B"},0),1000,1000000,1000000000),D170)</f>
        <v>5280000</v>
      </c>
    </row>
    <row r="171" spans="1:8" s="23" customFormat="1" ht="15.75" customHeight="1" x14ac:dyDescent="0.25">
      <c r="A171" s="83" t="s">
        <v>6512</v>
      </c>
      <c r="B171" s="99" t="s">
        <v>6513</v>
      </c>
      <c r="C171" s="85" t="s">
        <v>5736</v>
      </c>
      <c r="D171" s="85" t="s">
        <v>6514</v>
      </c>
      <c r="E171" s="97">
        <v>6.0000000000000001E-3</v>
      </c>
      <c r="F171" s="97">
        <v>-0.1714</v>
      </c>
      <c r="G171" s="85" t="s">
        <v>5827</v>
      </c>
      <c r="H171" s="84">
        <f>_xlfn.IFNA(LEFT(D171,LEN(D171)-1)*CHOOSE(MATCH(RIGHT(D171,1), {"K","M","B"},0),1000,1000000,1000000000),D171)</f>
        <v>3260000</v>
      </c>
    </row>
    <row r="172" spans="1:8" s="23" customFormat="1" ht="15.75" customHeight="1" x14ac:dyDescent="0.25">
      <c r="A172" s="83" t="s">
        <v>6139</v>
      </c>
      <c r="B172" s="99" t="s">
        <v>6140</v>
      </c>
      <c r="C172" s="85" t="s">
        <v>6141</v>
      </c>
      <c r="D172" s="85" t="s">
        <v>6142</v>
      </c>
      <c r="E172" s="97">
        <v>6.0000000000000001E-3</v>
      </c>
      <c r="F172" s="97">
        <v>3.39E-2</v>
      </c>
      <c r="G172" s="85" t="s">
        <v>5796</v>
      </c>
      <c r="H172" s="84">
        <f>_xlfn.IFNA(LEFT(D172,LEN(D172)-1)*CHOOSE(MATCH(RIGHT(D172,1), {"K","M","B"},0),1000,1000000,1000000000),D172)</f>
        <v>55550000</v>
      </c>
    </row>
    <row r="173" spans="1:8" s="23" customFormat="1" ht="15.75" customHeight="1" x14ac:dyDescent="0.25">
      <c r="A173" s="83" t="s">
        <v>6190</v>
      </c>
      <c r="B173" s="99" t="s">
        <v>6191</v>
      </c>
      <c r="C173" s="85" t="s">
        <v>6141</v>
      </c>
      <c r="D173" s="85" t="s">
        <v>6192</v>
      </c>
      <c r="E173" s="97">
        <v>5.4999999999999997E-3</v>
      </c>
      <c r="F173" s="97">
        <v>-0.115</v>
      </c>
      <c r="G173" s="85" t="s">
        <v>6138</v>
      </c>
      <c r="H173" s="84">
        <f>_xlfn.IFNA(LEFT(D173,LEN(D173)-1)*CHOOSE(MATCH(RIGHT(D173,1), {"K","M","B"},0),1000,1000000,1000000000),D173)</f>
        <v>37780000</v>
      </c>
    </row>
    <row r="174" spans="1:8" s="23" customFormat="1" ht="15.75" customHeight="1" x14ac:dyDescent="0.25">
      <c r="A174" s="83" t="s">
        <v>6221</v>
      </c>
      <c r="B174" s="99" t="s">
        <v>6222</v>
      </c>
      <c r="C174" s="85" t="s">
        <v>6141</v>
      </c>
      <c r="D174" s="85" t="s">
        <v>6223</v>
      </c>
      <c r="E174" s="97">
        <v>6.0000000000000001E-3</v>
      </c>
      <c r="F174" s="97">
        <v>-0.16520000000000001</v>
      </c>
      <c r="G174" s="85" t="s">
        <v>6224</v>
      </c>
      <c r="H174" s="84">
        <f>_xlfn.IFNA(LEFT(D174,LEN(D174)-1)*CHOOSE(MATCH(RIGHT(D174,1), {"K","M","B"},0),1000,1000000,1000000000),D174)</f>
        <v>29610000</v>
      </c>
    </row>
    <row r="175" spans="1:8" s="23" customFormat="1" ht="15.75" customHeight="1" x14ac:dyDescent="0.25">
      <c r="A175" s="83" t="s">
        <v>6253</v>
      </c>
      <c r="B175" s="99" t="s">
        <v>6254</v>
      </c>
      <c r="C175" s="85" t="s">
        <v>6255</v>
      </c>
      <c r="D175" s="85" t="s">
        <v>6256</v>
      </c>
      <c r="E175" s="97">
        <v>1.5E-3</v>
      </c>
      <c r="F175" s="97">
        <v>-9.9699999999999997E-2</v>
      </c>
      <c r="G175" s="85" t="s">
        <v>5780</v>
      </c>
      <c r="H175" s="84">
        <f>_xlfn.IFNA(LEFT(D175,LEN(D175)-1)*CHOOSE(MATCH(RIGHT(D175,1), {"K","M","B"},0),1000,1000000,1000000000),D175)</f>
        <v>22330000</v>
      </c>
    </row>
    <row r="176" spans="1:8" s="23" customFormat="1" ht="15.75" customHeight="1" x14ac:dyDescent="0.25">
      <c r="A176" s="83" t="s">
        <v>6262</v>
      </c>
      <c r="B176" s="99" t="s">
        <v>6263</v>
      </c>
      <c r="C176" s="85" t="s">
        <v>6255</v>
      </c>
      <c r="D176" s="85" t="s">
        <v>6264</v>
      </c>
      <c r="E176" s="97">
        <v>4.8999999999999998E-3</v>
      </c>
      <c r="F176" s="97">
        <v>-0.12230000000000001</v>
      </c>
      <c r="G176" s="85" t="s">
        <v>5796</v>
      </c>
      <c r="H176" s="84">
        <f>_xlfn.IFNA(LEFT(D176,LEN(D176)-1)*CHOOSE(MATCH(RIGHT(D176,1), {"K","M","B"},0),1000,1000000,1000000000),D176)</f>
        <v>20720000</v>
      </c>
    </row>
    <row r="177" spans="1:8" s="23" customFormat="1" ht="15.75" customHeight="1" x14ac:dyDescent="0.25">
      <c r="A177" s="83" t="s">
        <v>6582</v>
      </c>
      <c r="B177" s="99" t="s">
        <v>6583</v>
      </c>
      <c r="C177" s="85" t="s">
        <v>6584</v>
      </c>
      <c r="D177" s="85" t="s">
        <v>6585</v>
      </c>
      <c r="E177" s="97">
        <v>6.7999999999999996E-3</v>
      </c>
      <c r="F177" s="97">
        <v>-6.5699999999999995E-2</v>
      </c>
      <c r="G177" s="85" t="s">
        <v>6586</v>
      </c>
      <c r="H177" s="84">
        <f>_xlfn.IFNA(LEFT(D177,LEN(D177)-1)*CHOOSE(MATCH(RIGHT(D177,1), {"K","M","B"},0),1000,1000000,1000000000),D177)</f>
        <v>1340000</v>
      </c>
    </row>
    <row r="178" spans="1:8" s="23" customFormat="1" ht="15.75" customHeight="1" x14ac:dyDescent="0.25">
      <c r="A178" s="83" t="s">
        <v>6114</v>
      </c>
      <c r="B178" s="99" t="s">
        <v>6115</v>
      </c>
      <c r="C178" s="85" t="s">
        <v>6116</v>
      </c>
      <c r="D178" s="85" t="s">
        <v>6117</v>
      </c>
      <c r="E178" s="97">
        <v>1.54E-2</v>
      </c>
      <c r="F178" s="97">
        <v>-0.14660000000000001</v>
      </c>
      <c r="G178" s="85" t="s">
        <v>5689</v>
      </c>
      <c r="H178" s="84">
        <f>_xlfn.IFNA(LEFT(D178,LEN(D178)-1)*CHOOSE(MATCH(RIGHT(D178,1), {"K","M","B"},0),1000,1000000,1000000000),D178)</f>
        <v>66140000</v>
      </c>
    </row>
    <row r="179" spans="1:8" s="23" customFormat="1" ht="15.75" customHeight="1" x14ac:dyDescent="0.25">
      <c r="A179" s="70" t="s">
        <v>5710</v>
      </c>
      <c r="B179" s="71" t="s">
        <v>5711</v>
      </c>
      <c r="C179" s="72" t="s">
        <v>5712</v>
      </c>
      <c r="D179" s="72" t="s">
        <v>5713</v>
      </c>
      <c r="E179" s="91">
        <v>4.7000000000000002E-3</v>
      </c>
      <c r="F179" s="91">
        <v>-2.01E-2</v>
      </c>
      <c r="G179" s="72" t="s">
        <v>5714</v>
      </c>
      <c r="H179" s="79">
        <f>_xlfn.IFNA(LEFT(D179,LEN(D179)-1)*CHOOSE(MATCH(RIGHT(D179,1), {"K","M","B"},0),1000,1000000,1000000000),D179)</f>
        <v>4600000000</v>
      </c>
    </row>
    <row r="180" spans="1:8" s="23" customFormat="1" ht="15.75" customHeight="1" x14ac:dyDescent="0.25">
      <c r="A180" s="70" t="s">
        <v>5659</v>
      </c>
      <c r="B180" s="71" t="s">
        <v>5715</v>
      </c>
      <c r="C180" s="72" t="s">
        <v>5712</v>
      </c>
      <c r="D180" s="72" t="s">
        <v>5716</v>
      </c>
      <c r="E180" s="91">
        <v>7.4999999999999997E-3</v>
      </c>
      <c r="F180" s="91">
        <v>-0.16900000000000001</v>
      </c>
      <c r="G180" s="72" t="s">
        <v>5717</v>
      </c>
      <c r="H180" s="79">
        <f>_xlfn.IFNA(LEFT(D180,LEN(D180)-1)*CHOOSE(MATCH(RIGHT(D180,1), {"K","M","B"},0),1000,1000000,1000000000),D180)</f>
        <v>4230000000.0000005</v>
      </c>
    </row>
    <row r="181" spans="1:8" s="23" customFormat="1" ht="15.75" customHeight="1" x14ac:dyDescent="0.25">
      <c r="A181" s="70" t="s">
        <v>5752</v>
      </c>
      <c r="B181" s="71" t="s">
        <v>5753</v>
      </c>
      <c r="C181" s="72" t="s">
        <v>5712</v>
      </c>
      <c r="D181" s="72" t="s">
        <v>5754</v>
      </c>
      <c r="E181" s="91">
        <v>6.8999999999999999E-3</v>
      </c>
      <c r="F181" s="91">
        <v>9.6199999999999994E-2</v>
      </c>
      <c r="G181" s="72" t="s">
        <v>5755</v>
      </c>
      <c r="H181" s="79">
        <f>_xlfn.IFNA(LEFT(D181,LEN(D181)-1)*CHOOSE(MATCH(RIGHT(D181,1), {"K","M","B"},0),1000,1000000,1000000000),D181)</f>
        <v>1820000000</v>
      </c>
    </row>
    <row r="182" spans="1:8" s="23" customFormat="1" ht="15.75" customHeight="1" x14ac:dyDescent="0.25">
      <c r="A182" s="70" t="s">
        <v>5671</v>
      </c>
      <c r="B182" s="71" t="s">
        <v>5759</v>
      </c>
      <c r="C182" s="72" t="s">
        <v>5712</v>
      </c>
      <c r="D182" s="72" t="s">
        <v>5760</v>
      </c>
      <c r="E182" s="91">
        <v>6.7999999999999996E-3</v>
      </c>
      <c r="F182" s="91">
        <v>-0.20449999999999999</v>
      </c>
      <c r="G182" s="72" t="s">
        <v>5761</v>
      </c>
      <c r="H182" s="79">
        <f>_xlfn.IFNA(LEFT(D182,LEN(D182)-1)*CHOOSE(MATCH(RIGHT(D182,1), {"K","M","B"},0),1000,1000000,1000000000),D182)</f>
        <v>1660000000</v>
      </c>
    </row>
    <row r="183" spans="1:8" s="23" customFormat="1" ht="15.75" customHeight="1" x14ac:dyDescent="0.25">
      <c r="A183" s="70" t="s">
        <v>5781</v>
      </c>
      <c r="B183" s="71" t="s">
        <v>5782</v>
      </c>
      <c r="C183" s="72" t="s">
        <v>5712</v>
      </c>
      <c r="D183" s="72" t="s">
        <v>5783</v>
      </c>
      <c r="E183" s="91">
        <v>5.0000000000000001E-3</v>
      </c>
      <c r="F183" s="91">
        <v>3.3599999999999998E-2</v>
      </c>
      <c r="G183" s="72" t="s">
        <v>5697</v>
      </c>
      <c r="H183" s="79">
        <f>_xlfn.IFNA(LEFT(D183,LEN(D183)-1)*CHOOSE(MATCH(RIGHT(D183,1), {"K","M","B"},0),1000,1000000,1000000000),D183)</f>
        <v>1300000000</v>
      </c>
    </row>
    <row r="184" spans="1:8" s="23" customFormat="1" ht="15.75" customHeight="1" x14ac:dyDescent="0.25">
      <c r="A184" s="70" t="s">
        <v>5797</v>
      </c>
      <c r="B184" s="71" t="s">
        <v>5798</v>
      </c>
      <c r="C184" s="72" t="s">
        <v>5712</v>
      </c>
      <c r="D184" s="72" t="s">
        <v>5799</v>
      </c>
      <c r="E184" s="91">
        <v>6.7999999999999996E-3</v>
      </c>
      <c r="F184" s="91">
        <v>-0.1477</v>
      </c>
      <c r="G184" s="72" t="s">
        <v>5717</v>
      </c>
      <c r="H184" s="79">
        <f>_xlfn.IFNA(LEFT(D184,LEN(D184)-1)*CHOOSE(MATCH(RIGHT(D184,1), {"K","M","B"},0),1000,1000000,1000000000),D184)</f>
        <v>1070000000.0000001</v>
      </c>
    </row>
    <row r="185" spans="1:8" s="23" customFormat="1" ht="15.75" customHeight="1" x14ac:dyDescent="0.25">
      <c r="A185" s="70" t="s">
        <v>5837</v>
      </c>
      <c r="B185" s="71" t="s">
        <v>5838</v>
      </c>
      <c r="C185" s="72" t="s">
        <v>5712</v>
      </c>
      <c r="D185" s="72" t="s">
        <v>5839</v>
      </c>
      <c r="E185" s="91">
        <v>6.7999999999999996E-3</v>
      </c>
      <c r="F185" s="91">
        <v>-0.18659999999999999</v>
      </c>
      <c r="G185" s="72" t="s">
        <v>5840</v>
      </c>
      <c r="H185" s="79">
        <f>_xlfn.IFNA(LEFT(D185,LEN(D185)-1)*CHOOSE(MATCH(RIGHT(D185,1), {"K","M","B"},0),1000,1000000,1000000000),D185)</f>
        <v>745800000</v>
      </c>
    </row>
    <row r="186" spans="1:8" s="23" customFormat="1" ht="15.75" customHeight="1" x14ac:dyDescent="0.25">
      <c r="A186" s="70" t="s">
        <v>5917</v>
      </c>
      <c r="B186" s="71" t="s">
        <v>5918</v>
      </c>
      <c r="C186" s="72" t="s">
        <v>5712</v>
      </c>
      <c r="D186" s="72" t="s">
        <v>5919</v>
      </c>
      <c r="E186" s="91">
        <v>6.7999999999999996E-3</v>
      </c>
      <c r="F186" s="91">
        <v>-0.17030000000000001</v>
      </c>
      <c r="G186" s="72" t="s">
        <v>5920</v>
      </c>
      <c r="H186" s="79">
        <f>_xlfn.IFNA(LEFT(D186,LEN(D186)-1)*CHOOSE(MATCH(RIGHT(D186,1), {"K","M","B"},0),1000,1000000,1000000000),D186)</f>
        <v>356170000</v>
      </c>
    </row>
    <row r="187" spans="1:8" s="23" customFormat="1" ht="15.75" customHeight="1" x14ac:dyDescent="0.25">
      <c r="A187" s="70" t="s">
        <v>5957</v>
      </c>
      <c r="B187" s="71" t="s">
        <v>5958</v>
      </c>
      <c r="C187" s="72" t="s">
        <v>5712</v>
      </c>
      <c r="D187" s="72" t="s">
        <v>5959</v>
      </c>
      <c r="E187" s="91">
        <v>5.0000000000000001E-3</v>
      </c>
      <c r="F187" s="91">
        <v>-0.17580000000000001</v>
      </c>
      <c r="G187" s="72" t="s">
        <v>5912</v>
      </c>
      <c r="H187" s="79">
        <f>_xlfn.IFNA(LEFT(D187,LEN(D187)-1)*CHOOSE(MATCH(RIGHT(D187,1), {"K","M","B"},0),1000,1000000,1000000000),D187)</f>
        <v>263870000</v>
      </c>
    </row>
    <row r="188" spans="1:8" s="23" customFormat="1" ht="15.75" customHeight="1" x14ac:dyDescent="0.25">
      <c r="A188" s="70" t="s">
        <v>5978</v>
      </c>
      <c r="B188" s="71" t="s">
        <v>5979</v>
      </c>
      <c r="C188" s="72" t="s">
        <v>5712</v>
      </c>
      <c r="D188" s="72" t="s">
        <v>5980</v>
      </c>
      <c r="E188" s="91">
        <v>6.4999999999999997E-3</v>
      </c>
      <c r="F188" s="91">
        <v>-0.22090000000000001</v>
      </c>
      <c r="G188" s="72" t="s">
        <v>5981</v>
      </c>
      <c r="H188" s="79">
        <f>_xlfn.IFNA(LEFT(D188,LEN(D188)-1)*CHOOSE(MATCH(RIGHT(D188,1), {"K","M","B"},0),1000,1000000,1000000000),D188)</f>
        <v>220490000</v>
      </c>
    </row>
    <row r="189" spans="1:8" s="23" customFormat="1" ht="15.75" customHeight="1" x14ac:dyDescent="0.25">
      <c r="A189" s="70" t="s">
        <v>6009</v>
      </c>
      <c r="B189" s="71" t="s">
        <v>6010</v>
      </c>
      <c r="C189" s="72" t="s">
        <v>5712</v>
      </c>
      <c r="D189" s="72" t="s">
        <v>6011</v>
      </c>
      <c r="E189" s="91">
        <v>6.7999999999999996E-3</v>
      </c>
      <c r="F189" s="91">
        <v>-0.1804</v>
      </c>
      <c r="G189" s="72" t="s">
        <v>5761</v>
      </c>
      <c r="H189" s="79">
        <f>_xlfn.IFNA(LEFT(D189,LEN(D189)-1)*CHOOSE(MATCH(RIGHT(D189,1), {"K","M","B"},0),1000,1000000,1000000000),D189)</f>
        <v>165440000</v>
      </c>
    </row>
    <row r="190" spans="1:8" s="23" customFormat="1" ht="15.75" customHeight="1" x14ac:dyDescent="0.25">
      <c r="A190" s="70" t="s">
        <v>6019</v>
      </c>
      <c r="B190" s="71" t="s">
        <v>6020</v>
      </c>
      <c r="C190" s="72" t="s">
        <v>5712</v>
      </c>
      <c r="D190" s="72" t="s">
        <v>6021</v>
      </c>
      <c r="E190" s="91">
        <v>5.0000000000000001E-3</v>
      </c>
      <c r="F190" s="91">
        <v>-0.15440000000000001</v>
      </c>
      <c r="G190" s="72" t="s">
        <v>6022</v>
      </c>
      <c r="H190" s="79">
        <f>_xlfn.IFNA(LEFT(D190,LEN(D190)-1)*CHOOSE(MATCH(RIGHT(D190,1), {"K","M","B"},0),1000,1000000,1000000000),D190)</f>
        <v>143320000</v>
      </c>
    </row>
    <row r="191" spans="1:8" s="23" customFormat="1" ht="15.75" customHeight="1" x14ac:dyDescent="0.25">
      <c r="A191" s="70" t="s">
        <v>6023</v>
      </c>
      <c r="B191" s="71" t="s">
        <v>6024</v>
      </c>
      <c r="C191" s="72" t="s">
        <v>5712</v>
      </c>
      <c r="D191" s="72" t="s">
        <v>6025</v>
      </c>
      <c r="E191" s="91">
        <v>5.0000000000000001E-3</v>
      </c>
      <c r="F191" s="91">
        <v>-0.185</v>
      </c>
      <c r="G191" s="72" t="s">
        <v>5732</v>
      </c>
      <c r="H191" s="79">
        <f>_xlfn.IFNA(LEFT(D191,LEN(D191)-1)*CHOOSE(MATCH(RIGHT(D191,1), {"K","M","B"},0),1000,1000000,1000000000),D191)</f>
        <v>138200000</v>
      </c>
    </row>
    <row r="192" spans="1:8" s="23" customFormat="1" ht="15.75" customHeight="1" x14ac:dyDescent="0.25">
      <c r="A192" s="70" t="s">
        <v>6036</v>
      </c>
      <c r="B192" s="71" t="s">
        <v>6037</v>
      </c>
      <c r="C192" s="72" t="s">
        <v>5712</v>
      </c>
      <c r="D192" s="72" t="s">
        <v>6038</v>
      </c>
      <c r="E192" s="91">
        <v>6.4999999999999997E-3</v>
      </c>
      <c r="F192" s="91">
        <v>1.2500000000000001E-2</v>
      </c>
      <c r="G192" s="72" t="s">
        <v>5709</v>
      </c>
      <c r="H192" s="79">
        <f>_xlfn.IFNA(LEFT(D192,LEN(D192)-1)*CHOOSE(MATCH(RIGHT(D192,1), {"K","M","B"},0),1000,1000000,1000000000),D192)</f>
        <v>117600000</v>
      </c>
    </row>
    <row r="193" spans="1:8" s="23" customFormat="1" ht="15.75" customHeight="1" x14ac:dyDescent="0.25">
      <c r="A193" s="83" t="s">
        <v>6046</v>
      </c>
      <c r="B193" s="99" t="s">
        <v>6047</v>
      </c>
      <c r="C193" s="85" t="s">
        <v>5712</v>
      </c>
      <c r="D193" s="85" t="s">
        <v>6048</v>
      </c>
      <c r="E193" s="97">
        <v>5.0000000000000001E-3</v>
      </c>
      <c r="F193" s="97">
        <v>-3.8100000000000002E-2</v>
      </c>
      <c r="G193" s="85" t="s">
        <v>5904</v>
      </c>
      <c r="H193" s="84">
        <f>_xlfn.IFNA(LEFT(D193,LEN(D193)-1)*CHOOSE(MATCH(RIGHT(D193,1), {"K","M","B"},0),1000,1000000,1000000000),D193)</f>
        <v>110460000</v>
      </c>
    </row>
    <row r="194" spans="1:8" s="23" customFormat="1" ht="15.75" customHeight="1" x14ac:dyDescent="0.25">
      <c r="A194" s="83" t="s">
        <v>6068</v>
      </c>
      <c r="B194" s="99" t="s">
        <v>6069</v>
      </c>
      <c r="C194" s="85" t="s">
        <v>5712</v>
      </c>
      <c r="D194" s="85" t="s">
        <v>6070</v>
      </c>
      <c r="E194" s="97">
        <v>5.0000000000000001E-3</v>
      </c>
      <c r="F194" s="97">
        <v>-0.2767</v>
      </c>
      <c r="G194" s="85" t="s">
        <v>5827</v>
      </c>
      <c r="H194" s="84">
        <f>_xlfn.IFNA(LEFT(D194,LEN(D194)-1)*CHOOSE(MATCH(RIGHT(D194,1), {"K","M","B"},0),1000,1000000,1000000000),D194)</f>
        <v>89310000</v>
      </c>
    </row>
    <row r="195" spans="1:8" s="23" customFormat="1" ht="15.75" customHeight="1" x14ac:dyDescent="0.25">
      <c r="A195" s="83" t="s">
        <v>6074</v>
      </c>
      <c r="B195" s="99" t="s">
        <v>6075</v>
      </c>
      <c r="C195" s="85" t="s">
        <v>5712</v>
      </c>
      <c r="D195" s="85" t="s">
        <v>6076</v>
      </c>
      <c r="E195" s="97">
        <v>5.0000000000000001E-3</v>
      </c>
      <c r="F195" s="97">
        <v>-0.19819999999999999</v>
      </c>
      <c r="G195" s="85" t="s">
        <v>5981</v>
      </c>
      <c r="H195" s="84">
        <f>_xlfn.IFNA(LEFT(D195,LEN(D195)-1)*CHOOSE(MATCH(RIGHT(D195,1), {"K","M","B"},0),1000,1000000,1000000000),D195)</f>
        <v>83540000</v>
      </c>
    </row>
    <row r="196" spans="1:8" s="23" customFormat="1" ht="15.75" customHeight="1" x14ac:dyDescent="0.25">
      <c r="A196" s="83" t="s">
        <v>6077</v>
      </c>
      <c r="B196" s="99" t="s">
        <v>6078</v>
      </c>
      <c r="C196" s="85" t="s">
        <v>5712</v>
      </c>
      <c r="D196" s="85" t="s">
        <v>6079</v>
      </c>
      <c r="E196" s="97">
        <v>5.0000000000000001E-3</v>
      </c>
      <c r="F196" s="97">
        <v>-0.16669999999999999</v>
      </c>
      <c r="G196" s="85" t="s">
        <v>5689</v>
      </c>
      <c r="H196" s="84">
        <f>_xlfn.IFNA(LEFT(D196,LEN(D196)-1)*CHOOSE(MATCH(RIGHT(D196,1), {"K","M","B"},0),1000,1000000,1000000000),D196)</f>
        <v>83460000</v>
      </c>
    </row>
    <row r="197" spans="1:8" s="23" customFormat="1" ht="15.75" customHeight="1" x14ac:dyDescent="0.25">
      <c r="A197" s="83" t="s">
        <v>6098</v>
      </c>
      <c r="B197" s="99" t="s">
        <v>6099</v>
      </c>
      <c r="C197" s="85" t="s">
        <v>5712</v>
      </c>
      <c r="D197" s="85" t="s">
        <v>6100</v>
      </c>
      <c r="E197" s="97">
        <v>5.1000000000000004E-3</v>
      </c>
      <c r="F197" s="97">
        <v>-0.20660000000000001</v>
      </c>
      <c r="G197" s="85" t="s">
        <v>6101</v>
      </c>
      <c r="H197" s="84">
        <f>_xlfn.IFNA(LEFT(D197,LEN(D197)-1)*CHOOSE(MATCH(RIGHT(D197,1), {"K","M","B"},0),1000,1000000,1000000000),D197)</f>
        <v>71540000</v>
      </c>
    </row>
    <row r="198" spans="1:8" s="23" customFormat="1" ht="15.75" customHeight="1" x14ac:dyDescent="0.25">
      <c r="A198" s="83" t="s">
        <v>6151</v>
      </c>
      <c r="B198" s="99" t="s">
        <v>6152</v>
      </c>
      <c r="C198" s="85" t="s">
        <v>5712</v>
      </c>
      <c r="D198" s="85" t="s">
        <v>6153</v>
      </c>
      <c r="E198" s="97">
        <v>5.0000000000000001E-3</v>
      </c>
      <c r="F198" s="97">
        <v>-1.7000000000000001E-2</v>
      </c>
      <c r="G198" s="85" t="s">
        <v>6154</v>
      </c>
      <c r="H198" s="84">
        <f>_xlfn.IFNA(LEFT(D198,LEN(D198)-1)*CHOOSE(MATCH(RIGHT(D198,1), {"K","M","B"},0),1000,1000000,1000000000),D198)</f>
        <v>52250000</v>
      </c>
    </row>
    <row r="199" spans="1:8" s="23" customFormat="1" ht="15.75" customHeight="1" x14ac:dyDescent="0.25">
      <c r="A199" s="83" t="s">
        <v>6197</v>
      </c>
      <c r="B199" s="99" t="s">
        <v>6198</v>
      </c>
      <c r="C199" s="85" t="s">
        <v>5712</v>
      </c>
      <c r="D199" s="85" t="s">
        <v>6199</v>
      </c>
      <c r="E199" s="97">
        <v>5.0000000000000001E-3</v>
      </c>
      <c r="F199" s="97">
        <v>-3.3500000000000002E-2</v>
      </c>
      <c r="G199" s="85" t="s">
        <v>5717</v>
      </c>
      <c r="H199" s="84">
        <f>_xlfn.IFNA(LEFT(D199,LEN(D199)-1)*CHOOSE(MATCH(RIGHT(D199,1), {"K","M","B"},0),1000,1000000,1000000000),D199)</f>
        <v>34540000</v>
      </c>
    </row>
    <row r="200" spans="1:8" s="23" customFormat="1" ht="15.75" customHeight="1" x14ac:dyDescent="0.25">
      <c r="A200" s="83" t="s">
        <v>6233</v>
      </c>
      <c r="B200" s="99" t="s">
        <v>6234</v>
      </c>
      <c r="C200" s="85" t="s">
        <v>5712</v>
      </c>
      <c r="D200" s="85" t="s">
        <v>6235</v>
      </c>
      <c r="E200" s="97">
        <v>5.0000000000000001E-3</v>
      </c>
      <c r="F200" s="97">
        <v>-0.1479</v>
      </c>
      <c r="G200" s="85" t="s">
        <v>6154</v>
      </c>
      <c r="H200" s="84">
        <f>_xlfn.IFNA(LEFT(D200,LEN(D200)-1)*CHOOSE(MATCH(RIGHT(D200,1), {"K","M","B"},0),1000,1000000,1000000000),D200)</f>
        <v>26970000</v>
      </c>
    </row>
    <row r="201" spans="1:8" s="23" customFormat="1" ht="15.75" customHeight="1" x14ac:dyDescent="0.25">
      <c r="A201" s="83" t="s">
        <v>6386</v>
      </c>
      <c r="B201" s="99" t="s">
        <v>6387</v>
      </c>
      <c r="C201" s="85" t="s">
        <v>5712</v>
      </c>
      <c r="D201" s="85" t="s">
        <v>6388</v>
      </c>
      <c r="E201" s="97">
        <v>5.0000000000000001E-3</v>
      </c>
      <c r="F201" s="97">
        <v>-9.5100000000000004E-2</v>
      </c>
      <c r="G201" s="85" t="s">
        <v>5709</v>
      </c>
      <c r="H201" s="84">
        <f>_xlfn.IFNA(LEFT(D201,LEN(D201)-1)*CHOOSE(MATCH(RIGHT(D201,1), {"K","M","B"},0),1000,1000000,1000000000),D201)</f>
        <v>7420000</v>
      </c>
    </row>
    <row r="202" spans="1:8" s="23" customFormat="1" ht="15.75" customHeight="1" x14ac:dyDescent="0.25">
      <c r="A202" s="83" t="s">
        <v>6423</v>
      </c>
      <c r="B202" s="99" t="s">
        <v>6424</v>
      </c>
      <c r="C202" s="85" t="s">
        <v>5712</v>
      </c>
      <c r="D202" s="85" t="s">
        <v>6425</v>
      </c>
      <c r="E202" s="97">
        <v>5.0000000000000001E-3</v>
      </c>
      <c r="F202" s="97">
        <v>-0.1188</v>
      </c>
      <c r="G202" s="85" t="s">
        <v>5812</v>
      </c>
      <c r="H202" s="84">
        <f>_xlfn.IFNA(LEFT(D202,LEN(D202)-1)*CHOOSE(MATCH(RIGHT(D202,1), {"K","M","B"},0),1000,1000000,1000000000),D202)</f>
        <v>6270000</v>
      </c>
    </row>
    <row r="203" spans="1:8" s="23" customFormat="1" ht="15.75" customHeight="1" x14ac:dyDescent="0.25">
      <c r="A203" s="83" t="s">
        <v>6429</v>
      </c>
      <c r="B203" s="99" t="s">
        <v>6430</v>
      </c>
      <c r="C203" s="85" t="s">
        <v>5712</v>
      </c>
      <c r="D203" s="85" t="s">
        <v>6431</v>
      </c>
      <c r="E203" s="97">
        <v>5.0000000000000001E-3</v>
      </c>
      <c r="F203" s="97">
        <v>-1.3899999999999999E-2</v>
      </c>
      <c r="G203" s="85" t="s">
        <v>5744</v>
      </c>
      <c r="H203" s="84">
        <f>_xlfn.IFNA(LEFT(D203,LEN(D203)-1)*CHOOSE(MATCH(RIGHT(D203,1), {"K","M","B"},0),1000,1000000,1000000000),D203)</f>
        <v>5940000</v>
      </c>
    </row>
    <row r="204" spans="1:8" s="23" customFormat="1" ht="15.75" customHeight="1" x14ac:dyDescent="0.25">
      <c r="A204" s="83" t="s">
        <v>6486</v>
      </c>
      <c r="B204" s="99" t="s">
        <v>6487</v>
      </c>
      <c r="C204" s="85" t="s">
        <v>5712</v>
      </c>
      <c r="D204" s="85" t="s">
        <v>6488</v>
      </c>
      <c r="E204" s="97">
        <v>5.0000000000000001E-3</v>
      </c>
      <c r="F204" s="97">
        <v>-0.12520000000000001</v>
      </c>
      <c r="G204" s="85" t="s">
        <v>6060</v>
      </c>
      <c r="H204" s="84">
        <f>_xlfn.IFNA(LEFT(D204,LEN(D204)-1)*CHOOSE(MATCH(RIGHT(D204,1), {"K","M","B"},0),1000,1000000,1000000000),D204)</f>
        <v>4290000</v>
      </c>
    </row>
    <row r="205" spans="1:8" s="23" customFormat="1" ht="15.75" customHeight="1" x14ac:dyDescent="0.25">
      <c r="A205" s="83" t="s">
        <v>6501</v>
      </c>
      <c r="B205" s="99" t="s">
        <v>6502</v>
      </c>
      <c r="C205" s="85" t="s">
        <v>5712</v>
      </c>
      <c r="D205" s="85" t="s">
        <v>6503</v>
      </c>
      <c r="E205" s="97">
        <v>5.0000000000000001E-3</v>
      </c>
      <c r="F205" s="97">
        <v>-0.12180000000000001</v>
      </c>
      <c r="G205" s="85" t="s">
        <v>5709</v>
      </c>
      <c r="H205" s="84">
        <f>_xlfn.IFNA(LEFT(D205,LEN(D205)-1)*CHOOSE(MATCH(RIGHT(D205,1), {"K","M","B"},0),1000,1000000,1000000000),D205)</f>
        <v>3510000</v>
      </c>
    </row>
    <row r="206" spans="1:8" s="23" customFormat="1" ht="15.75" customHeight="1" x14ac:dyDescent="0.25">
      <c r="A206" s="83" t="s">
        <v>6534</v>
      </c>
      <c r="B206" s="99" t="s">
        <v>6535</v>
      </c>
      <c r="C206" s="85" t="s">
        <v>5712</v>
      </c>
      <c r="D206" s="85" t="s">
        <v>6536</v>
      </c>
      <c r="E206" s="97">
        <v>6.4999999999999997E-3</v>
      </c>
      <c r="F206" s="97">
        <v>-0.24199999999999999</v>
      </c>
      <c r="G206" s="85" t="s">
        <v>5861</v>
      </c>
      <c r="H206" s="84">
        <f>_xlfn.IFNA(LEFT(D206,LEN(D206)-1)*CHOOSE(MATCH(RIGHT(D206,1), {"K","M","B"},0),1000,1000000,1000000000),D206)</f>
        <v>2650000</v>
      </c>
    </row>
    <row r="207" spans="1:8" s="23" customFormat="1" ht="15.75" customHeight="1" x14ac:dyDescent="0.25">
      <c r="A207" s="83" t="s">
        <v>6547</v>
      </c>
      <c r="B207" s="99" t="s">
        <v>6548</v>
      </c>
      <c r="C207" s="85" t="s">
        <v>5712</v>
      </c>
      <c r="D207" s="85" t="s">
        <v>6549</v>
      </c>
      <c r="E207" s="98" t="s">
        <v>5879</v>
      </c>
      <c r="F207" s="98" t="s">
        <v>5879</v>
      </c>
      <c r="G207" s="85" t="s">
        <v>5904</v>
      </c>
      <c r="H207" s="84">
        <f>_xlfn.IFNA(LEFT(D207,LEN(D207)-1)*CHOOSE(MATCH(RIGHT(D207,1), {"K","M","B"},0),1000,1000000,1000000000),D207)</f>
        <v>2400000</v>
      </c>
    </row>
    <row r="208" spans="1:8" s="23" customFormat="1" ht="15.75" customHeight="1" x14ac:dyDescent="0.25">
      <c r="A208" s="70" t="s">
        <v>6623</v>
      </c>
      <c r="B208" s="100" t="s">
        <v>6624</v>
      </c>
      <c r="C208" s="72" t="s">
        <v>5712</v>
      </c>
      <c r="D208" s="72" t="s">
        <v>5879</v>
      </c>
      <c r="E208" s="91">
        <v>5.0000000000000001E-3</v>
      </c>
      <c r="F208" s="92" t="s">
        <v>5879</v>
      </c>
      <c r="G208" s="72" t="s">
        <v>5751</v>
      </c>
      <c r="H208" s="79" t="e">
        <f>_xlfn.IFNA(LEFT(D208,LEN(D208)-1)*CHOOSE(MATCH(RIGHT(D208,1), {"K","M","B"},0),1000,1000000,1000000000),D208)</f>
        <v>#VALUE!</v>
      </c>
    </row>
    <row r="209" spans="1:8" s="23" customFormat="1" ht="15.75" customHeight="1" x14ac:dyDescent="0.25">
      <c r="A209" s="70" t="s">
        <v>6634</v>
      </c>
      <c r="B209" s="100" t="s">
        <v>6635</v>
      </c>
      <c r="C209" s="72" t="s">
        <v>6636</v>
      </c>
      <c r="D209" s="72" t="s">
        <v>5879</v>
      </c>
      <c r="E209" s="91">
        <v>5.4999999999999997E-3</v>
      </c>
      <c r="F209" s="92" t="s">
        <v>5879</v>
      </c>
      <c r="G209" s="72" t="s">
        <v>6060</v>
      </c>
      <c r="H209" s="79" t="e">
        <f>_xlfn.IFNA(LEFT(D209,LEN(D209)-1)*CHOOSE(MATCH(RIGHT(D209,1), {"K","M","B"},0),1000,1000000,1000000000),D209)</f>
        <v>#VALUE!</v>
      </c>
    </row>
    <row r="210" spans="1:8" s="23" customFormat="1" ht="15.75" customHeight="1" x14ac:dyDescent="0.25">
      <c r="A210" s="70" t="s">
        <v>6637</v>
      </c>
      <c r="B210" s="100" t="s">
        <v>6638</v>
      </c>
      <c r="C210" s="72" t="s">
        <v>6636</v>
      </c>
      <c r="D210" s="72" t="s">
        <v>5879</v>
      </c>
      <c r="E210" s="91">
        <v>5.4999999999999997E-3</v>
      </c>
      <c r="F210" s="92" t="s">
        <v>5879</v>
      </c>
      <c r="G210" s="72" t="s">
        <v>5796</v>
      </c>
      <c r="H210" s="79" t="e">
        <f>_xlfn.IFNA(LEFT(D210,LEN(D210)-1)*CHOOSE(MATCH(RIGHT(D210,1), {"K","M","B"},0),1000,1000000,1000000000),D210)</f>
        <v>#VALUE!</v>
      </c>
    </row>
    <row r="211" spans="1:8" s="23" customFormat="1" ht="15.75" customHeight="1" x14ac:dyDescent="0.25">
      <c r="A211" s="70" t="s">
        <v>6639</v>
      </c>
      <c r="B211" s="100" t="s">
        <v>6640</v>
      </c>
      <c r="C211" s="72" t="s">
        <v>6636</v>
      </c>
      <c r="D211" s="72" t="s">
        <v>5879</v>
      </c>
      <c r="E211" s="91">
        <v>5.4999999999999997E-3</v>
      </c>
      <c r="F211" s="92" t="s">
        <v>5879</v>
      </c>
      <c r="G211" s="72" t="s">
        <v>5689</v>
      </c>
      <c r="H211" s="79" t="e">
        <f>_xlfn.IFNA(LEFT(D211,LEN(D211)-1)*CHOOSE(MATCH(RIGHT(D211,1), {"K","M","B"},0),1000,1000000,1000000000),D211)</f>
        <v>#VALUE!</v>
      </c>
    </row>
    <row r="212" spans="1:8" s="23" customFormat="1" ht="15.75" customHeight="1" x14ac:dyDescent="0.25">
      <c r="A212" s="83" t="s">
        <v>6204</v>
      </c>
      <c r="B212" s="99" t="s">
        <v>6205</v>
      </c>
      <c r="C212" s="85" t="s">
        <v>6206</v>
      </c>
      <c r="D212" s="85" t="s">
        <v>6207</v>
      </c>
      <c r="E212" s="97">
        <v>3.0000000000000001E-3</v>
      </c>
      <c r="F212" s="97">
        <v>4.6300000000000001E-2</v>
      </c>
      <c r="G212" s="85" t="s">
        <v>6208</v>
      </c>
      <c r="H212" s="84">
        <f>_xlfn.IFNA(LEFT(D212,LEN(D212)-1)*CHOOSE(MATCH(RIGHT(D212,1), {"K","M","B"},0),1000,1000000,1000000000),D212)</f>
        <v>33880000</v>
      </c>
    </row>
    <row r="213" spans="1:8" s="23" customFormat="1" ht="15.75" customHeight="1" x14ac:dyDescent="0.25">
      <c r="A213" s="83" t="s">
        <v>6409</v>
      </c>
      <c r="B213" s="99" t="s">
        <v>6410</v>
      </c>
      <c r="C213" s="85" t="s">
        <v>6206</v>
      </c>
      <c r="D213" s="85" t="s">
        <v>6411</v>
      </c>
      <c r="E213" s="97">
        <v>4.4999999999999997E-3</v>
      </c>
      <c r="F213" s="97">
        <v>-1.7999999999999999E-2</v>
      </c>
      <c r="G213" s="85" t="s">
        <v>6060</v>
      </c>
      <c r="H213" s="84">
        <f>_xlfn.IFNA(LEFT(D213,LEN(D213)-1)*CHOOSE(MATCH(RIGHT(D213,1), {"K","M","B"},0),1000,1000000,1000000000),D213)</f>
        <v>6860000</v>
      </c>
    </row>
    <row r="214" spans="1:8" s="23" customFormat="1" ht="15.75" customHeight="1" x14ac:dyDescent="0.25">
      <c r="A214" s="83" t="s">
        <v>6426</v>
      </c>
      <c r="B214" s="99" t="s">
        <v>6427</v>
      </c>
      <c r="C214" s="85" t="s">
        <v>6206</v>
      </c>
      <c r="D214" s="85" t="s">
        <v>6428</v>
      </c>
      <c r="E214" s="97">
        <v>4.4999999999999997E-3</v>
      </c>
      <c r="F214" s="97">
        <v>-0.1547</v>
      </c>
      <c r="G214" s="85" t="s">
        <v>5717</v>
      </c>
      <c r="H214" s="84">
        <f>_xlfn.IFNA(LEFT(D214,LEN(D214)-1)*CHOOSE(MATCH(RIGHT(D214,1), {"K","M","B"},0),1000,1000000,1000000000),D214)</f>
        <v>6160000</v>
      </c>
    </row>
    <row r="215" spans="1:8" s="23" customFormat="1" ht="15.75" customHeight="1" x14ac:dyDescent="0.25">
      <c r="A215" s="83" t="s">
        <v>6445</v>
      </c>
      <c r="B215" s="99" t="s">
        <v>6446</v>
      </c>
      <c r="C215" s="85" t="s">
        <v>6206</v>
      </c>
      <c r="D215" s="85" t="s">
        <v>6447</v>
      </c>
      <c r="E215" s="97">
        <v>4.4999999999999997E-3</v>
      </c>
      <c r="F215" s="97">
        <v>-0.1333</v>
      </c>
      <c r="G215" s="85" t="s">
        <v>5904</v>
      </c>
      <c r="H215" s="84">
        <f>_xlfn.IFNA(LEFT(D215,LEN(D215)-1)*CHOOSE(MATCH(RIGHT(D215,1), {"K","M","B"},0),1000,1000000,1000000000),D215)</f>
        <v>5210000</v>
      </c>
    </row>
    <row r="216" spans="1:8" s="23" customFormat="1" ht="15.75" customHeight="1" x14ac:dyDescent="0.25">
      <c r="A216" s="70" t="s">
        <v>5690</v>
      </c>
      <c r="B216" s="71" t="s">
        <v>5691</v>
      </c>
      <c r="C216" s="72" t="s">
        <v>5692</v>
      </c>
      <c r="D216" s="72" t="s">
        <v>5693</v>
      </c>
      <c r="E216" s="91">
        <v>4.5999999999999999E-3</v>
      </c>
      <c r="F216" s="91">
        <v>5.8200000000000002E-2</v>
      </c>
      <c r="G216" s="72" t="s">
        <v>5694</v>
      </c>
      <c r="H216" s="79">
        <f>_xlfn.IFNA(LEFT(D216,LEN(D216)-1)*CHOOSE(MATCH(RIGHT(D216,1), {"K","M","B"},0),1000,1000000,1000000000),D216)</f>
        <v>8119999999.999999</v>
      </c>
    </row>
    <row r="217" spans="1:8" s="23" customFormat="1" ht="15.75" customHeight="1" x14ac:dyDescent="0.25">
      <c r="A217" s="70" t="s">
        <v>5733</v>
      </c>
      <c r="B217" s="71" t="s">
        <v>5734</v>
      </c>
      <c r="C217" s="72" t="s">
        <v>5692</v>
      </c>
      <c r="D217" s="72" t="s">
        <v>5735</v>
      </c>
      <c r="E217" s="91">
        <v>4.7000000000000002E-3</v>
      </c>
      <c r="F217" s="91">
        <v>-4.6100000000000002E-2</v>
      </c>
      <c r="G217" s="72" t="s">
        <v>5729</v>
      </c>
      <c r="H217" s="79">
        <f>_xlfn.IFNA(LEFT(D217,LEN(D217)-1)*CHOOSE(MATCH(RIGHT(D217,1), {"K","M","B"},0),1000,1000000,1000000000),D217)</f>
        <v>2520000000</v>
      </c>
    </row>
    <row r="218" spans="1:8" s="23" customFormat="1" ht="15.75" customHeight="1" x14ac:dyDescent="0.25">
      <c r="A218" s="83" t="s">
        <v>6158</v>
      </c>
      <c r="B218" s="99" t="s">
        <v>6159</v>
      </c>
      <c r="C218" s="85" t="s">
        <v>6160</v>
      </c>
      <c r="D218" s="85" t="s">
        <v>6161</v>
      </c>
      <c r="E218" s="97">
        <v>7.4999999999999997E-3</v>
      </c>
      <c r="F218" s="97">
        <v>-0.2243</v>
      </c>
      <c r="G218" s="85" t="s">
        <v>6162</v>
      </c>
      <c r="H218" s="84">
        <f>_xlfn.IFNA(LEFT(D218,LEN(D218)-1)*CHOOSE(MATCH(RIGHT(D218,1), {"K","M","B"},0),1000,1000000,1000000000),D218)</f>
        <v>48330000</v>
      </c>
    </row>
    <row r="219" spans="1:8" s="23" customFormat="1" ht="15.75" customHeight="1" x14ac:dyDescent="0.25">
      <c r="A219" s="83" t="s">
        <v>6402</v>
      </c>
      <c r="B219" s="99" t="s">
        <v>6403</v>
      </c>
      <c r="C219" s="85" t="s">
        <v>6404</v>
      </c>
      <c r="D219" s="85" t="s">
        <v>6405</v>
      </c>
      <c r="E219" s="97">
        <v>7.4999999999999997E-3</v>
      </c>
      <c r="F219" s="97">
        <v>-0.1757</v>
      </c>
      <c r="G219" s="85" t="s">
        <v>5689</v>
      </c>
      <c r="H219" s="84">
        <f>_xlfn.IFNA(LEFT(D219,LEN(D219)-1)*CHOOSE(MATCH(RIGHT(D219,1), {"K","M","B"},0),1000,1000000,1000000000),D219)</f>
        <v>6930000</v>
      </c>
    </row>
    <row r="220" spans="1:8" s="23" customFormat="1" ht="15.75" customHeight="1" x14ac:dyDescent="0.25">
      <c r="A220" s="70" t="s">
        <v>5953</v>
      </c>
      <c r="B220" s="71" t="s">
        <v>5954</v>
      </c>
      <c r="C220" s="72" t="s">
        <v>5955</v>
      </c>
      <c r="D220" s="72" t="s">
        <v>5956</v>
      </c>
      <c r="E220" s="91">
        <v>4.7999999999999996E-3</v>
      </c>
      <c r="F220" s="91">
        <v>-0.23860000000000001</v>
      </c>
      <c r="G220" s="72" t="s">
        <v>5751</v>
      </c>
      <c r="H220" s="79">
        <f>_xlfn.IFNA(LEFT(D220,LEN(D220)-1)*CHOOSE(MATCH(RIGHT(D220,1), {"K","M","B"},0),1000,1000000,1000000000),D220)</f>
        <v>264850000.00000003</v>
      </c>
    </row>
    <row r="221" spans="1:8" s="23" customFormat="1" ht="15.75" customHeight="1" x14ac:dyDescent="0.25">
      <c r="A221" s="83" t="s">
        <v>6591</v>
      </c>
      <c r="B221" s="99" t="s">
        <v>6592</v>
      </c>
      <c r="C221" s="85" t="s">
        <v>6593</v>
      </c>
      <c r="D221" s="85" t="s">
        <v>6594</v>
      </c>
      <c r="E221" s="97">
        <v>6.0000000000000001E-3</v>
      </c>
      <c r="F221" s="98" t="s">
        <v>5879</v>
      </c>
      <c r="G221" s="85" t="s">
        <v>5912</v>
      </c>
      <c r="H221" s="84">
        <f>_xlfn.IFNA(LEFT(D221,LEN(D221)-1)*CHOOSE(MATCH(RIGHT(D221,1), {"K","M","B"},0),1000,1000000,1000000000),D221)</f>
        <v>1090000</v>
      </c>
    </row>
    <row r="222" spans="1:8" s="23" customFormat="1" ht="15.75" customHeight="1" x14ac:dyDescent="0.25">
      <c r="A222" s="83" t="s">
        <v>6163</v>
      </c>
      <c r="B222" s="99" t="s">
        <v>6164</v>
      </c>
      <c r="C222" s="85" t="s">
        <v>6165</v>
      </c>
      <c r="D222" s="85" t="s">
        <v>6166</v>
      </c>
      <c r="E222" s="97">
        <v>3.0000000000000001E-3</v>
      </c>
      <c r="F222" s="97">
        <v>-0.11609999999999999</v>
      </c>
      <c r="G222" s="85" t="s">
        <v>5769</v>
      </c>
      <c r="H222" s="84">
        <f>_xlfn.IFNA(LEFT(D222,LEN(D222)-1)*CHOOSE(MATCH(RIGHT(D222,1), {"K","M","B"},0),1000,1000000,1000000000),D222)</f>
        <v>47650000</v>
      </c>
    </row>
    <row r="223" spans="1:8" s="23" customFormat="1" ht="15.75" customHeight="1" x14ac:dyDescent="0.25">
      <c r="A223" s="83" t="s">
        <v>6237</v>
      </c>
      <c r="B223" s="99" t="s">
        <v>6238</v>
      </c>
      <c r="C223" s="85" t="s">
        <v>6239</v>
      </c>
      <c r="D223" s="85" t="s">
        <v>6240</v>
      </c>
      <c r="E223" s="97">
        <v>4.4999999999999997E-3</v>
      </c>
      <c r="F223" s="97">
        <v>-0.1799</v>
      </c>
      <c r="G223" s="85" t="s">
        <v>6241</v>
      </c>
      <c r="H223" s="84">
        <f>_xlfn.IFNA(LEFT(D223,LEN(D223)-1)*CHOOSE(MATCH(RIGHT(D223,1), {"K","M","B"},0),1000,1000000,1000000000),D223)</f>
        <v>24080000</v>
      </c>
    </row>
    <row r="224" spans="1:8" s="23" customFormat="1" ht="15.75" customHeight="1" x14ac:dyDescent="0.25">
      <c r="A224" s="83" t="s">
        <v>6080</v>
      </c>
      <c r="B224" s="99" t="s">
        <v>6081</v>
      </c>
      <c r="C224" s="85" t="s">
        <v>6082</v>
      </c>
      <c r="D224" s="85" t="s">
        <v>6083</v>
      </c>
      <c r="E224" s="97">
        <v>7.4999999999999997E-3</v>
      </c>
      <c r="F224" s="97">
        <v>-6.8699999999999997E-2</v>
      </c>
      <c r="G224" s="85" t="s">
        <v>5916</v>
      </c>
      <c r="H224" s="84">
        <f>_xlfn.IFNA(LEFT(D224,LEN(D224)-1)*CHOOSE(MATCH(RIGHT(D224,1), {"K","M","B"},0),1000,1000000,1000000000),D224)</f>
        <v>83300000</v>
      </c>
    </row>
    <row r="225" spans="1:8" s="23" customFormat="1" ht="15.75" customHeight="1" x14ac:dyDescent="0.25">
      <c r="A225" s="70" t="s">
        <v>5665</v>
      </c>
      <c r="B225" s="100" t="s">
        <v>6641</v>
      </c>
      <c r="C225" s="72" t="s">
        <v>6642</v>
      </c>
      <c r="D225" s="72" t="s">
        <v>5879</v>
      </c>
      <c r="E225" s="91">
        <v>5.7999999999999996E-3</v>
      </c>
      <c r="F225" s="92" t="s">
        <v>5879</v>
      </c>
      <c r="G225" s="72" t="s">
        <v>5751</v>
      </c>
      <c r="H225" s="79" t="e">
        <f>_xlfn.IFNA(LEFT(D225,LEN(D225)-1)*CHOOSE(MATCH(RIGHT(D225,1), {"K","M","B"},0),1000,1000000,1000000000),D225)</f>
        <v>#VALUE!</v>
      </c>
    </row>
    <row r="226" spans="1:8" s="23" customFormat="1" ht="15.75" customHeight="1" x14ac:dyDescent="0.25">
      <c r="A226" s="70" t="s">
        <v>6645</v>
      </c>
      <c r="B226" s="100" t="s">
        <v>6646</v>
      </c>
      <c r="C226" s="72" t="s">
        <v>6642</v>
      </c>
      <c r="D226" s="72" t="s">
        <v>5879</v>
      </c>
      <c r="E226" s="91">
        <v>5.7999999999999996E-3</v>
      </c>
      <c r="F226" s="91">
        <v>-0.2359</v>
      </c>
      <c r="G226" s="72" t="s">
        <v>6060</v>
      </c>
      <c r="H226" s="79" t="e">
        <f>_xlfn.IFNA(LEFT(D226,LEN(D226)-1)*CHOOSE(MATCH(RIGHT(D226,1), {"K","M","B"},0),1000,1000000,1000000000),D226)</f>
        <v>#VALUE!</v>
      </c>
    </row>
    <row r="227" spans="1:8" s="23" customFormat="1" ht="15.75" customHeight="1" x14ac:dyDescent="0.25">
      <c r="A227" s="70" t="s">
        <v>6647</v>
      </c>
      <c r="B227" s="100" t="s">
        <v>6648</v>
      </c>
      <c r="C227" s="72" t="s">
        <v>6642</v>
      </c>
      <c r="D227" s="72" t="s">
        <v>5879</v>
      </c>
      <c r="E227" s="91">
        <v>5.7999999999999996E-3</v>
      </c>
      <c r="F227" s="91">
        <v>-0.1502</v>
      </c>
      <c r="G227" s="72" t="s">
        <v>6649</v>
      </c>
      <c r="H227" s="79" t="e">
        <f>_xlfn.IFNA(LEFT(D227,LEN(D227)-1)*CHOOSE(MATCH(RIGHT(D227,1), {"K","M","B"},0),1000,1000000,1000000000),D227)</f>
        <v>#VALUE!</v>
      </c>
    </row>
    <row r="228" spans="1:8" s="23" customFormat="1" ht="15.75" customHeight="1" x14ac:dyDescent="0.25">
      <c r="A228" s="70" t="s">
        <v>6650</v>
      </c>
      <c r="B228" s="100" t="s">
        <v>6651</v>
      </c>
      <c r="C228" s="72" t="s">
        <v>6642</v>
      </c>
      <c r="D228" s="72" t="s">
        <v>5879</v>
      </c>
      <c r="E228" s="91">
        <v>5.7999999999999996E-3</v>
      </c>
      <c r="F228" s="91">
        <v>-4.7899999999999998E-2</v>
      </c>
      <c r="G228" s="72" t="s">
        <v>5739</v>
      </c>
      <c r="H228" s="79" t="e">
        <f>_xlfn.IFNA(LEFT(D228,LEN(D228)-1)*CHOOSE(MATCH(RIGHT(D228,1), {"K","M","B"},0),1000,1000000,1000000000),D228)</f>
        <v>#VALUE!</v>
      </c>
    </row>
    <row r="229" spans="1:8" s="23" customFormat="1" ht="15.75" customHeight="1" x14ac:dyDescent="0.25">
      <c r="A229" s="70" t="s">
        <v>6652</v>
      </c>
      <c r="B229" s="100" t="s">
        <v>6653</v>
      </c>
      <c r="C229" s="72" t="s">
        <v>6642</v>
      </c>
      <c r="D229" s="72" t="s">
        <v>5879</v>
      </c>
      <c r="E229" s="91">
        <v>9.7999999999999997E-3</v>
      </c>
      <c r="F229" s="91">
        <v>-2.07E-2</v>
      </c>
      <c r="G229" s="72" t="s">
        <v>6654</v>
      </c>
      <c r="H229" s="79" t="e">
        <f>_xlfn.IFNA(LEFT(D229,LEN(D229)-1)*CHOOSE(MATCH(RIGHT(D229,1), {"K","M","B"},0),1000,1000000,1000000000),D229)</f>
        <v>#VALUE!</v>
      </c>
    </row>
    <row r="230" spans="1:8" s="23" customFormat="1" ht="15.75" customHeight="1" x14ac:dyDescent="0.25">
      <c r="A230" s="70" t="s">
        <v>6656</v>
      </c>
      <c r="B230" s="100" t="s">
        <v>6657</v>
      </c>
      <c r="C230" s="72" t="s">
        <v>6642</v>
      </c>
      <c r="D230" s="72" t="s">
        <v>5879</v>
      </c>
      <c r="E230" s="91">
        <v>4.4999999999999997E-3</v>
      </c>
      <c r="F230" s="91">
        <v>-0.1293</v>
      </c>
      <c r="G230" s="72" t="s">
        <v>5689</v>
      </c>
      <c r="H230" s="79" t="e">
        <f>_xlfn.IFNA(LEFT(D230,LEN(D230)-1)*CHOOSE(MATCH(RIGHT(D230,1), {"K","M","B"},0),1000,1000000,1000000000),D230)</f>
        <v>#VALUE!</v>
      </c>
    </row>
    <row r="231" spans="1:8" s="23" customFormat="1" ht="15.75" customHeight="1" x14ac:dyDescent="0.25">
      <c r="A231" s="70" t="s">
        <v>6660</v>
      </c>
      <c r="B231" s="100" t="s">
        <v>6661</v>
      </c>
      <c r="C231" s="72" t="s">
        <v>6642</v>
      </c>
      <c r="D231" s="72" t="s">
        <v>5879</v>
      </c>
      <c r="E231" s="91">
        <v>5.0000000000000001E-3</v>
      </c>
      <c r="F231" s="91">
        <v>-0.13009999999999999</v>
      </c>
      <c r="G231" s="72" t="s">
        <v>6060</v>
      </c>
      <c r="H231" s="79" t="e">
        <f>_xlfn.IFNA(LEFT(D231,LEN(D231)-1)*CHOOSE(MATCH(RIGHT(D231,1), {"K","M","B"},0),1000,1000000,1000000000),D231)</f>
        <v>#VALUE!</v>
      </c>
    </row>
    <row r="232" spans="1:8" s="23" customFormat="1" ht="15.75" customHeight="1" x14ac:dyDescent="0.25">
      <c r="A232" s="70" t="s">
        <v>6662</v>
      </c>
      <c r="B232" s="100" t="s">
        <v>6663</v>
      </c>
      <c r="C232" s="72" t="s">
        <v>6642</v>
      </c>
      <c r="D232" s="72" t="s">
        <v>5879</v>
      </c>
      <c r="E232" s="91">
        <v>6.6E-3</v>
      </c>
      <c r="F232" s="91">
        <v>-1.2500000000000001E-2</v>
      </c>
      <c r="G232" s="72" t="s">
        <v>6664</v>
      </c>
      <c r="H232" s="79" t="e">
        <f>_xlfn.IFNA(LEFT(D232,LEN(D232)-1)*CHOOSE(MATCH(RIGHT(D232,1), {"K","M","B"},0),1000,1000000,1000000000),D232)</f>
        <v>#VALUE!</v>
      </c>
    </row>
    <row r="233" spans="1:8" s="23" customFormat="1" ht="15.75" customHeight="1" x14ac:dyDescent="0.25">
      <c r="A233" s="70" t="s">
        <v>6665</v>
      </c>
      <c r="B233" s="100" t="s">
        <v>6666</v>
      </c>
      <c r="C233" s="72" t="s">
        <v>6642</v>
      </c>
      <c r="D233" s="72" t="s">
        <v>5879</v>
      </c>
      <c r="E233" s="91">
        <v>4.7000000000000002E-3</v>
      </c>
      <c r="F233" s="91">
        <v>9.4000000000000004E-3</v>
      </c>
      <c r="G233" s="72" t="s">
        <v>5729</v>
      </c>
      <c r="H233" s="79" t="e">
        <f>_xlfn.IFNA(LEFT(D233,LEN(D233)-1)*CHOOSE(MATCH(RIGHT(D233,1), {"K","M","B"},0),1000,1000000,1000000000),D233)</f>
        <v>#VALUE!</v>
      </c>
    </row>
    <row r="234" spans="1:8" s="23" customFormat="1" ht="15.75" customHeight="1" x14ac:dyDescent="0.25">
      <c r="A234" s="70" t="s">
        <v>6667</v>
      </c>
      <c r="B234" s="100" t="s">
        <v>6668</v>
      </c>
      <c r="C234" s="72" t="s">
        <v>6642</v>
      </c>
      <c r="D234" s="72" t="s">
        <v>5879</v>
      </c>
      <c r="E234" s="91">
        <v>9.4999999999999998E-3</v>
      </c>
      <c r="F234" s="91">
        <v>-0.19620000000000001</v>
      </c>
      <c r="G234" s="72" t="s">
        <v>6669</v>
      </c>
      <c r="H234" s="79" t="e">
        <f>_xlfn.IFNA(LEFT(D234,LEN(D234)-1)*CHOOSE(MATCH(RIGHT(D234,1), {"K","M","B"},0),1000,1000000,1000000000),D234)</f>
        <v>#VALUE!</v>
      </c>
    </row>
    <row r="235" spans="1:8" s="23" customFormat="1" ht="15.75" customHeight="1" x14ac:dyDescent="0.25">
      <c r="A235" s="83" t="s">
        <v>5653</v>
      </c>
      <c r="B235" s="99" t="s">
        <v>5654</v>
      </c>
      <c r="C235" s="85" t="s">
        <v>6595</v>
      </c>
      <c r="D235" s="85" t="s">
        <v>6596</v>
      </c>
      <c r="E235" s="97">
        <v>7.4999999999999997E-3</v>
      </c>
      <c r="F235" s="97">
        <v>-0.1983</v>
      </c>
      <c r="G235" s="85" t="s">
        <v>5751</v>
      </c>
      <c r="H235" s="84">
        <f>_xlfn.IFNA(LEFT(D235,LEN(D235)-1)*CHOOSE(MATCH(RIGHT(D235,1), {"K","M","B"},0),1000,1000000,1000000000),D235)</f>
        <v>1060000</v>
      </c>
    </row>
    <row r="236" spans="1:8" s="23" customFormat="1" ht="15.75" customHeight="1" x14ac:dyDescent="0.25">
      <c r="A236" s="70" t="s">
        <v>5862</v>
      </c>
      <c r="B236" s="71" t="s">
        <v>5863</v>
      </c>
      <c r="C236" s="72" t="s">
        <v>5864</v>
      </c>
      <c r="D236" s="72" t="s">
        <v>5865</v>
      </c>
      <c r="E236" s="91">
        <v>5.8999999999999999E-3</v>
      </c>
      <c r="F236" s="91">
        <v>-0.24560000000000001</v>
      </c>
      <c r="G236" s="72" t="s">
        <v>5751</v>
      </c>
      <c r="H236" s="79">
        <f>_xlfn.IFNA(LEFT(D236,LEN(D236)-1)*CHOOSE(MATCH(RIGHT(D236,1), {"K","M","B"},0),1000,1000000,1000000000),D236)</f>
        <v>625930000</v>
      </c>
    </row>
    <row r="237" spans="1:8" s="23" customFormat="1" ht="15.75" customHeight="1" x14ac:dyDescent="0.25">
      <c r="A237" s="83" t="s">
        <v>6182</v>
      </c>
      <c r="B237" s="99" t="s">
        <v>6183</v>
      </c>
      <c r="C237" s="85" t="s">
        <v>5864</v>
      </c>
      <c r="D237" s="85" t="s">
        <v>6184</v>
      </c>
      <c r="E237" s="97">
        <v>5.0000000000000001E-3</v>
      </c>
      <c r="F237" s="97">
        <v>-0.18779999999999999</v>
      </c>
      <c r="G237" s="85" t="s">
        <v>5912</v>
      </c>
      <c r="H237" s="84">
        <f>_xlfn.IFNA(LEFT(D237,LEN(D237)-1)*CHOOSE(MATCH(RIGHT(D237,1), {"K","M","B"},0),1000,1000000,1000000000),D237)</f>
        <v>40540000</v>
      </c>
    </row>
    <row r="238" spans="1:8" s="23" customFormat="1" ht="15.75" customHeight="1" x14ac:dyDescent="0.25">
      <c r="A238" s="70" t="s">
        <v>6629</v>
      </c>
      <c r="B238" s="100" t="s">
        <v>6630</v>
      </c>
      <c r="C238" s="72" t="s">
        <v>5864</v>
      </c>
      <c r="D238" s="72" t="s">
        <v>5879</v>
      </c>
      <c r="E238" s="92" t="s">
        <v>5879</v>
      </c>
      <c r="F238" s="92" t="s">
        <v>5879</v>
      </c>
      <c r="G238" s="72" t="s">
        <v>5875</v>
      </c>
      <c r="H238" s="79" t="e">
        <f>_xlfn.IFNA(LEFT(D238,LEN(D238)-1)*CHOOSE(MATCH(RIGHT(D238,1), {"K","M","B"},0),1000,1000000,1000000000),D238)</f>
        <v>#VALUE!</v>
      </c>
    </row>
    <row r="239" spans="1:8" s="23" customFormat="1" ht="15.75" customHeight="1" x14ac:dyDescent="0.25">
      <c r="A239" s="83" t="s">
        <v>6340</v>
      </c>
      <c r="B239" s="99" t="s">
        <v>6341</v>
      </c>
      <c r="C239" s="85" t="s">
        <v>6342</v>
      </c>
      <c r="D239" s="85" t="s">
        <v>6343</v>
      </c>
      <c r="E239" s="97">
        <v>9.4999999999999998E-3</v>
      </c>
      <c r="F239" s="97">
        <v>-0.16400000000000001</v>
      </c>
      <c r="G239" s="85" t="s">
        <v>5697</v>
      </c>
      <c r="H239" s="84">
        <f>_xlfn.IFNA(LEFT(D239,LEN(D239)-1)*CHOOSE(MATCH(RIGHT(D239,1), {"K","M","B"},0),1000,1000000,1000000000),D239)</f>
        <v>10470000</v>
      </c>
    </row>
    <row r="240" spans="1:8" s="23" customFormat="1" ht="15.75" customHeight="1" x14ac:dyDescent="0.25">
      <c r="A240" s="83" t="s">
        <v>6412</v>
      </c>
      <c r="B240" s="99" t="s">
        <v>6413</v>
      </c>
      <c r="C240" s="85" t="s">
        <v>6342</v>
      </c>
      <c r="D240" s="85" t="s">
        <v>6414</v>
      </c>
      <c r="E240" s="97">
        <v>9.4999999999999998E-3</v>
      </c>
      <c r="F240" s="97">
        <v>-0.1187</v>
      </c>
      <c r="G240" s="85" t="s">
        <v>5717</v>
      </c>
      <c r="H240" s="84">
        <f>_xlfn.IFNA(LEFT(D240,LEN(D240)-1)*CHOOSE(MATCH(RIGHT(D240,1), {"K","M","B"},0),1000,1000000,1000000000),D240)</f>
        <v>6600000</v>
      </c>
    </row>
    <row r="241" spans="1:8" s="23" customFormat="1" ht="15.75" customHeight="1" x14ac:dyDescent="0.25">
      <c r="A241" s="83" t="s">
        <v>6579</v>
      </c>
      <c r="B241" s="99" t="s">
        <v>6580</v>
      </c>
      <c r="C241" s="85" t="s">
        <v>6342</v>
      </c>
      <c r="D241" s="85" t="s">
        <v>6581</v>
      </c>
      <c r="E241" s="97">
        <v>1.03E-2</v>
      </c>
      <c r="F241" s="97">
        <v>-0.25240000000000001</v>
      </c>
      <c r="G241" s="85" t="s">
        <v>5792</v>
      </c>
      <c r="H241" s="84">
        <f>_xlfn.IFNA(LEFT(D241,LEN(D241)-1)*CHOOSE(MATCH(RIGHT(D241,1), {"K","M","B"},0),1000,1000000,1000000000),D241)</f>
        <v>1350000</v>
      </c>
    </row>
    <row r="242" spans="1:8" s="23" customFormat="1" ht="15.75" customHeight="1" x14ac:dyDescent="0.25">
      <c r="A242" s="83" t="s">
        <v>6468</v>
      </c>
      <c r="B242" s="99" t="s">
        <v>6469</v>
      </c>
      <c r="C242" s="85" t="s">
        <v>6470</v>
      </c>
      <c r="D242" s="85" t="s">
        <v>6471</v>
      </c>
      <c r="E242" s="97">
        <v>7.4999999999999997E-3</v>
      </c>
      <c r="F242" s="97">
        <v>-0.11260000000000001</v>
      </c>
      <c r="G242" s="85" t="s">
        <v>5689</v>
      </c>
      <c r="H242" s="84">
        <f>_xlfn.IFNA(LEFT(D242,LEN(D242)-1)*CHOOSE(MATCH(RIGHT(D242,1), {"K","M","B"},0),1000,1000000,1000000000),D242)</f>
        <v>4700000</v>
      </c>
    </row>
    <row r="243" spans="1:8" s="23" customFormat="1" ht="15.75" customHeight="1" x14ac:dyDescent="0.25">
      <c r="A243" s="70" t="s">
        <v>5813</v>
      </c>
      <c r="B243" s="71" t="s">
        <v>5814</v>
      </c>
      <c r="C243" s="72" t="s">
        <v>5815</v>
      </c>
      <c r="D243" s="72" t="s">
        <v>5816</v>
      </c>
      <c r="E243" s="91">
        <v>8.5000000000000006E-3</v>
      </c>
      <c r="F243" s="91">
        <v>9.7100000000000006E-2</v>
      </c>
      <c r="G243" s="72" t="s">
        <v>5755</v>
      </c>
      <c r="H243" s="79">
        <f>_xlfn.IFNA(LEFT(D243,LEN(D243)-1)*CHOOSE(MATCH(RIGHT(D243,1), {"K","M","B"},0),1000,1000000,1000000000),D243)</f>
        <v>944670000</v>
      </c>
    </row>
    <row r="244" spans="1:8" s="23" customFormat="1" ht="15.75" customHeight="1" x14ac:dyDescent="0.25">
      <c r="A244" s="70" t="s">
        <v>6005</v>
      </c>
      <c r="B244" s="71" t="s">
        <v>6006</v>
      </c>
      <c r="C244" s="72" t="s">
        <v>6007</v>
      </c>
      <c r="D244" s="72" t="s">
        <v>6008</v>
      </c>
      <c r="E244" s="91">
        <v>6.7999999999999996E-3</v>
      </c>
      <c r="F244" s="91">
        <v>-0.15989999999999999</v>
      </c>
      <c r="G244" s="72" t="s">
        <v>5827</v>
      </c>
      <c r="H244" s="79">
        <f>_xlfn.IFNA(LEFT(D244,LEN(D244)-1)*CHOOSE(MATCH(RIGHT(D244,1), {"K","M","B"},0),1000,1000000,1000000000),D244)</f>
        <v>167270000</v>
      </c>
    </row>
    <row r="245" spans="1:8" s="23" customFormat="1" ht="15.75" customHeight="1" x14ac:dyDescent="0.25">
      <c r="A245" s="70" t="s">
        <v>5846</v>
      </c>
      <c r="B245" s="71" t="s">
        <v>5847</v>
      </c>
      <c r="C245" s="72" t="s">
        <v>5848</v>
      </c>
      <c r="D245" s="72" t="s">
        <v>5849</v>
      </c>
      <c r="E245" s="91">
        <v>5.4999999999999997E-3</v>
      </c>
      <c r="F245" s="91">
        <v>-2.7099999999999999E-2</v>
      </c>
      <c r="G245" s="72" t="s">
        <v>5739</v>
      </c>
      <c r="H245" s="79">
        <f>_xlfn.IFNA(LEFT(D245,LEN(D245)-1)*CHOOSE(MATCH(RIGHT(D245,1), {"K","M","B"},0),1000,1000000,1000000000),D245)</f>
        <v>680690000</v>
      </c>
    </row>
    <row r="246" spans="1:8" s="23" customFormat="1" ht="15.75" customHeight="1" x14ac:dyDescent="0.25">
      <c r="A246" s="70" t="s">
        <v>6015</v>
      </c>
      <c r="B246" s="71" t="s">
        <v>6016</v>
      </c>
      <c r="C246" s="72" t="s">
        <v>5848</v>
      </c>
      <c r="D246" s="72" t="s">
        <v>6017</v>
      </c>
      <c r="E246" s="91">
        <v>5.0000000000000001E-3</v>
      </c>
      <c r="F246" s="91">
        <v>-0.1263</v>
      </c>
      <c r="G246" s="72" t="s">
        <v>6018</v>
      </c>
      <c r="H246" s="79">
        <f>_xlfn.IFNA(LEFT(D246,LEN(D246)-1)*CHOOSE(MATCH(RIGHT(D246,1), {"K","M","B"},0),1000,1000000,1000000000),D246)</f>
        <v>157610000</v>
      </c>
    </row>
    <row r="247" spans="1:8" s="23" customFormat="1" ht="15.75" customHeight="1" x14ac:dyDescent="0.25">
      <c r="A247" s="70" t="s">
        <v>5722</v>
      </c>
      <c r="B247" s="71" t="s">
        <v>5723</v>
      </c>
      <c r="C247" s="72" t="s">
        <v>5724</v>
      </c>
      <c r="D247" s="72" t="s">
        <v>5725</v>
      </c>
      <c r="E247" s="91">
        <v>4.0000000000000001E-3</v>
      </c>
      <c r="F247" s="91">
        <v>3.4599999999999999E-2</v>
      </c>
      <c r="G247" s="72" t="s">
        <v>5694</v>
      </c>
      <c r="H247" s="79">
        <f>_xlfn.IFNA(LEFT(D247,LEN(D247)-1)*CHOOSE(MATCH(RIGHT(D247,1), {"K","M","B"},0),1000,1000000,1000000000),D247)</f>
        <v>3590000000</v>
      </c>
    </row>
    <row r="248" spans="1:8" s="23" customFormat="1" ht="15.75" customHeight="1" x14ac:dyDescent="0.25">
      <c r="A248" s="70" t="s">
        <v>5756</v>
      </c>
      <c r="B248" s="71" t="s">
        <v>5757</v>
      </c>
      <c r="C248" s="72" t="s">
        <v>5724</v>
      </c>
      <c r="D248" s="72" t="s">
        <v>5758</v>
      </c>
      <c r="E248" s="91">
        <v>2E-3</v>
      </c>
      <c r="F248" s="91">
        <v>-0.1149</v>
      </c>
      <c r="G248" s="72" t="s">
        <v>5689</v>
      </c>
      <c r="H248" s="79">
        <f>_xlfn.IFNA(LEFT(D248,LEN(D248)-1)*CHOOSE(MATCH(RIGHT(D248,1), {"K","M","B"},0),1000,1000000,1000000000),D248)</f>
        <v>1680000000</v>
      </c>
    </row>
    <row r="249" spans="1:8" s="23" customFormat="1" ht="15.75" customHeight="1" x14ac:dyDescent="0.25">
      <c r="A249" s="70" t="s">
        <v>5787</v>
      </c>
      <c r="B249" s="71" t="s">
        <v>5788</v>
      </c>
      <c r="C249" s="72" t="s">
        <v>5724</v>
      </c>
      <c r="D249" s="72" t="s">
        <v>5789</v>
      </c>
      <c r="E249" s="91">
        <v>3.5000000000000001E-3</v>
      </c>
      <c r="F249" s="91">
        <v>-0.16170000000000001</v>
      </c>
      <c r="G249" s="72" t="s">
        <v>5769</v>
      </c>
      <c r="H249" s="79">
        <f>_xlfn.IFNA(LEFT(D249,LEN(D249)-1)*CHOOSE(MATCH(RIGHT(D249,1), {"K","M","B"},0),1000,1000000,1000000000),D249)</f>
        <v>1220000000</v>
      </c>
    </row>
    <row r="250" spans="1:8" s="23" customFormat="1" ht="15.75" customHeight="1" x14ac:dyDescent="0.25">
      <c r="A250" s="70" t="s">
        <v>5869</v>
      </c>
      <c r="B250" s="71" t="s">
        <v>5870</v>
      </c>
      <c r="C250" s="72" t="s">
        <v>5724</v>
      </c>
      <c r="D250" s="72" t="s">
        <v>5871</v>
      </c>
      <c r="E250" s="91">
        <v>3.5000000000000001E-3</v>
      </c>
      <c r="F250" s="91">
        <v>0.1426</v>
      </c>
      <c r="G250" s="72" t="s">
        <v>5803</v>
      </c>
      <c r="H250" s="79">
        <f>_xlfn.IFNA(LEFT(D250,LEN(D250)-1)*CHOOSE(MATCH(RIGHT(D250,1), {"K","M","B"},0),1000,1000000,1000000000),D250)</f>
        <v>607540000</v>
      </c>
    </row>
    <row r="251" spans="1:8" s="23" customFormat="1" ht="15.75" customHeight="1" x14ac:dyDescent="0.25">
      <c r="A251" s="70" t="s">
        <v>5890</v>
      </c>
      <c r="B251" s="71" t="s">
        <v>5891</v>
      </c>
      <c r="C251" s="72" t="s">
        <v>5724</v>
      </c>
      <c r="D251" s="72" t="s">
        <v>5892</v>
      </c>
      <c r="E251" s="91">
        <v>4.0000000000000001E-3</v>
      </c>
      <c r="F251" s="91">
        <v>2.4799999999999999E-2</v>
      </c>
      <c r="G251" s="72" t="s">
        <v>5729</v>
      </c>
      <c r="H251" s="79">
        <f>_xlfn.IFNA(LEFT(D251,LEN(D251)-1)*CHOOSE(MATCH(RIGHT(D251,1), {"K","M","B"},0),1000,1000000,1000000000),D251)</f>
        <v>497990000</v>
      </c>
    </row>
    <row r="252" spans="1:8" s="23" customFormat="1" ht="15.75" customHeight="1" x14ac:dyDescent="0.25">
      <c r="A252" s="70" t="s">
        <v>5893</v>
      </c>
      <c r="B252" s="71" t="s">
        <v>5894</v>
      </c>
      <c r="C252" s="72" t="s">
        <v>5724</v>
      </c>
      <c r="D252" s="72" t="s">
        <v>5895</v>
      </c>
      <c r="E252" s="91">
        <v>3.5000000000000001E-3</v>
      </c>
      <c r="F252" s="91">
        <v>-9.8900000000000002E-2</v>
      </c>
      <c r="G252" s="72" t="s">
        <v>5896</v>
      </c>
      <c r="H252" s="79">
        <f>_xlfn.IFNA(LEFT(D252,LEN(D252)-1)*CHOOSE(MATCH(RIGHT(D252,1), {"K","M","B"},0),1000,1000000,1000000000),D252)</f>
        <v>495790000</v>
      </c>
    </row>
    <row r="253" spans="1:8" s="23" customFormat="1" ht="15.75" customHeight="1" x14ac:dyDescent="0.25">
      <c r="A253" s="70" t="s">
        <v>5966</v>
      </c>
      <c r="B253" s="71" t="s">
        <v>5967</v>
      </c>
      <c r="C253" s="72" t="s">
        <v>5724</v>
      </c>
      <c r="D253" s="72" t="s">
        <v>5968</v>
      </c>
      <c r="E253" s="91">
        <v>1.1999999999999999E-3</v>
      </c>
      <c r="F253" s="91">
        <v>-0.1087</v>
      </c>
      <c r="G253" s="72" t="s">
        <v>5796</v>
      </c>
      <c r="H253" s="79">
        <f>_xlfn.IFNA(LEFT(D253,LEN(D253)-1)*CHOOSE(MATCH(RIGHT(D253,1), {"K","M","B"},0),1000,1000000,1000000000),D253)</f>
        <v>246930000</v>
      </c>
    </row>
    <row r="254" spans="1:8" s="23" customFormat="1" ht="15.75" customHeight="1" x14ac:dyDescent="0.25">
      <c r="A254" s="70" t="s">
        <v>5969</v>
      </c>
      <c r="B254" s="71" t="s">
        <v>5970</v>
      </c>
      <c r="C254" s="72" t="s">
        <v>5724</v>
      </c>
      <c r="D254" s="72" t="s">
        <v>5971</v>
      </c>
      <c r="E254" s="91">
        <v>4.4999999999999997E-3</v>
      </c>
      <c r="F254" s="91">
        <v>-1.8200000000000001E-2</v>
      </c>
      <c r="G254" s="72" t="s">
        <v>5739</v>
      </c>
      <c r="H254" s="79">
        <f>_xlfn.IFNA(LEFT(D254,LEN(D254)-1)*CHOOSE(MATCH(RIGHT(D254,1), {"K","M","B"},0),1000,1000000,1000000000),D254)</f>
        <v>245730000</v>
      </c>
    </row>
    <row r="255" spans="1:8" s="23" customFormat="1" ht="15.75" customHeight="1" x14ac:dyDescent="0.25">
      <c r="A255" s="83" t="s">
        <v>6061</v>
      </c>
      <c r="B255" s="99" t="s">
        <v>6062</v>
      </c>
      <c r="C255" s="85" t="s">
        <v>5724</v>
      </c>
      <c r="D255" s="85" t="s">
        <v>6063</v>
      </c>
      <c r="E255" s="97">
        <v>4.4999999999999997E-3</v>
      </c>
      <c r="F255" s="97">
        <v>-0.13930000000000001</v>
      </c>
      <c r="G255" s="85" t="s">
        <v>6064</v>
      </c>
      <c r="H255" s="84">
        <f>_xlfn.IFNA(LEFT(D255,LEN(D255)-1)*CHOOSE(MATCH(RIGHT(D255,1), {"K","M","B"},0),1000,1000000,1000000000),D255)</f>
        <v>98390000</v>
      </c>
    </row>
    <row r="256" spans="1:8" s="23" customFormat="1" ht="15.75" customHeight="1" x14ac:dyDescent="0.25">
      <c r="A256" s="83" t="s">
        <v>6088</v>
      </c>
      <c r="B256" s="99" t="s">
        <v>6089</v>
      </c>
      <c r="C256" s="85" t="s">
        <v>5724</v>
      </c>
      <c r="D256" s="85" t="s">
        <v>6090</v>
      </c>
      <c r="E256" s="97">
        <v>3.5000000000000001E-3</v>
      </c>
      <c r="F256" s="97">
        <v>-8.3500000000000005E-2</v>
      </c>
      <c r="G256" s="85" t="s">
        <v>5929</v>
      </c>
      <c r="H256" s="84">
        <f>_xlfn.IFNA(LEFT(D256,LEN(D256)-1)*CHOOSE(MATCH(RIGHT(D256,1), {"K","M","B"},0),1000,1000000,1000000000),D256)</f>
        <v>78960000</v>
      </c>
    </row>
    <row r="257" spans="1:8" s="23" customFormat="1" ht="15.75" customHeight="1" x14ac:dyDescent="0.25">
      <c r="A257" s="83" t="s">
        <v>6187</v>
      </c>
      <c r="B257" s="99" t="s">
        <v>6188</v>
      </c>
      <c r="C257" s="85" t="s">
        <v>5724</v>
      </c>
      <c r="D257" s="85" t="s">
        <v>6189</v>
      </c>
      <c r="E257" s="97">
        <v>4.4999999999999997E-3</v>
      </c>
      <c r="F257" s="97">
        <v>-9.2499999999999999E-2</v>
      </c>
      <c r="G257" s="85" t="s">
        <v>5714</v>
      </c>
      <c r="H257" s="84">
        <f>_xlfn.IFNA(LEFT(D257,LEN(D257)-1)*CHOOSE(MATCH(RIGHT(D257,1), {"K","M","B"},0),1000,1000000,1000000000),D257)</f>
        <v>37880000</v>
      </c>
    </row>
    <row r="258" spans="1:8" s="23" customFormat="1" ht="15.75" customHeight="1" x14ac:dyDescent="0.25">
      <c r="A258" s="83" t="s">
        <v>6212</v>
      </c>
      <c r="B258" s="99" t="s">
        <v>6213</v>
      </c>
      <c r="C258" s="85" t="s">
        <v>5724</v>
      </c>
      <c r="D258" s="85" t="s">
        <v>6214</v>
      </c>
      <c r="E258" s="97">
        <v>3.5000000000000001E-3</v>
      </c>
      <c r="F258" s="97">
        <v>-0.21590000000000001</v>
      </c>
      <c r="G258" s="85" t="s">
        <v>5706</v>
      </c>
      <c r="H258" s="84">
        <f>_xlfn.IFNA(LEFT(D258,LEN(D258)-1)*CHOOSE(MATCH(RIGHT(D258,1), {"K","M","B"},0),1000,1000000,1000000000),D258)</f>
        <v>31290000</v>
      </c>
    </row>
    <row r="259" spans="1:8" s="23" customFormat="1" ht="15.75" customHeight="1" x14ac:dyDescent="0.25">
      <c r="A259" s="83" t="s">
        <v>6215</v>
      </c>
      <c r="B259" s="99" t="s">
        <v>6216</v>
      </c>
      <c r="C259" s="85" t="s">
        <v>5724</v>
      </c>
      <c r="D259" s="85" t="s">
        <v>6217</v>
      </c>
      <c r="E259" s="97">
        <v>4.4999999999999997E-3</v>
      </c>
      <c r="F259" s="97">
        <v>5.3E-3</v>
      </c>
      <c r="G259" s="85" t="s">
        <v>6138</v>
      </c>
      <c r="H259" s="84">
        <f>_xlfn.IFNA(LEFT(D259,LEN(D259)-1)*CHOOSE(MATCH(RIGHT(D259,1), {"K","M","B"},0),1000,1000000,1000000000),D259)</f>
        <v>30740000</v>
      </c>
    </row>
    <row r="260" spans="1:8" s="23" customFormat="1" ht="15.75" customHeight="1" x14ac:dyDescent="0.25">
      <c r="A260" s="83" t="s">
        <v>6281</v>
      </c>
      <c r="B260" s="99" t="s">
        <v>6282</v>
      </c>
      <c r="C260" s="85" t="s">
        <v>5724</v>
      </c>
      <c r="D260" s="85" t="s">
        <v>6283</v>
      </c>
      <c r="E260" s="97">
        <v>4.4999999999999997E-3</v>
      </c>
      <c r="F260" s="97">
        <v>6.4000000000000003E-3</v>
      </c>
      <c r="G260" s="85" t="s">
        <v>6284</v>
      </c>
      <c r="H260" s="84">
        <f>_xlfn.IFNA(LEFT(D260,LEN(D260)-1)*CHOOSE(MATCH(RIGHT(D260,1), {"K","M","B"},0),1000,1000000,1000000000),D260)</f>
        <v>19050000</v>
      </c>
    </row>
    <row r="261" spans="1:8" s="23" customFormat="1" ht="15.75" customHeight="1" x14ac:dyDescent="0.25">
      <c r="A261" s="70" t="s">
        <v>6627</v>
      </c>
      <c r="B261" s="100" t="s">
        <v>6628</v>
      </c>
      <c r="C261" s="72" t="s">
        <v>5724</v>
      </c>
      <c r="D261" s="72" t="s">
        <v>5879</v>
      </c>
      <c r="E261" s="91">
        <v>1E-3</v>
      </c>
      <c r="F261" s="92" t="s">
        <v>5879</v>
      </c>
      <c r="G261" s="72" t="s">
        <v>5780</v>
      </c>
      <c r="H261" s="79" t="e">
        <f>_xlfn.IFNA(LEFT(D261,LEN(D261)-1)*CHOOSE(MATCH(RIGHT(D261,1), {"K","M","B"},0),1000,1000000,1000000000),D261)</f>
        <v>#VALUE!</v>
      </c>
    </row>
    <row r="262" spans="1:8" s="23" customFormat="1" ht="15.75" customHeight="1" x14ac:dyDescent="0.25">
      <c r="A262" s="83" t="s">
        <v>6573</v>
      </c>
      <c r="B262" s="99" t="s">
        <v>6574</v>
      </c>
      <c r="C262" s="85" t="s">
        <v>6575</v>
      </c>
      <c r="D262" s="85" t="s">
        <v>6572</v>
      </c>
      <c r="E262" s="97">
        <v>9.4999999999999998E-3</v>
      </c>
      <c r="F262" s="97">
        <v>-9.4100000000000003E-2</v>
      </c>
      <c r="G262" s="85" t="s">
        <v>5796</v>
      </c>
      <c r="H262" s="84">
        <f>_xlfn.IFNA(LEFT(D262,LEN(D262)-1)*CHOOSE(MATCH(RIGHT(D262,1), {"K","M","B"},0),1000,1000000,1000000000),D262)</f>
        <v>1590000</v>
      </c>
    </row>
    <row r="263" spans="1:8" s="23" customFormat="1" ht="15.75" customHeight="1" x14ac:dyDescent="0.25">
      <c r="A263" s="83" t="s">
        <v>6245</v>
      </c>
      <c r="B263" s="99" t="s">
        <v>6246</v>
      </c>
      <c r="C263" s="85" t="s">
        <v>6247</v>
      </c>
      <c r="D263" s="85" t="s">
        <v>6248</v>
      </c>
      <c r="E263" s="97">
        <v>4.4000000000000003E-3</v>
      </c>
      <c r="F263" s="97">
        <v>-8.2900000000000001E-2</v>
      </c>
      <c r="G263" s="85" t="s">
        <v>6249</v>
      </c>
      <c r="H263" s="84">
        <f>_xlfn.IFNA(LEFT(D263,LEN(D263)-1)*CHOOSE(MATCH(RIGHT(D263,1), {"K","M","B"},0),1000,1000000,1000000000),D263)</f>
        <v>23500000</v>
      </c>
    </row>
    <row r="264" spans="1:8" s="23" customFormat="1" ht="15.75" customHeight="1" x14ac:dyDescent="0.25">
      <c r="A264" s="83" t="s">
        <v>6336</v>
      </c>
      <c r="B264" s="99" t="s">
        <v>6337</v>
      </c>
      <c r="C264" s="85" t="s">
        <v>6338</v>
      </c>
      <c r="D264" s="85" t="s">
        <v>6339</v>
      </c>
      <c r="E264" s="97">
        <v>5.8999999999999999E-3</v>
      </c>
      <c r="F264" s="97">
        <v>-0.247</v>
      </c>
      <c r="G264" s="85" t="s">
        <v>5981</v>
      </c>
      <c r="H264" s="84">
        <f>_xlfn.IFNA(LEFT(D264,LEN(D264)-1)*CHOOSE(MATCH(RIGHT(D264,1), {"K","M","B"},0),1000,1000000,1000000000),D264)</f>
        <v>11020000</v>
      </c>
    </row>
    <row r="265" spans="1:8" s="23" customFormat="1" ht="15.75" customHeight="1" x14ac:dyDescent="0.25">
      <c r="A265" s="83" t="s">
        <v>6560</v>
      </c>
      <c r="B265" s="99" t="s">
        <v>6561</v>
      </c>
      <c r="C265" s="85" t="s">
        <v>6338</v>
      </c>
      <c r="D265" s="85" t="s">
        <v>6562</v>
      </c>
      <c r="E265" s="97">
        <v>6.4999999999999997E-3</v>
      </c>
      <c r="F265" s="97">
        <v>-7.7700000000000005E-2</v>
      </c>
      <c r="G265" s="85" t="s">
        <v>5709</v>
      </c>
      <c r="H265" s="84">
        <f>_xlfn.IFNA(LEFT(D265,LEN(D265)-1)*CHOOSE(MATCH(RIGHT(D265,1), {"K","M","B"},0),1000,1000000,1000000000),D265)</f>
        <v>1970000</v>
      </c>
    </row>
    <row r="266" spans="1:8" ht="15.75" customHeight="1" x14ac:dyDescent="0.25">
      <c r="A266" s="83" t="s">
        <v>6570</v>
      </c>
      <c r="B266" s="99" t="s">
        <v>6571</v>
      </c>
      <c r="C266" s="85" t="s">
        <v>6338</v>
      </c>
      <c r="D266" s="85" t="s">
        <v>6572</v>
      </c>
      <c r="E266" s="97">
        <v>6.4999999999999997E-3</v>
      </c>
      <c r="F266" s="97">
        <v>-9.4700000000000006E-2</v>
      </c>
      <c r="G266" s="85" t="s">
        <v>5796</v>
      </c>
      <c r="H266" s="84">
        <f>_xlfn.IFNA(LEFT(D266,LEN(D266)-1)*CHOOSE(MATCH(RIGHT(D266,1), {"K","M","B"},0),1000,1000000,1000000000),D266)</f>
        <v>1590000</v>
      </c>
    </row>
    <row r="267" spans="1:8" ht="15.75" customHeight="1" x14ac:dyDescent="0.25">
      <c r="A267" s="83" t="s">
        <v>6143</v>
      </c>
      <c r="B267" s="99" t="s">
        <v>6144</v>
      </c>
      <c r="C267" s="85" t="s">
        <v>6145</v>
      </c>
      <c r="D267" s="85" t="s">
        <v>6146</v>
      </c>
      <c r="E267" s="97">
        <v>4.0000000000000001E-3</v>
      </c>
      <c r="F267" s="97">
        <v>-0.1472</v>
      </c>
      <c r="G267" s="85" t="s">
        <v>6147</v>
      </c>
      <c r="H267" s="84">
        <f>_xlfn.IFNA(LEFT(D267,LEN(D267)-1)*CHOOSE(MATCH(RIGHT(D267,1), {"K","M","B"},0),1000,1000000,1000000000),D267)</f>
        <v>54170000</v>
      </c>
    </row>
    <row r="268" spans="1:8" ht="15.75" customHeight="1" x14ac:dyDescent="0.25">
      <c r="A268" s="83" t="s">
        <v>6362</v>
      </c>
      <c r="B268" s="99" t="s">
        <v>6363</v>
      </c>
      <c r="C268" s="85" t="s">
        <v>6145</v>
      </c>
      <c r="D268" s="85" t="s">
        <v>6364</v>
      </c>
      <c r="E268" s="97">
        <v>4.0000000000000001E-3</v>
      </c>
      <c r="F268" s="97">
        <v>-0.1487</v>
      </c>
      <c r="G268" s="85" t="s">
        <v>6365</v>
      </c>
      <c r="H268" s="84">
        <f>_xlfn.IFNA(LEFT(D268,LEN(D268)-1)*CHOOSE(MATCH(RIGHT(D268,1), {"K","M","B"},0),1000,1000000,1000000000),D268)</f>
        <v>8990000</v>
      </c>
    </row>
    <row r="269" spans="1:8" ht="15.75" customHeight="1" x14ac:dyDescent="0.25">
      <c r="A269" s="83" t="s">
        <v>6257</v>
      </c>
      <c r="B269" s="99" t="s">
        <v>6258</v>
      </c>
      <c r="C269" s="85" t="s">
        <v>6259</v>
      </c>
      <c r="D269" s="85" t="s">
        <v>6260</v>
      </c>
      <c r="E269" s="97">
        <v>6.7999999999999996E-3</v>
      </c>
      <c r="F269" s="97">
        <v>-0.16819999999999999</v>
      </c>
      <c r="G269" s="85" t="s">
        <v>6261</v>
      </c>
      <c r="H269" s="84">
        <f>_xlfn.IFNA(LEFT(D269,LEN(D269)-1)*CHOOSE(MATCH(RIGHT(D269,1), {"K","M","B"},0),1000,1000000,1000000000),D269)</f>
        <v>21770000</v>
      </c>
    </row>
    <row r="270" spans="1:8" ht="15.75" customHeight="1" x14ac:dyDescent="0.25">
      <c r="A270" s="70" t="s">
        <v>5897</v>
      </c>
      <c r="B270" s="71" t="s">
        <v>5898</v>
      </c>
      <c r="C270" s="72" t="s">
        <v>5899</v>
      </c>
      <c r="D270" s="72" t="s">
        <v>5900</v>
      </c>
      <c r="E270" s="91">
        <v>7.4999999999999997E-3</v>
      </c>
      <c r="F270" s="91">
        <v>0.28270000000000001</v>
      </c>
      <c r="G270" s="72" t="s">
        <v>5689</v>
      </c>
      <c r="H270" s="79">
        <f>_xlfn.IFNA(LEFT(D270,LEN(D270)-1)*CHOOSE(MATCH(RIGHT(D270,1), {"K","M","B"},0),1000,1000000,1000000000),D270)</f>
        <v>421470000</v>
      </c>
    </row>
    <row r="271" spans="1:8" ht="15.75" customHeight="1" x14ac:dyDescent="0.25">
      <c r="A271" s="83" t="s">
        <v>6453</v>
      </c>
      <c r="B271" s="99" t="s">
        <v>6454</v>
      </c>
      <c r="C271" s="85" t="s">
        <v>6455</v>
      </c>
      <c r="D271" s="85" t="s">
        <v>6456</v>
      </c>
      <c r="E271" s="97">
        <v>7.4999999999999997E-3</v>
      </c>
      <c r="F271" s="98" t="s">
        <v>5879</v>
      </c>
      <c r="G271" s="85" t="s">
        <v>5981</v>
      </c>
      <c r="H271" s="84">
        <f>_xlfn.IFNA(LEFT(D271,LEN(D271)-1)*CHOOSE(MATCH(RIGHT(D271,1), {"K","M","B"},0),1000,1000000,1000000000),D271)</f>
        <v>4920000</v>
      </c>
    </row>
    <row r="272" spans="1:8" ht="15.75" customHeight="1" x14ac:dyDescent="0.25">
      <c r="A272" s="83" t="s">
        <v>6600</v>
      </c>
      <c r="B272" s="99" t="s">
        <v>6601</v>
      </c>
      <c r="C272" s="85" t="s">
        <v>6455</v>
      </c>
      <c r="D272" s="85" t="s">
        <v>6602</v>
      </c>
      <c r="E272" s="97">
        <v>7.4999999999999997E-3</v>
      </c>
      <c r="F272" s="97">
        <v>-0.1182</v>
      </c>
      <c r="G272" s="85" t="s">
        <v>6603</v>
      </c>
      <c r="H272" s="84">
        <f>_xlfn.IFNA(LEFT(D272,LEN(D272)-1)*CHOOSE(MATCH(RIGHT(D272,1), {"K","M","B"},0),1000,1000000,1000000000),D272)</f>
        <v>837410</v>
      </c>
    </row>
    <row r="273" spans="1:8" ht="15.75" customHeight="1" x14ac:dyDescent="0.25">
      <c r="A273" s="70" t="s">
        <v>5740</v>
      </c>
      <c r="B273" s="71" t="s">
        <v>5741</v>
      </c>
      <c r="C273" s="72" t="s">
        <v>5742</v>
      </c>
      <c r="D273" s="72" t="s">
        <v>5743</v>
      </c>
      <c r="E273" s="91">
        <v>5.5999999999999999E-3</v>
      </c>
      <c r="F273" s="91">
        <v>4.0599999999999997E-2</v>
      </c>
      <c r="G273" s="72" t="s">
        <v>5744</v>
      </c>
      <c r="H273" s="79">
        <f>_xlfn.IFNA(LEFT(D273,LEN(D273)-1)*CHOOSE(MATCH(RIGHT(D273,1), {"K","M","B"},0),1000,1000000,1000000000),D273)</f>
        <v>1930000000</v>
      </c>
    </row>
    <row r="274" spans="1:8" ht="15.75" customHeight="1" x14ac:dyDescent="0.25">
      <c r="A274" s="70" t="s">
        <v>5909</v>
      </c>
      <c r="B274" s="71" t="s">
        <v>5910</v>
      </c>
      <c r="C274" s="72" t="s">
        <v>5742</v>
      </c>
      <c r="D274" s="72" t="s">
        <v>5911</v>
      </c>
      <c r="E274" s="91">
        <v>5.4999999999999997E-3</v>
      </c>
      <c r="F274" s="91">
        <v>-0.19389999999999999</v>
      </c>
      <c r="G274" s="72" t="s">
        <v>5912</v>
      </c>
      <c r="H274" s="79">
        <f>_xlfn.IFNA(LEFT(D274,LEN(D274)-1)*CHOOSE(MATCH(RIGHT(D274,1), {"K","M","B"},0),1000,1000000,1000000000),D274)</f>
        <v>371610000</v>
      </c>
    </row>
    <row r="275" spans="1:8" ht="15.75" customHeight="1" x14ac:dyDescent="0.25">
      <c r="A275" s="70" t="s">
        <v>5975</v>
      </c>
      <c r="B275" s="71" t="s">
        <v>5976</v>
      </c>
      <c r="C275" s="72" t="s">
        <v>5742</v>
      </c>
      <c r="D275" s="72" t="s">
        <v>5977</v>
      </c>
      <c r="E275" s="91">
        <v>6.1999999999999998E-3</v>
      </c>
      <c r="F275" s="91">
        <v>-7.5300000000000006E-2</v>
      </c>
      <c r="G275" s="72" t="s">
        <v>5796</v>
      </c>
      <c r="H275" s="79">
        <f>_xlfn.IFNA(LEFT(D275,LEN(D275)-1)*CHOOSE(MATCH(RIGHT(D275,1), {"K","M","B"},0),1000,1000000,1000000000),D275)</f>
        <v>233900000</v>
      </c>
    </row>
    <row r="276" spans="1:8" ht="15.75" customHeight="1" x14ac:dyDescent="0.25">
      <c r="A276" s="70" t="s">
        <v>5998</v>
      </c>
      <c r="B276" s="71" t="s">
        <v>5999</v>
      </c>
      <c r="C276" s="72" t="s">
        <v>5742</v>
      </c>
      <c r="D276" s="72" t="s">
        <v>6000</v>
      </c>
      <c r="E276" s="91">
        <v>3.5000000000000001E-3</v>
      </c>
      <c r="F276" s="91">
        <v>-6.3700000000000007E-2</v>
      </c>
      <c r="G276" s="72" t="s">
        <v>6001</v>
      </c>
      <c r="H276" s="79">
        <f>_xlfn.IFNA(LEFT(D276,LEN(D276)-1)*CHOOSE(MATCH(RIGHT(D276,1), {"K","M","B"},0),1000,1000000,1000000000),D276)</f>
        <v>183950000</v>
      </c>
    </row>
    <row r="277" spans="1:8" ht="15.75" customHeight="1" x14ac:dyDescent="0.25">
      <c r="A277" s="70" t="s">
        <v>6012</v>
      </c>
      <c r="B277" s="71" t="s">
        <v>6013</v>
      </c>
      <c r="C277" s="72" t="s">
        <v>5742</v>
      </c>
      <c r="D277" s="72" t="s">
        <v>6014</v>
      </c>
      <c r="E277" s="91">
        <v>4.8999999999999998E-3</v>
      </c>
      <c r="F277" s="91">
        <v>4.3299999999999998E-2</v>
      </c>
      <c r="G277" s="72" t="s">
        <v>5694</v>
      </c>
      <c r="H277" s="79">
        <f>_xlfn.IFNA(LEFT(D277,LEN(D277)-1)*CHOOSE(MATCH(RIGHT(D277,1), {"K","M","B"},0),1000,1000000,1000000000),D277)</f>
        <v>158040000</v>
      </c>
    </row>
    <row r="278" spans="1:8" ht="15.75" customHeight="1" x14ac:dyDescent="0.25">
      <c r="A278" s="83" t="s">
        <v>6102</v>
      </c>
      <c r="B278" s="99" t="s">
        <v>6103</v>
      </c>
      <c r="C278" s="85" t="s">
        <v>5742</v>
      </c>
      <c r="D278" s="85" t="s">
        <v>6104</v>
      </c>
      <c r="E278" s="97">
        <v>5.4999999999999997E-3</v>
      </c>
      <c r="F278" s="97">
        <v>4.3799999999999999E-2</v>
      </c>
      <c r="G278" s="85" t="s">
        <v>5904</v>
      </c>
      <c r="H278" s="84">
        <f>_xlfn.IFNA(LEFT(D278,LEN(D278)-1)*CHOOSE(MATCH(RIGHT(D278,1), {"K","M","B"},0),1000,1000000,1000000000),D278)</f>
        <v>69460000</v>
      </c>
    </row>
    <row r="279" spans="1:8" ht="15.75" customHeight="1" x14ac:dyDescent="0.25">
      <c r="A279" s="83" t="s">
        <v>6148</v>
      </c>
      <c r="B279" s="99" t="s">
        <v>6149</v>
      </c>
      <c r="C279" s="85" t="s">
        <v>5742</v>
      </c>
      <c r="D279" s="85" t="s">
        <v>6150</v>
      </c>
      <c r="E279" s="97">
        <v>5.0000000000000001E-3</v>
      </c>
      <c r="F279" s="97">
        <v>-0.21179999999999999</v>
      </c>
      <c r="G279" s="85" t="s">
        <v>5981</v>
      </c>
      <c r="H279" s="84">
        <f>_xlfn.IFNA(LEFT(D279,LEN(D279)-1)*CHOOSE(MATCH(RIGHT(D279,1), {"K","M","B"},0),1000,1000000,1000000000),D279)</f>
        <v>53210000</v>
      </c>
    </row>
    <row r="280" spans="1:8" ht="15.75" customHeight="1" x14ac:dyDescent="0.25">
      <c r="A280" s="83" t="s">
        <v>6167</v>
      </c>
      <c r="B280" s="99" t="s">
        <v>6168</v>
      </c>
      <c r="C280" s="85" t="s">
        <v>5742</v>
      </c>
      <c r="D280" s="85" t="s">
        <v>6169</v>
      </c>
      <c r="E280" s="97">
        <v>6.1000000000000004E-3</v>
      </c>
      <c r="F280" s="97">
        <v>1.7899999999999999E-2</v>
      </c>
      <c r="G280" s="85" t="s">
        <v>5755</v>
      </c>
      <c r="H280" s="84">
        <f>_xlfn.IFNA(LEFT(D280,LEN(D280)-1)*CHOOSE(MATCH(RIGHT(D280,1), {"K","M","B"},0),1000,1000000,1000000000),D280)</f>
        <v>46090000</v>
      </c>
    </row>
    <row r="281" spans="1:8" ht="15.75" customHeight="1" x14ac:dyDescent="0.25">
      <c r="A281" s="83" t="s">
        <v>6557</v>
      </c>
      <c r="B281" s="99" t="s">
        <v>6558</v>
      </c>
      <c r="C281" s="85" t="s">
        <v>5742</v>
      </c>
      <c r="D281" s="85" t="s">
        <v>6559</v>
      </c>
      <c r="E281" s="97">
        <v>6.8999999999999999E-3</v>
      </c>
      <c r="F281" s="97">
        <v>-6.3200000000000006E-2</v>
      </c>
      <c r="G281" s="85" t="s">
        <v>5744</v>
      </c>
      <c r="H281" s="84">
        <f>_xlfn.IFNA(LEFT(D281,LEN(D281)-1)*CHOOSE(MATCH(RIGHT(D281,1), {"K","M","B"},0),1000,1000000,1000000000),D281)</f>
        <v>2120000</v>
      </c>
    </row>
    <row r="282" spans="1:8" ht="15.75" customHeight="1" x14ac:dyDescent="0.25">
      <c r="A282" s="83" t="s">
        <v>6566</v>
      </c>
      <c r="B282" s="99" t="s">
        <v>6567</v>
      </c>
      <c r="C282" s="85" t="s">
        <v>5742</v>
      </c>
      <c r="D282" s="85" t="s">
        <v>6568</v>
      </c>
      <c r="E282" s="97">
        <v>7.4999999999999997E-3</v>
      </c>
      <c r="F282" s="98" t="s">
        <v>5879</v>
      </c>
      <c r="G282" s="85" t="s">
        <v>6569</v>
      </c>
      <c r="H282" s="84">
        <f>_xlfn.IFNA(LEFT(D282,LEN(D282)-1)*CHOOSE(MATCH(RIGHT(D282,1), {"K","M","B"},0),1000,1000000,1000000000),D282)</f>
        <v>1660000</v>
      </c>
    </row>
    <row r="283" spans="1:8" ht="15.75" customHeight="1" x14ac:dyDescent="0.25">
      <c r="A283" s="70" t="s">
        <v>6643</v>
      </c>
      <c r="B283" s="100" t="s">
        <v>6644</v>
      </c>
      <c r="C283" s="72" t="s">
        <v>5742</v>
      </c>
      <c r="D283" s="72" t="s">
        <v>5879</v>
      </c>
      <c r="E283" s="91">
        <v>5.0000000000000001E-3</v>
      </c>
      <c r="F283" s="92" t="s">
        <v>5879</v>
      </c>
      <c r="G283" s="72" t="s">
        <v>5981</v>
      </c>
      <c r="H283" s="79" t="e">
        <f>_xlfn.IFNA(LEFT(D283,LEN(D283)-1)*CHOOSE(MATCH(RIGHT(D283,1), {"K","M","B"},0),1000,1000000,1000000000),D283)</f>
        <v>#VALUE!</v>
      </c>
    </row>
    <row r="284" spans="1:8" ht="15.75" customHeight="1" x14ac:dyDescent="0.25">
      <c r="A284" s="83" t="s">
        <v>6497</v>
      </c>
      <c r="B284" s="99" t="s">
        <v>6498</v>
      </c>
      <c r="C284" s="85" t="s">
        <v>6499</v>
      </c>
      <c r="D284" s="85" t="s">
        <v>6500</v>
      </c>
      <c r="E284" s="97">
        <v>7.4999999999999997E-3</v>
      </c>
      <c r="F284" s="97">
        <v>-0.1613</v>
      </c>
      <c r="G284" s="85" t="s">
        <v>5744</v>
      </c>
      <c r="H284" s="84">
        <f>_xlfn.IFNA(LEFT(D284,LEN(D284)-1)*CHOOSE(MATCH(RIGHT(D284,1), {"K","M","B"},0),1000,1000000,1000000000),D284)</f>
        <v>3870000</v>
      </c>
    </row>
    <row r="285" spans="1:8" ht="15.75" customHeight="1" x14ac:dyDescent="0.25">
      <c r="A285" s="83" t="s">
        <v>6521</v>
      </c>
      <c r="B285" s="99" t="s">
        <v>6522</v>
      </c>
      <c r="C285" s="85" t="s">
        <v>6523</v>
      </c>
      <c r="D285" s="85" t="s">
        <v>6524</v>
      </c>
      <c r="E285" s="97">
        <v>5.8999999999999999E-3</v>
      </c>
      <c r="F285" s="97">
        <v>-9.1000000000000004E-3</v>
      </c>
      <c r="G285" s="85" t="s">
        <v>5709</v>
      </c>
      <c r="H285" s="84">
        <f>_xlfn.IFNA(LEFT(D285,LEN(D285)-1)*CHOOSE(MATCH(RIGHT(D285,1), {"K","M","B"},0),1000,1000000,1000000000),D285)</f>
        <v>3180000</v>
      </c>
    </row>
    <row r="286" spans="1:8" ht="15.75" customHeight="1" x14ac:dyDescent="0.25">
      <c r="A286" s="83" t="s">
        <v>6508</v>
      </c>
      <c r="B286" s="99" t="s">
        <v>6509</v>
      </c>
      <c r="C286" s="85" t="s">
        <v>6510</v>
      </c>
      <c r="D286" s="85" t="s">
        <v>6511</v>
      </c>
      <c r="E286" s="97">
        <v>8.5000000000000006E-3</v>
      </c>
      <c r="F286" s="97">
        <v>-0.1283</v>
      </c>
      <c r="G286" s="85" t="s">
        <v>5981</v>
      </c>
      <c r="H286" s="84">
        <f>_xlfn.IFNA(LEFT(D286,LEN(D286)-1)*CHOOSE(MATCH(RIGHT(D286,1), {"K","M","B"},0),1000,1000000,1000000000),D286)</f>
        <v>3410000</v>
      </c>
    </row>
    <row r="287" spans="1:8" ht="15.75" customHeight="1" x14ac:dyDescent="0.25">
      <c r="A287" s="83" t="s">
        <v>6174</v>
      </c>
      <c r="B287" s="99" t="s">
        <v>6175</v>
      </c>
      <c r="C287" s="85" t="s">
        <v>6176</v>
      </c>
      <c r="D287" s="85" t="s">
        <v>6177</v>
      </c>
      <c r="E287" s="97">
        <v>4.4999999999999997E-3</v>
      </c>
      <c r="F287" s="97">
        <v>1.09E-2</v>
      </c>
      <c r="G287" s="85" t="s">
        <v>6178</v>
      </c>
      <c r="H287" s="84">
        <f>_xlfn.IFNA(LEFT(D287,LEN(D287)-1)*CHOOSE(MATCH(RIGHT(D287,1), {"K","M","B"},0),1000,1000000,1000000000),D287)</f>
        <v>45360000</v>
      </c>
    </row>
    <row r="288" spans="1:8" ht="15.75" customHeight="1" x14ac:dyDescent="0.25">
      <c r="A288" s="83" t="s">
        <v>6489</v>
      </c>
      <c r="B288" s="99" t="s">
        <v>6490</v>
      </c>
      <c r="C288" s="85" t="s">
        <v>6176</v>
      </c>
      <c r="D288" s="85" t="s">
        <v>6491</v>
      </c>
      <c r="E288" s="97">
        <v>4.4999999999999997E-3</v>
      </c>
      <c r="F288" s="97">
        <v>-0.10390000000000001</v>
      </c>
      <c r="G288" s="85" t="s">
        <v>6492</v>
      </c>
      <c r="H288" s="84">
        <f>_xlfn.IFNA(LEFT(D288,LEN(D288)-1)*CHOOSE(MATCH(RIGHT(D288,1), {"K","M","B"},0),1000,1000000,1000000000),D288)</f>
        <v>4200000</v>
      </c>
    </row>
    <row r="289" spans="1:8" ht="15.75" customHeight="1" x14ac:dyDescent="0.25">
      <c r="A289" s="83" t="s">
        <v>6563</v>
      </c>
      <c r="B289" s="99" t="s">
        <v>6564</v>
      </c>
      <c r="C289" s="85" t="s">
        <v>6176</v>
      </c>
      <c r="D289" s="85" t="s">
        <v>6565</v>
      </c>
      <c r="E289" s="97">
        <v>4.4999999999999997E-3</v>
      </c>
      <c r="F289" s="98" t="s">
        <v>5879</v>
      </c>
      <c r="G289" s="85" t="s">
        <v>5717</v>
      </c>
      <c r="H289" s="84">
        <f>_xlfn.IFNA(LEFT(D289,LEN(D289)-1)*CHOOSE(MATCH(RIGHT(D289,1), {"K","M","B"},0),1000,1000000,1000000000),D289)</f>
        <v>1790000</v>
      </c>
    </row>
    <row r="290" spans="1:8" ht="15.75" customHeight="1" x14ac:dyDescent="0.25">
      <c r="A290" s="83" t="s">
        <v>6597</v>
      </c>
      <c r="B290" s="99" t="s">
        <v>6598</v>
      </c>
      <c r="C290" s="85" t="s">
        <v>6176</v>
      </c>
      <c r="D290" s="85" t="s">
        <v>6599</v>
      </c>
      <c r="E290" s="97">
        <v>4.4999999999999997E-3</v>
      </c>
      <c r="F290" s="97">
        <v>-0.20830000000000001</v>
      </c>
      <c r="G290" s="85" t="s">
        <v>5774</v>
      </c>
      <c r="H290" s="84">
        <f>_xlfn.IFNA(LEFT(D290,LEN(D290)-1)*CHOOSE(MATCH(RIGHT(D290,1), {"K","M","B"},0),1000,1000000,1000000000),D290)</f>
        <v>868240</v>
      </c>
    </row>
    <row r="291" spans="1:8" ht="15.75" customHeight="1" thickBot="1" x14ac:dyDescent="0.3">
      <c r="B291" s="101"/>
      <c r="C291" s="75"/>
      <c r="D291" s="75"/>
      <c r="E291" s="93"/>
      <c r="F291" s="93"/>
      <c r="G291" s="76"/>
      <c r="H291" s="80"/>
    </row>
    <row r="292" spans="1:8" ht="15.75" customHeight="1" thickBot="1" x14ac:dyDescent="0.3">
      <c r="B292" s="102"/>
      <c r="C292" s="77"/>
      <c r="D292" s="77"/>
      <c r="E292" s="94"/>
      <c r="F292" s="94"/>
      <c r="G292" s="78"/>
      <c r="H292" s="81"/>
    </row>
    <row r="293" spans="1:8" ht="15.75" customHeight="1" thickBot="1" x14ac:dyDescent="0.3">
      <c r="B293" s="102"/>
      <c r="C293" s="77"/>
      <c r="D293" s="77"/>
      <c r="E293" s="94"/>
      <c r="F293" s="94"/>
      <c r="G293" s="78"/>
      <c r="H293" s="81"/>
    </row>
    <row r="294" spans="1:8" ht="15.75" customHeight="1" thickBot="1" x14ac:dyDescent="0.3">
      <c r="B294" s="102"/>
      <c r="C294" s="77"/>
      <c r="D294" s="77"/>
      <c r="E294" s="94"/>
      <c r="F294" s="94"/>
      <c r="G294" s="78"/>
      <c r="H294" s="81"/>
    </row>
  </sheetData>
  <sortState xmlns:xlrd2="http://schemas.microsoft.com/office/spreadsheetml/2017/richdata2" ref="A2:G294">
    <sortCondition ref="C2:C294"/>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4"/>
    <col min="2" max="2" width="28.140625" style="24" customWidth="1"/>
    <col min="3" max="3" width="20.5703125" style="24" customWidth="1"/>
    <col min="4" max="4" width="19" style="24" customWidth="1"/>
    <col min="5" max="7" width="9.140625" style="24"/>
    <col min="8" max="9" width="9.140625" style="33"/>
    <col min="10" max="10" width="9.140625" style="44"/>
    <col min="11" max="11" width="36.85546875" style="33" customWidth="1"/>
    <col min="12" max="12" width="112" style="24" customWidth="1"/>
    <col min="13" max="16" width="9.140625" style="24"/>
    <col min="17" max="16384" width="9.140625" style="33"/>
  </cols>
  <sheetData>
    <row r="1" spans="1:16" s="39" customFormat="1" ht="60" x14ac:dyDescent="0.25">
      <c r="A1" s="42" t="s">
        <v>3205</v>
      </c>
      <c r="B1" s="42" t="s">
        <v>4420</v>
      </c>
      <c r="C1" s="42" t="s">
        <v>4421</v>
      </c>
      <c r="D1" s="42" t="s">
        <v>4422</v>
      </c>
      <c r="E1" s="42" t="s">
        <v>1301</v>
      </c>
      <c r="F1" s="42" t="s">
        <v>4739</v>
      </c>
      <c r="G1" s="42" t="s">
        <v>4738</v>
      </c>
      <c r="H1" s="39" t="s">
        <v>4056</v>
      </c>
      <c r="I1" s="39" t="s">
        <v>4030</v>
      </c>
      <c r="J1" s="43" t="s">
        <v>4034</v>
      </c>
      <c r="K1" s="43" t="s">
        <v>0</v>
      </c>
      <c r="L1" s="42" t="s">
        <v>4740</v>
      </c>
      <c r="M1" s="42" t="s">
        <v>4741</v>
      </c>
      <c r="N1" s="42" t="s">
        <v>4742</v>
      </c>
      <c r="O1" s="42" t="s">
        <v>4743</v>
      </c>
      <c r="P1" s="42"/>
    </row>
    <row r="2" spans="1:16" ht="120" x14ac:dyDescent="0.25">
      <c r="A2" s="24" t="s">
        <v>746</v>
      </c>
      <c r="B2" s="24" t="s">
        <v>5068</v>
      </c>
      <c r="C2" s="24" t="s">
        <v>4434</v>
      </c>
      <c r="D2" s="24" t="s">
        <v>4451</v>
      </c>
      <c r="E2" s="24" t="s">
        <v>4425</v>
      </c>
      <c r="F2" s="24">
        <v>40000</v>
      </c>
      <c r="G2" s="24">
        <v>14037.4</v>
      </c>
      <c r="J2" s="46" t="s">
        <v>158</v>
      </c>
      <c r="K2" s="56" t="s">
        <v>5602</v>
      </c>
      <c r="L2" s="24" t="s">
        <v>5298</v>
      </c>
      <c r="M2" s="24">
        <v>1034</v>
      </c>
      <c r="N2" s="24">
        <v>32.299999999999997</v>
      </c>
      <c r="O2" s="24">
        <v>24.4</v>
      </c>
    </row>
    <row r="3" spans="1:16" ht="135" x14ac:dyDescent="0.25">
      <c r="A3" s="24" t="s">
        <v>794</v>
      </c>
      <c r="B3" s="24" t="s">
        <v>1247</v>
      </c>
      <c r="C3" s="24" t="s">
        <v>902</v>
      </c>
      <c r="D3" s="24" t="s">
        <v>4532</v>
      </c>
      <c r="E3" s="24" t="s">
        <v>4425</v>
      </c>
      <c r="F3" s="24">
        <v>13900</v>
      </c>
      <c r="G3" s="24">
        <v>11892.6</v>
      </c>
      <c r="J3" s="46" t="s">
        <v>158</v>
      </c>
      <c r="K3" s="56" t="s">
        <v>5602</v>
      </c>
      <c r="L3" s="24" t="s">
        <v>5312</v>
      </c>
      <c r="M3" s="24">
        <v>99.6</v>
      </c>
      <c r="N3" s="24">
        <v>5.3</v>
      </c>
      <c r="O3" s="24">
        <v>5</v>
      </c>
    </row>
    <row r="4" spans="1:16" ht="135" x14ac:dyDescent="0.25">
      <c r="A4" s="24" t="s">
        <v>546</v>
      </c>
      <c r="B4" s="24" t="s">
        <v>5081</v>
      </c>
      <c r="C4" s="24" t="s">
        <v>4430</v>
      </c>
      <c r="D4" s="24" t="s">
        <v>4461</v>
      </c>
      <c r="E4" s="24" t="s">
        <v>4425</v>
      </c>
      <c r="F4" s="24">
        <v>80000</v>
      </c>
      <c r="G4" s="24">
        <v>45653.4</v>
      </c>
      <c r="J4" s="46" t="s">
        <v>158</v>
      </c>
      <c r="K4" s="56" t="s">
        <v>5602</v>
      </c>
      <c r="L4" s="24" t="s">
        <v>5315</v>
      </c>
      <c r="M4" s="24">
        <v>4950</v>
      </c>
      <c r="N4" s="24">
        <v>83.3</v>
      </c>
      <c r="O4" s="24">
        <v>45.4</v>
      </c>
    </row>
    <row r="5" spans="1:16" ht="135" x14ac:dyDescent="0.25">
      <c r="A5" s="24" t="s">
        <v>725</v>
      </c>
      <c r="B5" s="24" t="s">
        <v>1207</v>
      </c>
      <c r="C5" s="24" t="s">
        <v>4423</v>
      </c>
      <c r="D5" s="24" t="s">
        <v>4459</v>
      </c>
      <c r="E5" s="24" t="s">
        <v>4425</v>
      </c>
      <c r="F5" s="24">
        <v>32000</v>
      </c>
      <c r="G5" s="24">
        <v>16167.5</v>
      </c>
      <c r="J5" s="46" t="s">
        <v>158</v>
      </c>
      <c r="K5" s="56" t="s">
        <v>5602</v>
      </c>
      <c r="L5" s="24" t="s">
        <v>5320</v>
      </c>
      <c r="M5" s="24">
        <v>2800.2</v>
      </c>
      <c r="N5" s="24">
        <v>155.6</v>
      </c>
      <c r="O5" s="24">
        <v>60.9</v>
      </c>
    </row>
    <row r="6" spans="1:16" ht="135" x14ac:dyDescent="0.25">
      <c r="A6" s="24" t="s">
        <v>563</v>
      </c>
      <c r="B6" s="24" t="s">
        <v>5088</v>
      </c>
      <c r="C6" s="24" t="s">
        <v>4434</v>
      </c>
      <c r="D6" s="24" t="s">
        <v>4451</v>
      </c>
      <c r="E6" s="24" t="s">
        <v>4425</v>
      </c>
      <c r="F6" s="24">
        <v>62000</v>
      </c>
      <c r="G6" s="24">
        <v>38827.699999999997</v>
      </c>
      <c r="J6" s="46" t="s">
        <v>158</v>
      </c>
      <c r="K6" s="56" t="s">
        <v>5602</v>
      </c>
      <c r="L6" s="24" t="s">
        <v>5323</v>
      </c>
      <c r="M6" s="24">
        <v>4771.3</v>
      </c>
      <c r="O6" s="24">
        <v>180.3</v>
      </c>
    </row>
    <row r="7" spans="1:16" ht="120" x14ac:dyDescent="0.25">
      <c r="A7" s="24" t="s">
        <v>716</v>
      </c>
      <c r="B7" s="24" t="s">
        <v>715</v>
      </c>
      <c r="C7" s="24" t="s">
        <v>4423</v>
      </c>
      <c r="D7" s="24" t="s">
        <v>4489</v>
      </c>
      <c r="E7" s="24" t="s">
        <v>4425</v>
      </c>
      <c r="F7" s="24">
        <v>7658</v>
      </c>
      <c r="G7" s="24">
        <v>17380.099999999999</v>
      </c>
      <c r="J7" s="46" t="s">
        <v>158</v>
      </c>
      <c r="L7" s="24" t="s">
        <v>5343</v>
      </c>
      <c r="M7" s="24">
        <v>3724</v>
      </c>
      <c r="N7" s="24">
        <v>95</v>
      </c>
      <c r="O7" s="24">
        <v>48.7</v>
      </c>
    </row>
    <row r="8" spans="1:16" ht="120" x14ac:dyDescent="0.25">
      <c r="A8" s="24" t="s">
        <v>460</v>
      </c>
      <c r="B8" s="24" t="s">
        <v>5126</v>
      </c>
      <c r="C8" s="24" t="s">
        <v>4428</v>
      </c>
      <c r="D8" s="24" t="s">
        <v>4476</v>
      </c>
      <c r="E8" s="24" t="s">
        <v>4425</v>
      </c>
      <c r="F8" s="24">
        <v>67000</v>
      </c>
      <c r="G8" s="24">
        <v>190627.7</v>
      </c>
      <c r="J8" s="51" t="s">
        <v>158</v>
      </c>
      <c r="K8" s="56"/>
      <c r="L8" s="24" t="s">
        <v>5369</v>
      </c>
      <c r="M8" s="24">
        <v>23591</v>
      </c>
      <c r="N8" s="24">
        <v>58.7</v>
      </c>
      <c r="O8" s="24">
        <v>35.200000000000003</v>
      </c>
    </row>
    <row r="9" spans="1:16" ht="105" x14ac:dyDescent="0.25">
      <c r="A9" s="24" t="s">
        <v>638</v>
      </c>
      <c r="B9" s="24" t="s">
        <v>5143</v>
      </c>
      <c r="C9" s="24" t="s">
        <v>922</v>
      </c>
      <c r="D9" s="24" t="s">
        <v>4510</v>
      </c>
      <c r="E9" s="24" t="s">
        <v>4425</v>
      </c>
      <c r="F9" s="24">
        <v>4013</v>
      </c>
      <c r="G9" s="24">
        <v>25847.8</v>
      </c>
      <c r="J9" s="51" t="s">
        <v>158</v>
      </c>
      <c r="L9" s="24" t="s">
        <v>5394</v>
      </c>
      <c r="M9" s="24">
        <v>5583.8</v>
      </c>
      <c r="N9" s="24">
        <v>186.6</v>
      </c>
      <c r="O9" s="24">
        <v>65.099999999999994</v>
      </c>
    </row>
    <row r="10" spans="1:16" ht="135" x14ac:dyDescent="0.25">
      <c r="A10" s="24" t="s">
        <v>511</v>
      </c>
      <c r="B10" s="24" t="s">
        <v>510</v>
      </c>
      <c r="C10" s="24" t="s">
        <v>4434</v>
      </c>
      <c r="D10" s="24" t="s">
        <v>4570</v>
      </c>
      <c r="E10" s="24" t="s">
        <v>4425</v>
      </c>
      <c r="F10" s="24">
        <v>186000</v>
      </c>
      <c r="G10" s="24">
        <v>79565.2</v>
      </c>
      <c r="J10" s="51" t="s">
        <v>158</v>
      </c>
      <c r="K10" s="57" t="s">
        <v>5609</v>
      </c>
      <c r="L10" s="24" t="s">
        <v>5395</v>
      </c>
      <c r="M10" s="24">
        <v>97249</v>
      </c>
      <c r="N10" s="24">
        <v>265.8</v>
      </c>
      <c r="O10" s="24">
        <v>72.7</v>
      </c>
    </row>
    <row r="11" spans="1:16" ht="120" x14ac:dyDescent="0.25">
      <c r="A11" s="24" t="s">
        <v>713</v>
      </c>
      <c r="B11" s="24" t="s">
        <v>5148</v>
      </c>
      <c r="C11" s="24" t="s">
        <v>902</v>
      </c>
      <c r="D11" s="24" t="s">
        <v>4438</v>
      </c>
      <c r="E11" s="24" t="s">
        <v>4425</v>
      </c>
      <c r="F11" s="24">
        <v>8400</v>
      </c>
      <c r="G11" s="24">
        <v>18172.3</v>
      </c>
      <c r="J11" s="51" t="s">
        <v>158</v>
      </c>
      <c r="K11" s="50"/>
      <c r="L11" s="24" t="s">
        <v>5402</v>
      </c>
      <c r="M11" s="24">
        <v>3790</v>
      </c>
      <c r="N11" s="24">
        <v>119.4</v>
      </c>
      <c r="O11" s="24">
        <v>54.4</v>
      </c>
    </row>
    <row r="12" spans="1:16" ht="135" x14ac:dyDescent="0.25">
      <c r="A12" s="24" t="s">
        <v>684</v>
      </c>
      <c r="B12" s="24" t="s">
        <v>5153</v>
      </c>
      <c r="C12" s="24" t="s">
        <v>902</v>
      </c>
      <c r="D12" s="24" t="s">
        <v>4532</v>
      </c>
      <c r="E12" s="24" t="s">
        <v>4425</v>
      </c>
      <c r="F12" s="24">
        <v>6452</v>
      </c>
      <c r="G12" s="24">
        <v>16730.8</v>
      </c>
      <c r="J12" s="51" t="s">
        <v>158</v>
      </c>
      <c r="K12" s="50"/>
      <c r="L12" s="24" t="s">
        <v>5410</v>
      </c>
      <c r="M12" s="24">
        <v>843.4</v>
      </c>
      <c r="N12" s="24">
        <v>47.3</v>
      </c>
      <c r="O12" s="24">
        <v>32.1</v>
      </c>
    </row>
    <row r="13" spans="1:16" ht="135" x14ac:dyDescent="0.25">
      <c r="A13" s="24" t="s">
        <v>695</v>
      </c>
      <c r="B13" s="24" t="s">
        <v>5155</v>
      </c>
      <c r="C13" s="24" t="s">
        <v>4430</v>
      </c>
      <c r="D13" s="24" t="s">
        <v>4469</v>
      </c>
      <c r="E13" s="24" t="s">
        <v>5104</v>
      </c>
      <c r="F13" s="24">
        <v>16000</v>
      </c>
      <c r="G13" s="24">
        <v>23178.7</v>
      </c>
      <c r="J13" s="51" t="s">
        <v>158</v>
      </c>
      <c r="K13" s="50"/>
      <c r="L13" s="24" t="s">
        <v>5414</v>
      </c>
      <c r="M13" s="24">
        <v>0</v>
      </c>
      <c r="N13" s="24">
        <v>0</v>
      </c>
      <c r="O13" s="24">
        <v>0</v>
      </c>
    </row>
    <row r="14" spans="1:16" ht="120" x14ac:dyDescent="0.25">
      <c r="A14" s="24" t="s">
        <v>681</v>
      </c>
      <c r="B14" s="24" t="s">
        <v>5156</v>
      </c>
      <c r="C14" s="24" t="s">
        <v>902</v>
      </c>
      <c r="D14" s="24" t="s">
        <v>4491</v>
      </c>
      <c r="E14" s="24" t="s">
        <v>4425</v>
      </c>
      <c r="F14" s="24">
        <v>21800</v>
      </c>
      <c r="G14" s="24">
        <v>24782.2</v>
      </c>
      <c r="J14" s="51" t="s">
        <v>158</v>
      </c>
      <c r="K14" s="50"/>
      <c r="L14" s="24" t="s">
        <v>5416</v>
      </c>
      <c r="M14" s="24">
        <v>2372</v>
      </c>
      <c r="N14" s="24">
        <v>129.80000000000001</v>
      </c>
      <c r="O14" s="24">
        <v>56.5</v>
      </c>
    </row>
    <row r="15" spans="1:16" ht="135" x14ac:dyDescent="0.25">
      <c r="A15" s="24" t="s">
        <v>514</v>
      </c>
      <c r="B15" s="24" t="s">
        <v>962</v>
      </c>
      <c r="C15" s="24" t="s">
        <v>866</v>
      </c>
      <c r="D15" s="24" t="s">
        <v>5112</v>
      </c>
      <c r="E15" s="24" t="s">
        <v>4425</v>
      </c>
      <c r="F15" s="24">
        <v>9381</v>
      </c>
      <c r="G15" s="24">
        <v>68819.8</v>
      </c>
      <c r="J15" s="51" t="s">
        <v>158</v>
      </c>
      <c r="K15" s="50"/>
      <c r="L15" s="24" t="s">
        <v>5430</v>
      </c>
      <c r="M15" s="24">
        <v>12394</v>
      </c>
      <c r="N15" s="24">
        <v>57.5</v>
      </c>
      <c r="O15" s="24">
        <v>36.5</v>
      </c>
    </row>
    <row r="16" spans="1:16" ht="135" x14ac:dyDescent="0.25">
      <c r="A16" s="24" t="s">
        <v>724</v>
      </c>
      <c r="B16" s="24" t="s">
        <v>5168</v>
      </c>
      <c r="C16" s="24" t="s">
        <v>902</v>
      </c>
      <c r="D16" s="24" t="s">
        <v>4491</v>
      </c>
      <c r="E16" s="24" t="s">
        <v>4425</v>
      </c>
      <c r="F16" s="24">
        <v>7075</v>
      </c>
      <c r="G16" s="24">
        <v>16094.4</v>
      </c>
      <c r="J16" s="51" t="s">
        <v>158</v>
      </c>
      <c r="K16" s="50"/>
      <c r="L16" s="24" t="s">
        <v>5431</v>
      </c>
      <c r="M16" s="24">
        <v>1190.0999999999999</v>
      </c>
      <c r="N16" s="24">
        <v>43.7</v>
      </c>
      <c r="O16" s="24">
        <v>30.4</v>
      </c>
    </row>
    <row r="17" spans="1:15" ht="105" x14ac:dyDescent="0.25">
      <c r="A17" s="24" t="s">
        <v>664</v>
      </c>
      <c r="B17" s="24" t="s">
        <v>5175</v>
      </c>
      <c r="C17" s="24" t="s">
        <v>902</v>
      </c>
      <c r="D17" s="24" t="s">
        <v>4491</v>
      </c>
      <c r="E17" s="24" t="s">
        <v>4425</v>
      </c>
      <c r="F17" s="24">
        <v>15900</v>
      </c>
      <c r="G17" s="24">
        <v>22800.3</v>
      </c>
      <c r="J17" s="51" t="s">
        <v>158</v>
      </c>
      <c r="L17" s="24" t="s">
        <v>5437</v>
      </c>
      <c r="M17" s="24">
        <v>3422.2</v>
      </c>
      <c r="N17" s="24">
        <v>39.5</v>
      </c>
      <c r="O17" s="24">
        <v>28.3</v>
      </c>
    </row>
    <row r="18" spans="1:15" ht="135" x14ac:dyDescent="0.25">
      <c r="A18" s="24" t="s">
        <v>730</v>
      </c>
      <c r="B18" s="24" t="s">
        <v>5180</v>
      </c>
      <c r="C18" s="24" t="s">
        <v>902</v>
      </c>
      <c r="D18" s="24" t="s">
        <v>4599</v>
      </c>
      <c r="E18" s="24" t="s">
        <v>4425</v>
      </c>
      <c r="F18" s="24">
        <v>30309</v>
      </c>
      <c r="G18" s="24">
        <v>20530.2</v>
      </c>
      <c r="J18" s="51" t="s">
        <v>158</v>
      </c>
      <c r="K18" s="57" t="s">
        <v>5611</v>
      </c>
      <c r="L18" s="24" t="s">
        <v>5441</v>
      </c>
      <c r="M18" s="24">
        <v>944.9</v>
      </c>
      <c r="N18" s="24">
        <v>32.299999999999997</v>
      </c>
      <c r="O18" s="24">
        <v>24.4</v>
      </c>
    </row>
    <row r="19" spans="1:15" ht="120" x14ac:dyDescent="0.25">
      <c r="A19" s="24" t="s">
        <v>465</v>
      </c>
      <c r="B19" s="24" t="s">
        <v>5193</v>
      </c>
      <c r="C19" s="24" t="s">
        <v>4434</v>
      </c>
      <c r="D19" s="24" t="s">
        <v>5194</v>
      </c>
      <c r="E19" s="24" t="s">
        <v>4425</v>
      </c>
      <c r="F19" s="24">
        <v>220000</v>
      </c>
      <c r="G19" s="24">
        <v>153681.70000000001</v>
      </c>
      <c r="J19" s="53" t="s">
        <v>158</v>
      </c>
      <c r="K19" s="50"/>
      <c r="L19" s="24" t="s">
        <v>5456</v>
      </c>
      <c r="M19" s="24">
        <v>23881</v>
      </c>
      <c r="O19" s="24">
        <v>107.1</v>
      </c>
    </row>
    <row r="20" spans="1:15" ht="90" x14ac:dyDescent="0.25">
      <c r="A20" s="24" t="s">
        <v>671</v>
      </c>
      <c r="B20" s="24" t="s">
        <v>5204</v>
      </c>
      <c r="C20" s="24" t="s">
        <v>4512</v>
      </c>
      <c r="D20" s="24" t="s">
        <v>4546</v>
      </c>
      <c r="E20" s="24" t="s">
        <v>4425</v>
      </c>
      <c r="F20" s="24">
        <v>13000</v>
      </c>
      <c r="G20" s="24">
        <v>24612.2</v>
      </c>
      <c r="J20" s="53" t="s">
        <v>158</v>
      </c>
      <c r="K20" s="50"/>
      <c r="L20" s="24" t="s">
        <v>5469</v>
      </c>
      <c r="M20" s="24">
        <v>3985</v>
      </c>
      <c r="N20" s="24">
        <v>90.8</v>
      </c>
      <c r="O20" s="24">
        <v>47.6</v>
      </c>
    </row>
    <row r="21" spans="1:15" ht="120" x14ac:dyDescent="0.25">
      <c r="A21" s="24" t="s">
        <v>547</v>
      </c>
      <c r="B21" s="24" t="s">
        <v>5209</v>
      </c>
      <c r="C21" s="24" t="s">
        <v>902</v>
      </c>
      <c r="D21" s="24" t="s">
        <v>4592</v>
      </c>
      <c r="E21" s="24" t="s">
        <v>4425</v>
      </c>
      <c r="F21" s="24">
        <v>4237</v>
      </c>
      <c r="G21" s="24">
        <v>40574.5</v>
      </c>
      <c r="J21" s="53" t="s">
        <v>158</v>
      </c>
      <c r="K21" s="50"/>
      <c r="L21" s="24" t="s">
        <v>5476</v>
      </c>
      <c r="M21" s="24">
        <v>4160.3999999999996</v>
      </c>
      <c r="O21" s="24">
        <v>107.2</v>
      </c>
    </row>
    <row r="22" spans="1:15" ht="135" x14ac:dyDescent="0.25">
      <c r="A22" s="24" t="s">
        <v>586</v>
      </c>
      <c r="B22" s="24" t="s">
        <v>5211</v>
      </c>
      <c r="C22" s="24" t="s">
        <v>4430</v>
      </c>
      <c r="D22" s="24" t="s">
        <v>4735</v>
      </c>
      <c r="E22" s="24" t="s">
        <v>4425</v>
      </c>
      <c r="F22" s="24">
        <v>16500</v>
      </c>
      <c r="G22" s="24">
        <v>32307</v>
      </c>
      <c r="J22" s="53" t="s">
        <v>158</v>
      </c>
      <c r="L22" s="24" t="s">
        <v>5478</v>
      </c>
      <c r="M22" s="24">
        <v>1639.6</v>
      </c>
      <c r="O22" s="24">
        <v>91.2</v>
      </c>
    </row>
    <row r="23" spans="1:15" ht="135" x14ac:dyDescent="0.25">
      <c r="A23" s="24" t="s">
        <v>464</v>
      </c>
      <c r="B23" s="24" t="s">
        <v>5212</v>
      </c>
      <c r="C23" s="24" t="s">
        <v>904</v>
      </c>
      <c r="D23" s="24" t="s">
        <v>4445</v>
      </c>
      <c r="E23" s="24" t="s">
        <v>4425</v>
      </c>
      <c r="F23" s="24">
        <v>14900</v>
      </c>
      <c r="G23" s="24">
        <v>142529.60000000001</v>
      </c>
      <c r="J23" s="53" t="s">
        <v>158</v>
      </c>
      <c r="K23" s="58" t="s">
        <v>5613</v>
      </c>
      <c r="L23" s="24" t="s">
        <v>5479</v>
      </c>
      <c r="M23" s="24">
        <v>48092</v>
      </c>
      <c r="N23" s="24">
        <v>131.19999999999999</v>
      </c>
      <c r="O23" s="24">
        <v>56.8</v>
      </c>
    </row>
    <row r="24" spans="1:15" ht="120" x14ac:dyDescent="0.25">
      <c r="A24" s="24" t="s">
        <v>459</v>
      </c>
      <c r="B24" s="24" t="s">
        <v>5215</v>
      </c>
      <c r="C24" s="24" t="s">
        <v>4434</v>
      </c>
      <c r="D24" s="24" t="s">
        <v>4688</v>
      </c>
      <c r="E24" s="24" t="s">
        <v>4425</v>
      </c>
      <c r="F24" s="24">
        <v>73300</v>
      </c>
      <c r="G24" s="24">
        <v>227690.7</v>
      </c>
      <c r="J24" s="53" t="s">
        <v>158</v>
      </c>
      <c r="K24" s="50"/>
      <c r="L24" s="24" t="s">
        <v>5482</v>
      </c>
      <c r="M24" s="24">
        <v>9417</v>
      </c>
      <c r="N24" s="24">
        <v>63.1</v>
      </c>
      <c r="O24" s="24">
        <v>38.700000000000003</v>
      </c>
    </row>
    <row r="25" spans="1:15" ht="90" x14ac:dyDescent="0.25">
      <c r="A25" s="24" t="s">
        <v>539</v>
      </c>
      <c r="B25" s="24" t="s">
        <v>538</v>
      </c>
      <c r="C25" s="24" t="s">
        <v>922</v>
      </c>
      <c r="D25" s="24" t="s">
        <v>4510</v>
      </c>
      <c r="E25" s="24" t="s">
        <v>4425</v>
      </c>
      <c r="F25" s="24">
        <v>5400</v>
      </c>
      <c r="G25" s="24">
        <v>61055</v>
      </c>
      <c r="J25" s="55" t="s">
        <v>158</v>
      </c>
      <c r="K25" s="50"/>
      <c r="L25" s="24" t="s">
        <v>5516</v>
      </c>
      <c r="M25" s="24">
        <v>5773.2</v>
      </c>
      <c r="N25" s="24">
        <v>115.4</v>
      </c>
      <c r="O25" s="24">
        <v>39</v>
      </c>
    </row>
    <row r="26" spans="1:15" ht="135" x14ac:dyDescent="0.25">
      <c r="A26" s="24" t="s">
        <v>744</v>
      </c>
      <c r="B26" s="24" t="s">
        <v>1222</v>
      </c>
      <c r="C26" s="24" t="s">
        <v>902</v>
      </c>
      <c r="D26" s="24" t="s">
        <v>4433</v>
      </c>
      <c r="E26" s="24" t="s">
        <v>4425</v>
      </c>
      <c r="F26" s="24">
        <v>35800</v>
      </c>
      <c r="G26" s="24">
        <v>13831</v>
      </c>
      <c r="J26" s="55" t="s">
        <v>158</v>
      </c>
      <c r="K26" s="50"/>
      <c r="L26" s="24" t="s">
        <v>5519</v>
      </c>
      <c r="M26" s="24">
        <v>2930.9</v>
      </c>
      <c r="N26" s="24">
        <v>63.3</v>
      </c>
      <c r="O26" s="24">
        <v>38.799999999999997</v>
      </c>
    </row>
    <row r="27" spans="1:15" ht="135" x14ac:dyDescent="0.25">
      <c r="A27" s="24" t="s">
        <v>773</v>
      </c>
      <c r="B27" s="24" t="s">
        <v>5246</v>
      </c>
      <c r="C27" s="24" t="s">
        <v>902</v>
      </c>
      <c r="D27" s="24" t="s">
        <v>4615</v>
      </c>
      <c r="E27" s="24" t="s">
        <v>4425</v>
      </c>
      <c r="F27" s="24">
        <v>13000</v>
      </c>
      <c r="G27" s="24">
        <v>12371</v>
      </c>
      <c r="J27" s="55" t="s">
        <v>158</v>
      </c>
      <c r="K27" s="50"/>
      <c r="L27" s="24" t="s">
        <v>5524</v>
      </c>
      <c r="M27" s="24">
        <v>0</v>
      </c>
      <c r="N27" s="24">
        <v>0</v>
      </c>
      <c r="O27" s="24">
        <v>0</v>
      </c>
    </row>
    <row r="28" spans="1:15" ht="135" x14ac:dyDescent="0.25">
      <c r="A28" s="24" t="s">
        <v>827</v>
      </c>
      <c r="B28" s="24" t="s">
        <v>5248</v>
      </c>
      <c r="C28" s="24" t="s">
        <v>902</v>
      </c>
      <c r="D28" s="24" t="s">
        <v>4438</v>
      </c>
      <c r="E28" s="24" t="s">
        <v>4425</v>
      </c>
      <c r="F28" s="24">
        <v>14200</v>
      </c>
      <c r="G28" s="24">
        <v>14613.9</v>
      </c>
      <c r="J28" s="55" t="s">
        <v>158</v>
      </c>
      <c r="K28" s="50"/>
      <c r="L28" s="24" t="s">
        <v>5526</v>
      </c>
      <c r="M28" s="24">
        <v>49.3</v>
      </c>
      <c r="N28" s="24">
        <v>4.5</v>
      </c>
      <c r="O28" s="24">
        <v>4.3</v>
      </c>
    </row>
    <row r="29" spans="1:15" ht="135" x14ac:dyDescent="0.25">
      <c r="A29" s="24" t="s">
        <v>642</v>
      </c>
      <c r="B29" s="24" t="s">
        <v>5249</v>
      </c>
      <c r="C29" s="24" t="s">
        <v>902</v>
      </c>
      <c r="D29" s="24" t="s">
        <v>4500</v>
      </c>
      <c r="E29" s="24" t="s">
        <v>4425</v>
      </c>
      <c r="F29" s="24">
        <v>35000</v>
      </c>
      <c r="G29" s="24">
        <v>39665.4</v>
      </c>
      <c r="J29" s="55" t="s">
        <v>158</v>
      </c>
      <c r="L29" s="24" t="s">
        <v>5527</v>
      </c>
      <c r="M29" s="24">
        <v>9257</v>
      </c>
      <c r="N29" s="24">
        <v>104.3</v>
      </c>
      <c r="O29" s="24">
        <v>51.1</v>
      </c>
    </row>
    <row r="30" spans="1:15" ht="120" x14ac:dyDescent="0.25">
      <c r="A30" s="24" t="s">
        <v>466</v>
      </c>
      <c r="B30" s="24" t="s">
        <v>5189</v>
      </c>
      <c r="C30" s="24" t="s">
        <v>4423</v>
      </c>
      <c r="D30" s="24" t="s">
        <v>4489</v>
      </c>
      <c r="E30" s="24" t="s">
        <v>1709</v>
      </c>
      <c r="F30" s="24">
        <v>72159</v>
      </c>
      <c r="G30" s="24">
        <v>158343.5</v>
      </c>
      <c r="J30" s="53" t="s">
        <v>5612</v>
      </c>
      <c r="L30" s="24" t="s">
        <v>5452</v>
      </c>
      <c r="M30" s="24">
        <v>11539</v>
      </c>
      <c r="N30" s="24">
        <v>26</v>
      </c>
      <c r="O30" s="24">
        <v>20.7</v>
      </c>
    </row>
    <row r="31" spans="1:15" ht="135" x14ac:dyDescent="0.25">
      <c r="A31" s="24" t="s">
        <v>786</v>
      </c>
      <c r="B31" s="24" t="s">
        <v>1266</v>
      </c>
      <c r="C31" s="24" t="s">
        <v>902</v>
      </c>
      <c r="D31" s="24" t="s">
        <v>4587</v>
      </c>
      <c r="E31" s="24" t="s">
        <v>4425</v>
      </c>
      <c r="F31" s="24">
        <v>102700</v>
      </c>
      <c r="G31" s="24">
        <v>10515.6</v>
      </c>
      <c r="J31" s="46" t="s">
        <v>4031</v>
      </c>
      <c r="L31" s="24" t="s">
        <v>5297</v>
      </c>
      <c r="M31" s="24">
        <v>36047</v>
      </c>
      <c r="O31" s="24">
        <v>126</v>
      </c>
    </row>
    <row r="32" spans="1:15" ht="90" x14ac:dyDescent="0.25">
      <c r="A32" s="24" t="s">
        <v>703</v>
      </c>
      <c r="B32" s="24" t="s">
        <v>5069</v>
      </c>
      <c r="C32" s="24" t="s">
        <v>4428</v>
      </c>
      <c r="D32" s="24" t="s">
        <v>4559</v>
      </c>
      <c r="E32" s="24" t="s">
        <v>4425</v>
      </c>
      <c r="F32" s="24">
        <v>42000</v>
      </c>
      <c r="G32" s="24">
        <v>27171.8</v>
      </c>
      <c r="J32" s="46" t="s">
        <v>4031</v>
      </c>
      <c r="L32" s="24" t="s">
        <v>5299</v>
      </c>
      <c r="M32" s="24">
        <v>6383.7</v>
      </c>
      <c r="O32" s="24">
        <v>96.6</v>
      </c>
    </row>
    <row r="33" spans="1:15" ht="135" x14ac:dyDescent="0.25">
      <c r="A33" s="24" t="s">
        <v>733</v>
      </c>
      <c r="B33" s="24" t="s">
        <v>5070</v>
      </c>
      <c r="C33" s="24" t="s">
        <v>4428</v>
      </c>
      <c r="D33" s="24" t="s">
        <v>4476</v>
      </c>
      <c r="E33" s="24" t="s">
        <v>4425</v>
      </c>
      <c r="F33" s="24">
        <v>1725</v>
      </c>
      <c r="G33" s="24">
        <v>13519.1</v>
      </c>
      <c r="J33" s="46" t="s">
        <v>4031</v>
      </c>
      <c r="L33" s="24" t="s">
        <v>5300</v>
      </c>
      <c r="M33" s="24">
        <v>0</v>
      </c>
      <c r="N33" s="24">
        <v>0</v>
      </c>
      <c r="O33" s="24">
        <v>0</v>
      </c>
    </row>
    <row r="34" spans="1:15" ht="105" x14ac:dyDescent="0.25">
      <c r="A34" s="24" t="s">
        <v>676</v>
      </c>
      <c r="B34" s="24" t="s">
        <v>1149</v>
      </c>
      <c r="C34" s="24" t="s">
        <v>904</v>
      </c>
      <c r="D34" s="24" t="s">
        <v>4472</v>
      </c>
      <c r="E34" s="24" t="s">
        <v>4425</v>
      </c>
      <c r="F34" s="24">
        <v>9183</v>
      </c>
      <c r="G34" s="24">
        <v>22045.9</v>
      </c>
      <c r="J34" s="46" t="s">
        <v>4031</v>
      </c>
      <c r="K34" s="47" t="s">
        <v>904</v>
      </c>
      <c r="L34" s="24" t="s">
        <v>5302</v>
      </c>
      <c r="M34" s="24">
        <v>12444</v>
      </c>
      <c r="N34" s="24">
        <v>128.5</v>
      </c>
      <c r="O34" s="24">
        <v>56.2</v>
      </c>
    </row>
    <row r="35" spans="1:15" ht="120" x14ac:dyDescent="0.25">
      <c r="A35" s="24" t="s">
        <v>738</v>
      </c>
      <c r="B35" s="24" t="s">
        <v>1220</v>
      </c>
      <c r="C35" s="24" t="s">
        <v>904</v>
      </c>
      <c r="D35" s="24" t="s">
        <v>4445</v>
      </c>
      <c r="E35" s="24" t="s">
        <v>4425</v>
      </c>
      <c r="F35" s="24">
        <v>8200</v>
      </c>
      <c r="G35" s="24">
        <v>14947.7</v>
      </c>
      <c r="J35" s="46" t="s">
        <v>4031</v>
      </c>
      <c r="L35" s="24" t="s">
        <v>5303</v>
      </c>
      <c r="M35" s="24">
        <v>18517</v>
      </c>
      <c r="N35" s="24">
        <v>759.2</v>
      </c>
      <c r="O35" s="24">
        <v>84.2</v>
      </c>
    </row>
    <row r="36" spans="1:15" ht="135" x14ac:dyDescent="0.25">
      <c r="A36" s="24" t="s">
        <v>555</v>
      </c>
      <c r="B36" s="24" t="s">
        <v>5073</v>
      </c>
      <c r="C36" s="24" t="s">
        <v>866</v>
      </c>
      <c r="D36" s="24" t="s">
        <v>4440</v>
      </c>
      <c r="E36" s="24" t="s">
        <v>4425</v>
      </c>
      <c r="F36" s="24">
        <v>45000</v>
      </c>
      <c r="G36" s="24">
        <v>47850.1</v>
      </c>
      <c r="J36" s="46" t="s">
        <v>4031</v>
      </c>
      <c r="L36" s="24" t="s">
        <v>5305</v>
      </c>
      <c r="M36" s="24">
        <v>31516</v>
      </c>
      <c r="N36" s="24">
        <v>49</v>
      </c>
      <c r="O36" s="24">
        <v>32.700000000000003</v>
      </c>
    </row>
    <row r="37" spans="1:15" ht="90" x14ac:dyDescent="0.25">
      <c r="A37" s="24" t="s">
        <v>809</v>
      </c>
      <c r="B37" s="24" t="s">
        <v>5074</v>
      </c>
      <c r="C37" s="24" t="s">
        <v>866</v>
      </c>
      <c r="D37" s="24" t="s">
        <v>4471</v>
      </c>
      <c r="E37" s="24" t="s">
        <v>4425</v>
      </c>
      <c r="F37" s="24">
        <v>14100</v>
      </c>
      <c r="G37" s="24">
        <v>8594.9</v>
      </c>
      <c r="J37" s="46" t="s">
        <v>4031</v>
      </c>
      <c r="L37" s="24" t="s">
        <v>5306</v>
      </c>
      <c r="M37" s="24">
        <v>2201.9</v>
      </c>
      <c r="N37" s="24">
        <v>38.299999999999997</v>
      </c>
      <c r="O37" s="24">
        <v>27.7</v>
      </c>
    </row>
    <row r="38" spans="1:15" ht="135" x14ac:dyDescent="0.25">
      <c r="A38" s="24" t="s">
        <v>608</v>
      </c>
      <c r="B38" s="24" t="s">
        <v>5075</v>
      </c>
      <c r="C38" s="24" t="s">
        <v>866</v>
      </c>
      <c r="D38" s="24" t="s">
        <v>4471</v>
      </c>
      <c r="E38" s="24" t="s">
        <v>4425</v>
      </c>
      <c r="F38" s="24">
        <v>32401</v>
      </c>
      <c r="G38" s="24">
        <v>31750.799999999999</v>
      </c>
      <c r="J38" s="46" t="s">
        <v>4031</v>
      </c>
      <c r="L38" s="24" t="s">
        <v>5307</v>
      </c>
      <c r="M38" s="24">
        <v>5072.3999999999996</v>
      </c>
      <c r="N38" s="24">
        <v>60.2</v>
      </c>
      <c r="O38" s="24">
        <v>37.6</v>
      </c>
    </row>
    <row r="39" spans="1:15" ht="135" x14ac:dyDescent="0.25">
      <c r="A39" s="24" t="s">
        <v>648</v>
      </c>
      <c r="B39" s="24" t="s">
        <v>5076</v>
      </c>
      <c r="C39" s="24" t="s">
        <v>4423</v>
      </c>
      <c r="D39" s="24" t="s">
        <v>4489</v>
      </c>
      <c r="E39" s="24" t="s">
        <v>4425</v>
      </c>
      <c r="F39" s="24">
        <v>5900</v>
      </c>
      <c r="G39" s="24">
        <v>24052.7</v>
      </c>
      <c r="J39" s="46" t="s">
        <v>4031</v>
      </c>
      <c r="L39" s="24" t="s">
        <v>5308</v>
      </c>
      <c r="M39" s="24">
        <v>2021.5</v>
      </c>
      <c r="N39" s="24">
        <v>35.5</v>
      </c>
      <c r="O39" s="24">
        <v>26.2</v>
      </c>
    </row>
    <row r="40" spans="1:15" ht="120" x14ac:dyDescent="0.25">
      <c r="A40" s="24" t="s">
        <v>833</v>
      </c>
      <c r="B40" s="24" t="s">
        <v>5077</v>
      </c>
      <c r="C40" s="24" t="s">
        <v>902</v>
      </c>
      <c r="D40" s="24" t="s">
        <v>4587</v>
      </c>
      <c r="E40" s="24" t="s">
        <v>4425</v>
      </c>
      <c r="F40" s="24">
        <v>19357</v>
      </c>
      <c r="G40" s="24">
        <v>6555</v>
      </c>
      <c r="J40" s="46" t="s">
        <v>4031</v>
      </c>
      <c r="L40" s="24" t="s">
        <v>5309</v>
      </c>
      <c r="M40" s="24">
        <v>2225</v>
      </c>
      <c r="N40" s="24">
        <v>63</v>
      </c>
      <c r="O40" s="24">
        <v>38.700000000000003</v>
      </c>
    </row>
    <row r="41" spans="1:15" ht="105" x14ac:dyDescent="0.25">
      <c r="A41" s="24" t="s">
        <v>799</v>
      </c>
      <c r="B41" s="24" t="s">
        <v>5079</v>
      </c>
      <c r="C41" s="24" t="s">
        <v>885</v>
      </c>
      <c r="D41" s="24" t="s">
        <v>4505</v>
      </c>
      <c r="E41" s="24" t="s">
        <v>4425</v>
      </c>
      <c r="F41" s="24">
        <v>2272</v>
      </c>
      <c r="G41" s="24">
        <v>12028</v>
      </c>
      <c r="J41" s="46" t="s">
        <v>4031</v>
      </c>
      <c r="L41" s="24" t="s">
        <v>5313</v>
      </c>
      <c r="M41" s="24">
        <v>7193</v>
      </c>
      <c r="O41" s="24">
        <v>118</v>
      </c>
    </row>
    <row r="42" spans="1:15" ht="105" x14ac:dyDescent="0.25">
      <c r="A42" s="24" t="s">
        <v>561</v>
      </c>
      <c r="B42" s="24" t="s">
        <v>5082</v>
      </c>
      <c r="C42" s="24" t="s">
        <v>4434</v>
      </c>
      <c r="D42" s="24" t="s">
        <v>4435</v>
      </c>
      <c r="E42" s="24" t="s">
        <v>4436</v>
      </c>
      <c r="F42" s="24">
        <v>151000</v>
      </c>
      <c r="G42" s="24">
        <v>36576.199999999997</v>
      </c>
      <c r="J42" s="46" t="s">
        <v>4031</v>
      </c>
      <c r="L42" s="24" t="s">
        <v>5316</v>
      </c>
      <c r="M42" s="24">
        <v>4000</v>
      </c>
      <c r="N42" s="24">
        <v>48.2</v>
      </c>
      <c r="O42" s="24">
        <v>32.5</v>
      </c>
    </row>
    <row r="43" spans="1:15" ht="120" x14ac:dyDescent="0.25">
      <c r="A43" s="24" t="s">
        <v>766</v>
      </c>
      <c r="B43" s="24" t="s">
        <v>5084</v>
      </c>
      <c r="C43" s="24" t="s">
        <v>904</v>
      </c>
      <c r="D43" s="24" t="s">
        <v>4637</v>
      </c>
      <c r="E43" s="24" t="s">
        <v>4425</v>
      </c>
      <c r="F43" s="24">
        <v>4684</v>
      </c>
      <c r="G43" s="24">
        <v>13754.9</v>
      </c>
      <c r="J43" s="46" t="s">
        <v>4031</v>
      </c>
      <c r="K43" s="47" t="s">
        <v>904</v>
      </c>
      <c r="L43" s="24" t="s">
        <v>5318</v>
      </c>
      <c r="M43" s="24">
        <v>4930.2</v>
      </c>
      <c r="N43" s="24">
        <v>62.4</v>
      </c>
      <c r="O43" s="24">
        <v>38.4</v>
      </c>
    </row>
    <row r="44" spans="1:15" ht="120" x14ac:dyDescent="0.25">
      <c r="A44" s="24" t="s">
        <v>606</v>
      </c>
      <c r="B44" s="24" t="s">
        <v>5085</v>
      </c>
      <c r="C44" s="24" t="s">
        <v>922</v>
      </c>
      <c r="D44" s="24" t="s">
        <v>4427</v>
      </c>
      <c r="E44" s="24" t="s">
        <v>4425</v>
      </c>
      <c r="F44" s="24">
        <v>3090</v>
      </c>
      <c r="G44" s="24">
        <v>33607.699999999997</v>
      </c>
      <c r="J44" s="46" t="s">
        <v>4031</v>
      </c>
      <c r="L44" s="24" t="s">
        <v>5319</v>
      </c>
      <c r="M44" s="24">
        <v>7799.4</v>
      </c>
      <c r="N44" s="24">
        <v>72.3</v>
      </c>
      <c r="O44" s="24">
        <v>42</v>
      </c>
    </row>
    <row r="45" spans="1:15" ht="135" x14ac:dyDescent="0.25">
      <c r="A45" s="24" t="s">
        <v>612</v>
      </c>
      <c r="B45" s="24" t="s">
        <v>5086</v>
      </c>
      <c r="C45" s="24" t="s">
        <v>904</v>
      </c>
      <c r="D45" s="24" t="s">
        <v>4729</v>
      </c>
      <c r="E45" s="24" t="s">
        <v>4425</v>
      </c>
      <c r="F45" s="24">
        <v>7000</v>
      </c>
      <c r="G45" s="24">
        <v>28238.2</v>
      </c>
      <c r="J45" s="46" t="s">
        <v>4031</v>
      </c>
      <c r="L45" s="24" t="s">
        <v>5321</v>
      </c>
      <c r="M45" s="24">
        <v>10352</v>
      </c>
      <c r="N45" s="24">
        <v>150.80000000000001</v>
      </c>
      <c r="O45" s="24">
        <v>60.1</v>
      </c>
    </row>
    <row r="46" spans="1:15" ht="135" x14ac:dyDescent="0.25">
      <c r="A46" s="24" t="s">
        <v>566</v>
      </c>
      <c r="B46" s="24" t="s">
        <v>1039</v>
      </c>
      <c r="C46" s="24" t="s">
        <v>4428</v>
      </c>
      <c r="D46" s="24" t="s">
        <v>4559</v>
      </c>
      <c r="E46" s="24" t="s">
        <v>4425</v>
      </c>
      <c r="F46" s="24">
        <v>50000</v>
      </c>
      <c r="G46" s="24">
        <v>42193.4</v>
      </c>
      <c r="J46" s="46" t="s">
        <v>4031</v>
      </c>
      <c r="L46" s="24" t="s">
        <v>5324</v>
      </c>
      <c r="M46" s="24">
        <v>5446</v>
      </c>
      <c r="N46" s="24">
        <v>62.1</v>
      </c>
      <c r="O46" s="24">
        <v>38.299999999999997</v>
      </c>
    </row>
    <row r="47" spans="1:15" ht="75" x14ac:dyDescent="0.25">
      <c r="A47" s="24" t="s">
        <v>714</v>
      </c>
      <c r="B47" s="24" t="s">
        <v>5089</v>
      </c>
      <c r="C47" s="24" t="s">
        <v>4434</v>
      </c>
      <c r="D47" s="24" t="s">
        <v>4526</v>
      </c>
      <c r="E47" s="24" t="s">
        <v>4425</v>
      </c>
      <c r="F47" s="24">
        <v>22400</v>
      </c>
      <c r="G47" s="24">
        <v>13643.9</v>
      </c>
      <c r="J47" s="46" t="s">
        <v>4031</v>
      </c>
      <c r="L47" s="24" t="s">
        <v>5325</v>
      </c>
      <c r="M47" s="24">
        <v>4852</v>
      </c>
      <c r="O47" s="24">
        <v>152.80000000000001</v>
      </c>
    </row>
    <row r="48" spans="1:15" ht="135" x14ac:dyDescent="0.25">
      <c r="A48" s="24" t="s">
        <v>516</v>
      </c>
      <c r="B48" s="24" t="s">
        <v>5090</v>
      </c>
      <c r="C48" s="24" t="s">
        <v>4428</v>
      </c>
      <c r="D48" s="24" t="s">
        <v>4559</v>
      </c>
      <c r="E48" s="24" t="s">
        <v>4425</v>
      </c>
      <c r="F48" s="24">
        <v>75000</v>
      </c>
      <c r="G48" s="24">
        <v>72369.7</v>
      </c>
      <c r="J48" s="46" t="s">
        <v>4031</v>
      </c>
      <c r="L48" s="24" t="s">
        <v>5326</v>
      </c>
      <c r="M48" s="24">
        <v>17110</v>
      </c>
      <c r="N48" s="24">
        <v>72.3</v>
      </c>
      <c r="O48" s="24">
        <v>41.9</v>
      </c>
    </row>
    <row r="49" spans="1:15" ht="120" x14ac:dyDescent="0.25">
      <c r="A49" s="24" t="s">
        <v>806</v>
      </c>
      <c r="B49" s="24" t="s">
        <v>5091</v>
      </c>
      <c r="C49" s="24" t="s">
        <v>866</v>
      </c>
      <c r="D49" s="24" t="s">
        <v>4447</v>
      </c>
      <c r="E49" s="24" t="s">
        <v>4425</v>
      </c>
      <c r="F49" s="24">
        <v>10300</v>
      </c>
      <c r="G49" s="24">
        <v>15950</v>
      </c>
      <c r="J49" s="46" t="s">
        <v>4031</v>
      </c>
      <c r="L49" s="24" t="s">
        <v>5327</v>
      </c>
      <c r="M49" s="24">
        <v>7070.4</v>
      </c>
      <c r="N49" s="24">
        <v>63</v>
      </c>
      <c r="O49" s="24">
        <v>38.6</v>
      </c>
    </row>
    <row r="50" spans="1:15" ht="135" x14ac:dyDescent="0.25">
      <c r="A50" s="24" t="s">
        <v>767</v>
      </c>
      <c r="B50" s="24" t="s">
        <v>5092</v>
      </c>
      <c r="C50" s="24" t="s">
        <v>4512</v>
      </c>
      <c r="D50" s="24" t="s">
        <v>5093</v>
      </c>
      <c r="E50" s="24" t="s">
        <v>4425</v>
      </c>
      <c r="F50" s="24">
        <v>4700</v>
      </c>
      <c r="G50" s="24">
        <v>30979.4</v>
      </c>
      <c r="J50" s="46" t="s">
        <v>4031</v>
      </c>
      <c r="L50" s="24" t="s">
        <v>5328</v>
      </c>
      <c r="M50" s="24">
        <v>2331</v>
      </c>
      <c r="N50" s="24">
        <v>79.7</v>
      </c>
      <c r="O50" s="24">
        <v>44.4</v>
      </c>
    </row>
    <row r="51" spans="1:15" ht="135" x14ac:dyDescent="0.25">
      <c r="A51" s="24" t="s">
        <v>562</v>
      </c>
      <c r="B51" s="24" t="s">
        <v>5094</v>
      </c>
      <c r="C51" s="24" t="s">
        <v>866</v>
      </c>
      <c r="D51" s="24" t="s">
        <v>4447</v>
      </c>
      <c r="E51" s="24" t="s">
        <v>4425</v>
      </c>
      <c r="F51" s="24">
        <v>48900</v>
      </c>
      <c r="G51" s="24">
        <v>48657.4</v>
      </c>
      <c r="J51" s="46" t="s">
        <v>4031</v>
      </c>
      <c r="L51" s="24" t="s">
        <v>5329</v>
      </c>
      <c r="M51" s="24">
        <v>25810</v>
      </c>
      <c r="N51" s="24">
        <v>66.099999999999994</v>
      </c>
      <c r="O51" s="24">
        <v>37.200000000000003</v>
      </c>
    </row>
    <row r="52" spans="1:15" ht="135" x14ac:dyDescent="0.25">
      <c r="A52" s="24" t="s">
        <v>691</v>
      </c>
      <c r="B52" s="24" t="s">
        <v>5095</v>
      </c>
      <c r="C52" s="24" t="s">
        <v>885</v>
      </c>
      <c r="D52" s="24" t="s">
        <v>4497</v>
      </c>
      <c r="E52" s="24" t="s">
        <v>4425</v>
      </c>
      <c r="F52" s="24">
        <v>54000</v>
      </c>
      <c r="G52" s="24">
        <v>28527.599999999999</v>
      </c>
      <c r="J52" s="46" t="s">
        <v>4031</v>
      </c>
      <c r="L52" s="24" t="s">
        <v>5330</v>
      </c>
      <c r="M52" s="24">
        <v>6708</v>
      </c>
      <c r="N52" s="24">
        <v>39.700000000000003</v>
      </c>
      <c r="O52" s="24">
        <v>28.4</v>
      </c>
    </row>
    <row r="53" spans="1:15" ht="135" x14ac:dyDescent="0.25">
      <c r="A53" s="24" t="s">
        <v>689</v>
      </c>
      <c r="B53" s="24" t="s">
        <v>5098</v>
      </c>
      <c r="C53" s="24" t="s">
        <v>902</v>
      </c>
      <c r="D53" s="24" t="s">
        <v>4592</v>
      </c>
      <c r="E53" s="24" t="s">
        <v>4425</v>
      </c>
      <c r="F53" s="24">
        <v>13704</v>
      </c>
      <c r="G53" s="24">
        <v>17366.599999999999</v>
      </c>
      <c r="J53" s="46" t="s">
        <v>4031</v>
      </c>
      <c r="L53" s="24" t="s">
        <v>5333</v>
      </c>
      <c r="M53" s="24">
        <v>4165.8999999999996</v>
      </c>
      <c r="N53" s="24">
        <v>237.5</v>
      </c>
      <c r="O53" s="24">
        <v>70.400000000000006</v>
      </c>
    </row>
    <row r="54" spans="1:15" ht="135" x14ac:dyDescent="0.25">
      <c r="A54" s="24" t="s">
        <v>532</v>
      </c>
      <c r="B54" s="24" t="s">
        <v>5099</v>
      </c>
      <c r="C54" s="24" t="s">
        <v>4428</v>
      </c>
      <c r="D54" s="24" t="s">
        <v>4476</v>
      </c>
      <c r="E54" s="24" t="s">
        <v>4425</v>
      </c>
      <c r="F54" s="24">
        <v>38000</v>
      </c>
      <c r="G54" s="24">
        <v>61331.7</v>
      </c>
      <c r="J54" s="46" t="s">
        <v>4031</v>
      </c>
      <c r="L54" s="24" t="s">
        <v>5334</v>
      </c>
      <c r="M54" s="24">
        <v>8824</v>
      </c>
      <c r="N54" s="24">
        <v>53.6</v>
      </c>
      <c r="O54" s="24">
        <v>34.9</v>
      </c>
    </row>
    <row r="55" spans="1:15" ht="135" x14ac:dyDescent="0.25">
      <c r="A55" s="24" t="s">
        <v>796</v>
      </c>
      <c r="B55" s="24" t="s">
        <v>5100</v>
      </c>
      <c r="C55" s="24" t="s">
        <v>4434</v>
      </c>
      <c r="D55" s="24" t="s">
        <v>4435</v>
      </c>
      <c r="E55" s="24" t="s">
        <v>4425</v>
      </c>
      <c r="F55" s="24">
        <v>15900</v>
      </c>
      <c r="G55" s="24">
        <v>10602.7</v>
      </c>
      <c r="J55" s="46" t="s">
        <v>4031</v>
      </c>
      <c r="L55" s="24" t="s">
        <v>5335</v>
      </c>
      <c r="M55" s="24">
        <v>4288</v>
      </c>
      <c r="N55" s="24">
        <v>64.5</v>
      </c>
      <c r="O55" s="24">
        <v>39.200000000000003</v>
      </c>
    </row>
    <row r="56" spans="1:15" ht="135" x14ac:dyDescent="0.25">
      <c r="A56" s="24" t="s">
        <v>732</v>
      </c>
      <c r="B56" s="24" t="s">
        <v>5101</v>
      </c>
      <c r="C56" s="24" t="s">
        <v>922</v>
      </c>
      <c r="D56" s="24" t="s">
        <v>4477</v>
      </c>
      <c r="E56" s="24" t="s">
        <v>4425</v>
      </c>
      <c r="F56" s="24">
        <v>750</v>
      </c>
      <c r="G56" s="24">
        <v>17907.599999999999</v>
      </c>
      <c r="J56" s="46" t="s">
        <v>4031</v>
      </c>
      <c r="L56" s="24" t="s">
        <v>5336</v>
      </c>
      <c r="M56" s="24">
        <v>13621.9</v>
      </c>
      <c r="N56" s="24">
        <v>238.3</v>
      </c>
      <c r="O56" s="24">
        <v>70.400000000000006</v>
      </c>
    </row>
    <row r="57" spans="1:15" ht="135" x14ac:dyDescent="0.25">
      <c r="A57" s="24" t="s">
        <v>489</v>
      </c>
      <c r="B57" s="24" t="s">
        <v>929</v>
      </c>
      <c r="C57" s="24" t="s">
        <v>866</v>
      </c>
      <c r="D57" s="24" t="s">
        <v>4455</v>
      </c>
      <c r="E57" s="24" t="s">
        <v>4425</v>
      </c>
      <c r="F57" s="24">
        <v>220000</v>
      </c>
      <c r="G57" s="24">
        <v>128481.3</v>
      </c>
      <c r="J57" s="46" t="s">
        <v>4031</v>
      </c>
      <c r="L57" s="24" t="s">
        <v>5337</v>
      </c>
      <c r="M57" s="24">
        <v>252474</v>
      </c>
      <c r="N57" s="24">
        <v>138.1</v>
      </c>
      <c r="O57" s="24">
        <v>55.7</v>
      </c>
    </row>
    <row r="58" spans="1:15" ht="135" x14ac:dyDescent="0.25">
      <c r="A58" s="24" t="s">
        <v>736</v>
      </c>
      <c r="B58" s="24" t="s">
        <v>1219</v>
      </c>
      <c r="C58" s="24" t="s">
        <v>4512</v>
      </c>
      <c r="D58" s="24" t="s">
        <v>4546</v>
      </c>
      <c r="E58" s="24" t="s">
        <v>4425</v>
      </c>
      <c r="F58" s="24">
        <v>18600</v>
      </c>
      <c r="G58" s="24">
        <v>16712.7</v>
      </c>
      <c r="J58" s="46" t="s">
        <v>4031</v>
      </c>
      <c r="L58" s="24" t="s">
        <v>5338</v>
      </c>
      <c r="M58" s="24">
        <v>8527.7999999999993</v>
      </c>
      <c r="N58" s="24">
        <v>98.3</v>
      </c>
      <c r="O58" s="24">
        <v>49.6</v>
      </c>
    </row>
    <row r="59" spans="1:15" ht="135" x14ac:dyDescent="0.25">
      <c r="A59" s="24" t="s">
        <v>753</v>
      </c>
      <c r="B59" s="24" t="s">
        <v>1236</v>
      </c>
      <c r="C59" s="24" t="s">
        <v>4512</v>
      </c>
      <c r="D59" s="24" t="s">
        <v>5102</v>
      </c>
      <c r="E59" s="24" t="s">
        <v>4425</v>
      </c>
      <c r="F59" s="24">
        <v>47300</v>
      </c>
      <c r="G59" s="24">
        <v>14314.8</v>
      </c>
      <c r="J59" s="46" t="s">
        <v>4031</v>
      </c>
      <c r="L59" s="24" t="s">
        <v>5339</v>
      </c>
      <c r="M59" s="24">
        <v>5353</v>
      </c>
      <c r="N59" s="24">
        <v>384.3</v>
      </c>
      <c r="O59" s="24">
        <v>79.400000000000006</v>
      </c>
    </row>
    <row r="60" spans="1:15" ht="120" x14ac:dyDescent="0.25">
      <c r="A60" s="24" t="s">
        <v>506</v>
      </c>
      <c r="B60" s="24" t="s">
        <v>957</v>
      </c>
      <c r="C60" s="24" t="s">
        <v>866</v>
      </c>
      <c r="D60" s="24" t="s">
        <v>4471</v>
      </c>
      <c r="E60" s="24" t="s">
        <v>5104</v>
      </c>
      <c r="F60" s="24">
        <v>31000</v>
      </c>
      <c r="G60" s="24">
        <v>83606.899999999994</v>
      </c>
      <c r="J60" s="46" t="s">
        <v>4031</v>
      </c>
      <c r="L60" s="24" t="s">
        <v>5341</v>
      </c>
      <c r="M60" s="24">
        <v>15131</v>
      </c>
      <c r="N60" s="24">
        <v>25.5</v>
      </c>
      <c r="O60" s="24">
        <v>20.3</v>
      </c>
    </row>
    <row r="61" spans="1:15" ht="135" x14ac:dyDescent="0.25">
      <c r="A61" s="24" t="s">
        <v>762</v>
      </c>
      <c r="B61" s="24" t="s">
        <v>5105</v>
      </c>
      <c r="C61" s="24" t="s">
        <v>4430</v>
      </c>
      <c r="D61" s="24" t="s">
        <v>4452</v>
      </c>
      <c r="E61" s="24" t="s">
        <v>4425</v>
      </c>
      <c r="F61" s="24">
        <v>5974</v>
      </c>
      <c r="G61" s="24">
        <v>10478.200000000001</v>
      </c>
      <c r="J61" s="46" t="s">
        <v>4031</v>
      </c>
      <c r="L61" s="24" t="s">
        <v>5342</v>
      </c>
      <c r="M61" s="24">
        <v>1121.8</v>
      </c>
      <c r="N61" s="24">
        <v>50.5</v>
      </c>
      <c r="O61" s="24">
        <v>33.6</v>
      </c>
    </row>
    <row r="62" spans="1:15" ht="135" x14ac:dyDescent="0.25">
      <c r="A62" s="24" t="s">
        <v>646</v>
      </c>
      <c r="B62" s="24" t="s">
        <v>5106</v>
      </c>
      <c r="C62" s="24" t="s">
        <v>4428</v>
      </c>
      <c r="D62" s="24" t="s">
        <v>4476</v>
      </c>
      <c r="E62" s="24" t="s">
        <v>4425</v>
      </c>
      <c r="F62" s="24">
        <v>26400</v>
      </c>
      <c r="G62" s="24">
        <v>26626.3</v>
      </c>
      <c r="J62" s="46" t="s">
        <v>4031</v>
      </c>
      <c r="L62" s="24" t="s">
        <v>5344</v>
      </c>
      <c r="M62" s="24">
        <v>1611.2</v>
      </c>
      <c r="N62" s="24">
        <v>42</v>
      </c>
      <c r="O62" s="24">
        <v>29.6</v>
      </c>
    </row>
    <row r="63" spans="1:15" ht="120" x14ac:dyDescent="0.25">
      <c r="A63" s="24" t="s">
        <v>747</v>
      </c>
      <c r="B63" s="24" t="s">
        <v>5107</v>
      </c>
      <c r="C63" s="24" t="s">
        <v>4423</v>
      </c>
      <c r="D63" s="24" t="s">
        <v>4502</v>
      </c>
      <c r="E63" s="24" t="s">
        <v>4425</v>
      </c>
      <c r="F63" s="24">
        <v>3000</v>
      </c>
      <c r="G63" s="24">
        <v>14541.4</v>
      </c>
      <c r="J63" s="46" t="s">
        <v>4031</v>
      </c>
      <c r="L63" s="24" t="s">
        <v>5345</v>
      </c>
      <c r="M63" s="24">
        <v>3465</v>
      </c>
      <c r="N63" s="24">
        <v>117.9</v>
      </c>
      <c r="O63" s="24">
        <v>54.1</v>
      </c>
    </row>
    <row r="64" spans="1:15" ht="135" x14ac:dyDescent="0.25">
      <c r="A64" s="24" t="s">
        <v>700</v>
      </c>
      <c r="B64" s="24" t="s">
        <v>1183</v>
      </c>
      <c r="C64" s="24" t="s">
        <v>866</v>
      </c>
      <c r="D64" s="24" t="s">
        <v>4455</v>
      </c>
      <c r="E64" s="24" t="s">
        <v>4425</v>
      </c>
      <c r="F64" s="24">
        <v>17407</v>
      </c>
      <c r="G64" s="24">
        <v>22217.8</v>
      </c>
      <c r="J64" s="46" t="s">
        <v>4031</v>
      </c>
      <c r="L64" s="24" t="s">
        <v>5346</v>
      </c>
      <c r="M64" s="24">
        <v>6924</v>
      </c>
      <c r="N64" s="24">
        <v>32.299999999999997</v>
      </c>
      <c r="O64" s="24">
        <v>22.8</v>
      </c>
    </row>
    <row r="65" spans="1:15" ht="135" x14ac:dyDescent="0.25">
      <c r="A65" s="24" t="s">
        <v>731</v>
      </c>
      <c r="B65" s="24" t="s">
        <v>5108</v>
      </c>
      <c r="C65" s="24" t="s">
        <v>866</v>
      </c>
      <c r="D65" s="24" t="s">
        <v>4440</v>
      </c>
      <c r="E65" s="24" t="s">
        <v>4425</v>
      </c>
      <c r="F65" s="24">
        <v>5266</v>
      </c>
      <c r="G65" s="24">
        <v>18528</v>
      </c>
      <c r="J65" s="46" t="s">
        <v>4031</v>
      </c>
      <c r="L65" s="24" t="s">
        <v>5347</v>
      </c>
      <c r="M65" s="24">
        <v>845</v>
      </c>
      <c r="N65" s="24">
        <v>7.1</v>
      </c>
      <c r="O65" s="24">
        <v>6.7</v>
      </c>
    </row>
    <row r="66" spans="1:15" ht="135" x14ac:dyDescent="0.25">
      <c r="A66" s="24" t="s">
        <v>519</v>
      </c>
      <c r="B66" s="24" t="s">
        <v>5109</v>
      </c>
      <c r="C66" s="24" t="s">
        <v>4512</v>
      </c>
      <c r="D66" s="24" t="s">
        <v>4513</v>
      </c>
      <c r="E66" s="24" t="s">
        <v>4425</v>
      </c>
      <c r="F66" s="24">
        <v>34200</v>
      </c>
      <c r="G66" s="24">
        <v>68599.5</v>
      </c>
      <c r="J66" s="46" t="s">
        <v>4031</v>
      </c>
      <c r="L66" s="24" t="s">
        <v>5348</v>
      </c>
      <c r="M66" s="24">
        <v>7682</v>
      </c>
      <c r="O66" s="24">
        <v>92.9</v>
      </c>
    </row>
    <row r="67" spans="1:15" ht="135" x14ac:dyDescent="0.25">
      <c r="A67" s="24" t="s">
        <v>787</v>
      </c>
      <c r="B67" s="24" t="s">
        <v>5110</v>
      </c>
      <c r="C67" s="24" t="s">
        <v>866</v>
      </c>
      <c r="D67" s="24" t="s">
        <v>4455</v>
      </c>
      <c r="E67" s="24" t="s">
        <v>4425</v>
      </c>
      <c r="F67" s="24">
        <v>7429</v>
      </c>
      <c r="G67" s="24">
        <v>12133.9</v>
      </c>
      <c r="J67" s="46" t="s">
        <v>4031</v>
      </c>
      <c r="L67" s="24" t="s">
        <v>5349</v>
      </c>
      <c r="M67" s="24">
        <v>2837</v>
      </c>
      <c r="N67" s="24">
        <v>38.299999999999997</v>
      </c>
      <c r="O67" s="24">
        <v>26.7</v>
      </c>
    </row>
    <row r="68" spans="1:15" ht="120" x14ac:dyDescent="0.25">
      <c r="A68" s="24" t="s">
        <v>508</v>
      </c>
      <c r="B68" s="24" t="s">
        <v>5111</v>
      </c>
      <c r="C68" s="24" t="s">
        <v>866</v>
      </c>
      <c r="D68" s="24" t="s">
        <v>5112</v>
      </c>
      <c r="E68" s="24" t="s">
        <v>4425</v>
      </c>
      <c r="F68" s="24">
        <v>4370</v>
      </c>
      <c r="G68" s="24">
        <v>79113.899999999994</v>
      </c>
      <c r="J68" s="46" t="s">
        <v>4031</v>
      </c>
      <c r="L68" s="24" t="s">
        <v>5350</v>
      </c>
      <c r="M68" s="24">
        <v>2773.6</v>
      </c>
      <c r="N68" s="24">
        <v>10.199999999999999</v>
      </c>
      <c r="O68" s="24">
        <v>9.1999999999999993</v>
      </c>
    </row>
    <row r="69" spans="1:15" ht="135" x14ac:dyDescent="0.25">
      <c r="A69" s="24" t="s">
        <v>627</v>
      </c>
      <c r="B69" s="24" t="s">
        <v>5113</v>
      </c>
      <c r="C69" s="24" t="s">
        <v>4434</v>
      </c>
      <c r="D69" s="24" t="s">
        <v>4435</v>
      </c>
      <c r="E69" s="24" t="s">
        <v>4425</v>
      </c>
      <c r="F69" s="24">
        <v>57825</v>
      </c>
      <c r="G69" s="24">
        <v>32303.7</v>
      </c>
      <c r="J69" s="46" t="s">
        <v>4031</v>
      </c>
      <c r="L69" s="24" t="s">
        <v>5351</v>
      </c>
      <c r="M69" s="24">
        <v>3602</v>
      </c>
      <c r="N69" s="24">
        <v>44.6</v>
      </c>
      <c r="O69" s="24">
        <v>30.8</v>
      </c>
    </row>
    <row r="70" spans="1:15" ht="120" x14ac:dyDescent="0.25">
      <c r="A70" s="24" t="s">
        <v>711</v>
      </c>
      <c r="B70" s="24" t="s">
        <v>5114</v>
      </c>
      <c r="C70" s="24" t="s">
        <v>904</v>
      </c>
      <c r="D70" s="24" t="s">
        <v>4472</v>
      </c>
      <c r="E70" s="24" t="s">
        <v>4425</v>
      </c>
      <c r="F70" s="24">
        <v>8148</v>
      </c>
      <c r="G70" s="24">
        <v>18062.599999999999</v>
      </c>
      <c r="J70" s="46" t="s">
        <v>4031</v>
      </c>
      <c r="L70" s="24" t="s">
        <v>5352</v>
      </c>
      <c r="M70" s="24">
        <v>12075</v>
      </c>
      <c r="N70" s="24">
        <v>205.8</v>
      </c>
      <c r="O70" s="24">
        <v>66.5</v>
      </c>
    </row>
    <row r="71" spans="1:15" ht="120" x14ac:dyDescent="0.25">
      <c r="A71" s="24" t="s">
        <v>726</v>
      </c>
      <c r="B71" s="24" t="s">
        <v>5115</v>
      </c>
      <c r="C71" s="24" t="s">
        <v>904</v>
      </c>
      <c r="D71" s="24" t="s">
        <v>4472</v>
      </c>
      <c r="E71" s="24" t="s">
        <v>4425</v>
      </c>
      <c r="F71" s="24">
        <v>9541</v>
      </c>
      <c r="G71" s="24">
        <v>17168</v>
      </c>
      <c r="J71" s="46" t="s">
        <v>4031</v>
      </c>
      <c r="L71" s="24" t="s">
        <v>5353</v>
      </c>
      <c r="M71" s="24">
        <v>15394</v>
      </c>
      <c r="N71" s="24">
        <v>190.6</v>
      </c>
      <c r="O71" s="24">
        <v>63.5</v>
      </c>
    </row>
    <row r="72" spans="1:15" ht="135" x14ac:dyDescent="0.25">
      <c r="A72" s="24" t="s">
        <v>530</v>
      </c>
      <c r="B72" s="24" t="s">
        <v>5116</v>
      </c>
      <c r="C72" s="24" t="s">
        <v>866</v>
      </c>
      <c r="D72" s="24" t="s">
        <v>4540</v>
      </c>
      <c r="E72" s="24" t="s">
        <v>4425</v>
      </c>
      <c r="F72" s="24">
        <v>50800</v>
      </c>
      <c r="G72" s="24">
        <v>61672.6</v>
      </c>
      <c r="J72" s="46" t="s">
        <v>4031</v>
      </c>
      <c r="L72" s="24" t="s">
        <v>5354</v>
      </c>
      <c r="M72" s="24">
        <v>36676</v>
      </c>
      <c r="N72" s="24">
        <v>63.6</v>
      </c>
      <c r="O72" s="24">
        <v>36.6</v>
      </c>
    </row>
    <row r="73" spans="1:15" ht="135" x14ac:dyDescent="0.25">
      <c r="A73" s="24" t="s">
        <v>497</v>
      </c>
      <c r="B73" s="24" t="s">
        <v>496</v>
      </c>
      <c r="C73" s="24" t="s">
        <v>885</v>
      </c>
      <c r="D73" s="24" t="s">
        <v>4505</v>
      </c>
      <c r="E73" s="24" t="s">
        <v>4425</v>
      </c>
      <c r="F73" s="24">
        <v>9900</v>
      </c>
      <c r="G73" s="24">
        <v>114827.5</v>
      </c>
      <c r="J73" s="46" t="s">
        <v>4031</v>
      </c>
      <c r="L73" s="24" t="s">
        <v>5355</v>
      </c>
      <c r="M73" s="24">
        <v>18748</v>
      </c>
      <c r="N73" s="24">
        <v>42.5</v>
      </c>
      <c r="O73" s="24">
        <v>29.8</v>
      </c>
    </row>
    <row r="74" spans="1:15" ht="105" x14ac:dyDescent="0.25">
      <c r="A74" s="24" t="s">
        <v>811</v>
      </c>
      <c r="B74" s="24" t="s">
        <v>5117</v>
      </c>
      <c r="C74" s="24" t="s">
        <v>4512</v>
      </c>
      <c r="D74" s="24" t="s">
        <v>4546</v>
      </c>
      <c r="E74" s="24" t="s">
        <v>4425</v>
      </c>
      <c r="F74" s="24">
        <v>14100</v>
      </c>
      <c r="G74" s="24">
        <v>13134.7</v>
      </c>
      <c r="J74" s="46" t="s">
        <v>4031</v>
      </c>
      <c r="L74" s="24" t="s">
        <v>5356</v>
      </c>
      <c r="M74" s="24">
        <v>4567</v>
      </c>
      <c r="N74" s="24">
        <v>141.19999999999999</v>
      </c>
      <c r="O74" s="24">
        <v>58.5</v>
      </c>
    </row>
    <row r="75" spans="1:15" ht="135" x14ac:dyDescent="0.25">
      <c r="A75" s="24" t="s">
        <v>452</v>
      </c>
      <c r="B75" s="24" t="s">
        <v>5118</v>
      </c>
      <c r="C75" s="24" t="s">
        <v>4430</v>
      </c>
      <c r="D75" s="24" t="s">
        <v>4595</v>
      </c>
      <c r="E75" s="24" t="s">
        <v>4425</v>
      </c>
      <c r="F75" s="24">
        <v>56606</v>
      </c>
      <c r="G75" s="24">
        <v>207835</v>
      </c>
      <c r="J75" s="46" t="s">
        <v>4031</v>
      </c>
      <c r="L75" s="24" t="s">
        <v>5357</v>
      </c>
      <c r="M75" s="24">
        <v>10591</v>
      </c>
      <c r="N75" s="24">
        <v>18.600000000000001</v>
      </c>
      <c r="O75" s="24">
        <v>15.7</v>
      </c>
    </row>
    <row r="76" spans="1:15" ht="105" x14ac:dyDescent="0.25">
      <c r="A76" s="24" t="s">
        <v>740</v>
      </c>
      <c r="B76" s="24" t="s">
        <v>5119</v>
      </c>
      <c r="C76" s="24" t="s">
        <v>885</v>
      </c>
      <c r="D76" s="24" t="s">
        <v>4505</v>
      </c>
      <c r="E76" s="24" t="s">
        <v>4425</v>
      </c>
      <c r="F76" s="24">
        <v>503</v>
      </c>
      <c r="G76" s="24">
        <v>16491.2</v>
      </c>
      <c r="J76" s="46" t="s">
        <v>4031</v>
      </c>
      <c r="L76" s="24" t="s">
        <v>5358</v>
      </c>
      <c r="M76" s="24">
        <v>946.5</v>
      </c>
      <c r="N76" s="24">
        <v>40.700000000000003</v>
      </c>
      <c r="O76" s="24">
        <v>28.9</v>
      </c>
    </row>
    <row r="77" spans="1:15" ht="120" x14ac:dyDescent="0.25">
      <c r="A77" s="24" t="s">
        <v>611</v>
      </c>
      <c r="B77" s="24" t="s">
        <v>5120</v>
      </c>
      <c r="C77" s="24" t="s">
        <v>4512</v>
      </c>
      <c r="D77" s="24" t="s">
        <v>5121</v>
      </c>
      <c r="E77" s="24" t="s">
        <v>4425</v>
      </c>
      <c r="F77" s="24">
        <v>21000</v>
      </c>
      <c r="G77" s="24">
        <v>33537.1</v>
      </c>
      <c r="J77" s="46" t="s">
        <v>4031</v>
      </c>
      <c r="L77" s="24" t="s">
        <v>5359</v>
      </c>
      <c r="M77" s="24">
        <v>1101</v>
      </c>
      <c r="N77" s="24">
        <v>4.5</v>
      </c>
      <c r="O77" s="24">
        <v>4.3</v>
      </c>
    </row>
    <row r="78" spans="1:15" ht="135" x14ac:dyDescent="0.25">
      <c r="A78" s="24" t="s">
        <v>478</v>
      </c>
      <c r="B78" s="24" t="s">
        <v>918</v>
      </c>
      <c r="C78" s="24" t="s">
        <v>4428</v>
      </c>
      <c r="D78" s="24" t="s">
        <v>4429</v>
      </c>
      <c r="E78" s="24" t="s">
        <v>4425</v>
      </c>
      <c r="F78" s="24">
        <v>300000</v>
      </c>
      <c r="G78" s="24">
        <v>138421.29999999999</v>
      </c>
      <c r="J78" s="46" t="s">
        <v>4031</v>
      </c>
      <c r="L78" s="24" t="s">
        <v>5360</v>
      </c>
      <c r="M78" s="24">
        <v>56832</v>
      </c>
      <c r="N78" s="24">
        <v>76.5</v>
      </c>
      <c r="O78" s="24">
        <v>43.3</v>
      </c>
    </row>
    <row r="79" spans="1:15" ht="135" x14ac:dyDescent="0.25">
      <c r="A79" s="24" t="s">
        <v>456</v>
      </c>
      <c r="B79" s="24" t="s">
        <v>5122</v>
      </c>
      <c r="C79" s="24" t="s">
        <v>885</v>
      </c>
      <c r="D79" s="24" t="s">
        <v>4567</v>
      </c>
      <c r="E79" s="24" t="s">
        <v>4425</v>
      </c>
      <c r="F79" s="24">
        <v>47736</v>
      </c>
      <c r="G79" s="24">
        <v>255784.6</v>
      </c>
      <c r="J79" s="46" t="s">
        <v>4031</v>
      </c>
      <c r="L79" s="24" t="s">
        <v>5361</v>
      </c>
      <c r="M79" s="24">
        <v>37056</v>
      </c>
      <c r="N79" s="24">
        <v>27.3</v>
      </c>
      <c r="O79" s="24">
        <v>21.4</v>
      </c>
    </row>
    <row r="80" spans="1:15" ht="120" x14ac:dyDescent="0.25">
      <c r="A80" s="24" t="s">
        <v>706</v>
      </c>
      <c r="B80" s="24" t="s">
        <v>5123</v>
      </c>
      <c r="C80" s="24" t="s">
        <v>4434</v>
      </c>
      <c r="D80" s="24" t="s">
        <v>4479</v>
      </c>
      <c r="E80" s="24" t="s">
        <v>4425</v>
      </c>
      <c r="F80" s="24">
        <v>21000</v>
      </c>
      <c r="G80" s="24">
        <v>16107.9</v>
      </c>
      <c r="J80" s="46" t="s">
        <v>4031</v>
      </c>
      <c r="L80" s="24" t="s">
        <v>5362</v>
      </c>
      <c r="M80" s="24">
        <v>26864</v>
      </c>
      <c r="N80" s="24">
        <v>549.4</v>
      </c>
      <c r="O80" s="24">
        <v>84.6</v>
      </c>
    </row>
    <row r="81" spans="1:15" ht="120" x14ac:dyDescent="0.25">
      <c r="A81" s="24" t="s">
        <v>528</v>
      </c>
      <c r="B81" s="24" t="s">
        <v>527</v>
      </c>
      <c r="C81" s="24" t="s">
        <v>904</v>
      </c>
      <c r="D81" s="24" t="s">
        <v>4445</v>
      </c>
      <c r="E81" s="24" t="s">
        <v>4425</v>
      </c>
      <c r="F81" s="24">
        <v>17300</v>
      </c>
      <c r="G81" s="24">
        <v>62742.6</v>
      </c>
      <c r="J81" s="51" t="s">
        <v>4031</v>
      </c>
      <c r="L81" s="24" t="s">
        <v>5363</v>
      </c>
      <c r="M81" s="24">
        <v>34775</v>
      </c>
      <c r="N81" s="24">
        <v>141.80000000000001</v>
      </c>
      <c r="O81" s="24">
        <v>56.4</v>
      </c>
    </row>
    <row r="82" spans="1:15" ht="135" x14ac:dyDescent="0.25">
      <c r="A82" s="24" t="s">
        <v>661</v>
      </c>
      <c r="B82" s="24" t="s">
        <v>5124</v>
      </c>
      <c r="C82" s="24" t="s">
        <v>902</v>
      </c>
      <c r="D82" s="24" t="s">
        <v>4587</v>
      </c>
      <c r="E82" s="24" t="s">
        <v>4425</v>
      </c>
      <c r="F82" s="24">
        <v>74000</v>
      </c>
      <c r="G82" s="24">
        <v>24806.9</v>
      </c>
      <c r="J82" s="51" t="s">
        <v>4031</v>
      </c>
      <c r="L82" s="24" t="s">
        <v>5364</v>
      </c>
      <c r="M82" s="24">
        <v>25523</v>
      </c>
      <c r="N82" s="24">
        <v>979.4</v>
      </c>
      <c r="O82" s="24">
        <v>90.7</v>
      </c>
    </row>
    <row r="83" spans="1:15" ht="120" x14ac:dyDescent="0.25">
      <c r="A83" s="24" t="s">
        <v>610</v>
      </c>
      <c r="B83" s="24" t="s">
        <v>609</v>
      </c>
      <c r="C83" s="24" t="s">
        <v>866</v>
      </c>
      <c r="D83" s="24" t="s">
        <v>4455</v>
      </c>
      <c r="E83" s="24" t="s">
        <v>4425</v>
      </c>
      <c r="F83" s="24">
        <v>17600</v>
      </c>
      <c r="G83" s="24">
        <v>34354.300000000003</v>
      </c>
      <c r="J83" s="51" t="s">
        <v>4031</v>
      </c>
      <c r="L83" s="24" t="s">
        <v>5367</v>
      </c>
      <c r="M83" s="24">
        <v>18516</v>
      </c>
      <c r="N83" s="24">
        <v>151.69999999999999</v>
      </c>
      <c r="O83" s="24">
        <v>58.3</v>
      </c>
    </row>
    <row r="84" spans="1:15" ht="135" x14ac:dyDescent="0.25">
      <c r="A84" s="24" t="s">
        <v>692</v>
      </c>
      <c r="B84" s="24" t="s">
        <v>1169</v>
      </c>
      <c r="C84" s="24" t="s">
        <v>4428</v>
      </c>
      <c r="D84" s="24" t="s">
        <v>4429</v>
      </c>
      <c r="E84" s="24" t="s">
        <v>4425</v>
      </c>
      <c r="F84" s="24">
        <v>40000</v>
      </c>
      <c r="G84" s="24">
        <v>16610.2</v>
      </c>
      <c r="J84" s="51" t="s">
        <v>4031</v>
      </c>
      <c r="L84" s="24" t="s">
        <v>5368</v>
      </c>
      <c r="M84" s="24">
        <v>4006</v>
      </c>
      <c r="N84" s="24">
        <v>62.7</v>
      </c>
      <c r="O84" s="24">
        <v>38.5</v>
      </c>
    </row>
    <row r="85" spans="1:15" ht="135" x14ac:dyDescent="0.25">
      <c r="A85" s="24" t="s">
        <v>839</v>
      </c>
      <c r="B85" s="24" t="s">
        <v>5127</v>
      </c>
      <c r="C85" s="24" t="s">
        <v>4434</v>
      </c>
      <c r="D85" s="24" t="s">
        <v>4703</v>
      </c>
      <c r="E85" s="24" t="s">
        <v>4425</v>
      </c>
      <c r="F85" s="24">
        <v>9800</v>
      </c>
      <c r="G85" s="24">
        <v>12211.5</v>
      </c>
      <c r="J85" s="51" t="s">
        <v>4031</v>
      </c>
      <c r="L85" s="24" t="s">
        <v>5370</v>
      </c>
      <c r="M85" s="24">
        <v>14436</v>
      </c>
      <c r="N85" s="24">
        <v>124.3</v>
      </c>
      <c r="O85" s="24">
        <v>55.4</v>
      </c>
    </row>
    <row r="86" spans="1:15" ht="135" x14ac:dyDescent="0.25">
      <c r="A86" s="24" t="s">
        <v>818</v>
      </c>
      <c r="B86" s="24" t="s">
        <v>5128</v>
      </c>
      <c r="C86" s="24" t="s">
        <v>4434</v>
      </c>
      <c r="D86" s="24" t="s">
        <v>4703</v>
      </c>
      <c r="E86" s="24" t="s">
        <v>4425</v>
      </c>
      <c r="F86" s="24">
        <v>13500</v>
      </c>
      <c r="G86" s="24">
        <v>16218.1</v>
      </c>
      <c r="J86" s="51" t="s">
        <v>4031</v>
      </c>
      <c r="L86" s="24" t="s">
        <v>5371</v>
      </c>
      <c r="M86" s="24">
        <v>14138.1</v>
      </c>
      <c r="N86" s="24">
        <v>94.5</v>
      </c>
      <c r="O86" s="24">
        <v>48.6</v>
      </c>
    </row>
    <row r="87" spans="1:15" ht="90" x14ac:dyDescent="0.25">
      <c r="A87" s="24" t="s">
        <v>548</v>
      </c>
      <c r="B87" s="24" t="s">
        <v>5129</v>
      </c>
      <c r="C87" s="24" t="s">
        <v>922</v>
      </c>
      <c r="D87" s="24" t="s">
        <v>4477</v>
      </c>
      <c r="E87" s="24" t="s">
        <v>4425</v>
      </c>
      <c r="F87" s="24">
        <v>2878</v>
      </c>
      <c r="G87" s="24">
        <v>41923.9</v>
      </c>
      <c r="J87" s="51" t="s">
        <v>4031</v>
      </c>
      <c r="L87" s="24" t="s">
        <v>5372</v>
      </c>
      <c r="M87" s="24">
        <v>14087.5</v>
      </c>
      <c r="N87" s="24">
        <v>85.2</v>
      </c>
      <c r="O87" s="24">
        <v>44.9</v>
      </c>
    </row>
    <row r="88" spans="1:15" ht="135" x14ac:dyDescent="0.25">
      <c r="A88" s="24" t="s">
        <v>571</v>
      </c>
      <c r="B88" s="24" t="s">
        <v>5130</v>
      </c>
      <c r="C88" s="24" t="s">
        <v>4423</v>
      </c>
      <c r="D88" s="24" t="s">
        <v>4489</v>
      </c>
      <c r="E88" s="24" t="s">
        <v>4425</v>
      </c>
      <c r="F88" s="24">
        <v>35700</v>
      </c>
      <c r="G88" s="24">
        <v>42320.7</v>
      </c>
      <c r="J88" s="51" t="s">
        <v>4031</v>
      </c>
      <c r="L88" s="24" t="s">
        <v>5373</v>
      </c>
      <c r="M88" s="24">
        <v>14027</v>
      </c>
      <c r="N88" s="24">
        <v>85.3</v>
      </c>
      <c r="O88" s="24">
        <v>46</v>
      </c>
    </row>
    <row r="89" spans="1:15" ht="105" x14ac:dyDescent="0.25">
      <c r="A89" s="24" t="s">
        <v>667</v>
      </c>
      <c r="B89" s="24" t="s">
        <v>5131</v>
      </c>
      <c r="C89" s="24" t="s">
        <v>922</v>
      </c>
      <c r="D89" s="24" t="s">
        <v>4477</v>
      </c>
      <c r="E89" s="24" t="s">
        <v>4425</v>
      </c>
      <c r="F89" s="24">
        <v>350</v>
      </c>
      <c r="G89" s="24">
        <v>21502.799999999999</v>
      </c>
      <c r="J89" s="51" t="s">
        <v>4031</v>
      </c>
      <c r="L89" s="24" t="s">
        <v>5374</v>
      </c>
      <c r="M89" s="24">
        <v>3394.4</v>
      </c>
      <c r="N89" s="24">
        <v>57</v>
      </c>
      <c r="O89" s="24">
        <v>36.299999999999997</v>
      </c>
    </row>
    <row r="90" spans="1:15" ht="135" x14ac:dyDescent="0.25">
      <c r="A90" s="24" t="s">
        <v>709</v>
      </c>
      <c r="B90" s="24" t="s">
        <v>5132</v>
      </c>
      <c r="C90" s="24" t="s">
        <v>4434</v>
      </c>
      <c r="D90" s="24" t="s">
        <v>4485</v>
      </c>
      <c r="E90" s="24" t="s">
        <v>4425</v>
      </c>
      <c r="F90" s="24">
        <v>156883</v>
      </c>
      <c r="G90" s="24">
        <v>17491.8</v>
      </c>
      <c r="J90" s="51" t="s">
        <v>4031</v>
      </c>
      <c r="L90" s="24" t="s">
        <v>5375</v>
      </c>
      <c r="M90" s="24">
        <v>1747.3</v>
      </c>
      <c r="N90" s="24">
        <v>68.7</v>
      </c>
      <c r="O90" s="24">
        <v>40.700000000000003</v>
      </c>
    </row>
    <row r="91" spans="1:15" ht="135" x14ac:dyDescent="0.25">
      <c r="A91" s="24" t="s">
        <v>673</v>
      </c>
      <c r="B91" s="24" t="s">
        <v>5133</v>
      </c>
      <c r="C91" s="24" t="s">
        <v>904</v>
      </c>
      <c r="D91" s="24" t="s">
        <v>4445</v>
      </c>
      <c r="E91" s="24" t="s">
        <v>4425</v>
      </c>
      <c r="F91" s="24">
        <v>10600</v>
      </c>
      <c r="G91" s="24">
        <v>22894.7</v>
      </c>
      <c r="J91" s="51" t="s">
        <v>4031</v>
      </c>
      <c r="K91" s="45"/>
      <c r="L91" s="24" t="s">
        <v>5376</v>
      </c>
      <c r="M91" s="24">
        <v>16924</v>
      </c>
      <c r="N91" s="24">
        <v>197.5</v>
      </c>
      <c r="O91" s="24">
        <v>66.400000000000006</v>
      </c>
    </row>
    <row r="92" spans="1:15" ht="135" x14ac:dyDescent="0.25">
      <c r="A92" s="24" t="s">
        <v>509</v>
      </c>
      <c r="B92" s="24" t="s">
        <v>960</v>
      </c>
      <c r="C92" s="24" t="s">
        <v>904</v>
      </c>
      <c r="D92" s="24" t="s">
        <v>4445</v>
      </c>
      <c r="E92" s="24" t="s">
        <v>4425</v>
      </c>
      <c r="F92" s="24">
        <v>27535</v>
      </c>
      <c r="G92" s="24">
        <v>78434.600000000006</v>
      </c>
      <c r="J92" s="51" t="s">
        <v>4031</v>
      </c>
      <c r="L92" s="24" t="s">
        <v>5377</v>
      </c>
      <c r="M92" s="24">
        <v>57929</v>
      </c>
      <c r="N92" s="24">
        <v>122.4</v>
      </c>
      <c r="O92" s="24">
        <v>54</v>
      </c>
    </row>
    <row r="93" spans="1:15" ht="135" x14ac:dyDescent="0.25">
      <c r="A93" s="24" t="s">
        <v>824</v>
      </c>
      <c r="B93" s="24" t="s">
        <v>1267</v>
      </c>
      <c r="C93" s="24" t="s">
        <v>4428</v>
      </c>
      <c r="D93" s="24" t="s">
        <v>4429</v>
      </c>
      <c r="E93" s="24" t="s">
        <v>4425</v>
      </c>
      <c r="F93" s="24">
        <v>67000</v>
      </c>
      <c r="G93" s="24">
        <v>11157</v>
      </c>
      <c r="J93" s="51" t="s">
        <v>4031</v>
      </c>
      <c r="L93" s="24" t="s">
        <v>5378</v>
      </c>
      <c r="M93" s="24">
        <v>8770.9</v>
      </c>
      <c r="N93" s="24">
        <v>763.1</v>
      </c>
      <c r="O93" s="24">
        <v>88.4</v>
      </c>
    </row>
    <row r="94" spans="1:15" ht="135" x14ac:dyDescent="0.25">
      <c r="A94" s="24" t="s">
        <v>647</v>
      </c>
      <c r="B94" s="24" t="s">
        <v>1106</v>
      </c>
      <c r="C94" s="24" t="s">
        <v>885</v>
      </c>
      <c r="D94" s="24" t="s">
        <v>4505</v>
      </c>
      <c r="E94" s="24" t="s">
        <v>4425</v>
      </c>
      <c r="F94" s="24">
        <v>1400</v>
      </c>
      <c r="G94" s="24">
        <v>35061.800000000003</v>
      </c>
      <c r="J94" s="51" t="s">
        <v>4031</v>
      </c>
      <c r="L94" s="24" t="s">
        <v>5379</v>
      </c>
      <c r="M94" s="24">
        <v>6738</v>
      </c>
      <c r="N94" s="24">
        <v>75.5</v>
      </c>
      <c r="O94" s="24">
        <v>43</v>
      </c>
    </row>
    <row r="95" spans="1:15" ht="120" x14ac:dyDescent="0.25">
      <c r="A95" s="24" t="s">
        <v>819</v>
      </c>
      <c r="B95" s="24" t="s">
        <v>5134</v>
      </c>
      <c r="C95" s="24" t="s">
        <v>4430</v>
      </c>
      <c r="D95" s="24" t="s">
        <v>4595</v>
      </c>
      <c r="E95" s="24" t="s">
        <v>4425</v>
      </c>
      <c r="F95" s="24">
        <v>134000</v>
      </c>
      <c r="G95" s="24">
        <v>7395.6</v>
      </c>
      <c r="J95" s="51" t="s">
        <v>4031</v>
      </c>
      <c r="L95" s="24" t="s">
        <v>5380</v>
      </c>
      <c r="M95" s="24">
        <v>4363</v>
      </c>
      <c r="N95" s="24">
        <v>91.4</v>
      </c>
      <c r="O95" s="24">
        <v>47.8</v>
      </c>
    </row>
    <row r="96" spans="1:15" ht="135" x14ac:dyDescent="0.25">
      <c r="A96" s="24" t="s">
        <v>639</v>
      </c>
      <c r="B96" s="24" t="s">
        <v>5136</v>
      </c>
      <c r="C96" s="24" t="s">
        <v>904</v>
      </c>
      <c r="D96" s="24" t="s">
        <v>4445</v>
      </c>
      <c r="E96" s="24" t="s">
        <v>4425</v>
      </c>
      <c r="F96" s="24">
        <v>14071</v>
      </c>
      <c r="G96" s="24">
        <v>28788.1</v>
      </c>
      <c r="J96" s="51" t="s">
        <v>4031</v>
      </c>
      <c r="L96" s="24" t="s">
        <v>5382</v>
      </c>
      <c r="M96" s="24">
        <v>21843</v>
      </c>
      <c r="N96" s="24">
        <v>109</v>
      </c>
      <c r="O96" s="24">
        <v>52.2</v>
      </c>
    </row>
    <row r="97" spans="1:15" ht="120" x14ac:dyDescent="0.25">
      <c r="A97" s="24" t="s">
        <v>656</v>
      </c>
      <c r="B97" s="24" t="s">
        <v>655</v>
      </c>
      <c r="C97" s="24" t="s">
        <v>904</v>
      </c>
      <c r="D97" s="24" t="s">
        <v>4445</v>
      </c>
      <c r="E97" s="24" t="s">
        <v>4425</v>
      </c>
      <c r="F97" s="24">
        <v>13351</v>
      </c>
      <c r="G97" s="24">
        <v>23596.1</v>
      </c>
      <c r="J97" s="51" t="s">
        <v>4031</v>
      </c>
      <c r="L97" s="24" t="s">
        <v>5384</v>
      </c>
      <c r="M97" s="24">
        <v>23342</v>
      </c>
      <c r="N97" s="24">
        <v>171.6</v>
      </c>
      <c r="O97" s="24">
        <v>61.1</v>
      </c>
    </row>
    <row r="98" spans="1:15" ht="135" x14ac:dyDescent="0.25">
      <c r="A98" s="24" t="s">
        <v>541</v>
      </c>
      <c r="B98" s="24" t="s">
        <v>5138</v>
      </c>
      <c r="C98" s="24" t="s">
        <v>902</v>
      </c>
      <c r="D98" s="24" t="s">
        <v>4532</v>
      </c>
      <c r="E98" s="24" t="s">
        <v>4425</v>
      </c>
      <c r="F98" s="24">
        <v>86700</v>
      </c>
      <c r="G98" s="24">
        <v>53886</v>
      </c>
      <c r="J98" s="51" t="s">
        <v>4031</v>
      </c>
      <c r="L98" s="24" t="s">
        <v>5385</v>
      </c>
      <c r="M98" s="24">
        <v>5793</v>
      </c>
      <c r="N98" s="24">
        <v>58.6</v>
      </c>
      <c r="O98" s="24">
        <v>37</v>
      </c>
    </row>
    <row r="99" spans="1:15" ht="90" x14ac:dyDescent="0.25">
      <c r="A99" s="24" t="s">
        <v>545</v>
      </c>
      <c r="B99" s="24" t="s">
        <v>1009</v>
      </c>
      <c r="C99" s="24" t="s">
        <v>885</v>
      </c>
      <c r="D99" s="24" t="s">
        <v>4505</v>
      </c>
      <c r="E99" s="24" t="s">
        <v>4425</v>
      </c>
      <c r="F99" s="24">
        <v>2900</v>
      </c>
      <c r="G99" s="24">
        <v>62914.7</v>
      </c>
      <c r="J99" s="51" t="s">
        <v>4031</v>
      </c>
      <c r="L99" s="24" t="s">
        <v>5386</v>
      </c>
      <c r="M99" s="24">
        <v>5079</v>
      </c>
      <c r="N99" s="24">
        <v>23.3</v>
      </c>
      <c r="O99" s="24">
        <v>18.899999999999999</v>
      </c>
    </row>
    <row r="100" spans="1:15" ht="90" x14ac:dyDescent="0.25">
      <c r="A100" s="24" t="s">
        <v>629</v>
      </c>
      <c r="B100" s="24" t="s">
        <v>628</v>
      </c>
      <c r="C100" s="24" t="s">
        <v>922</v>
      </c>
      <c r="D100" s="24" t="s">
        <v>4427</v>
      </c>
      <c r="E100" s="24" t="s">
        <v>4425</v>
      </c>
      <c r="F100" s="24">
        <v>2600</v>
      </c>
      <c r="G100" s="24">
        <v>32772.699999999997</v>
      </c>
      <c r="J100" s="51" t="s">
        <v>4031</v>
      </c>
      <c r="L100" s="24" t="s">
        <v>5387</v>
      </c>
      <c r="M100" s="24">
        <v>8114.6</v>
      </c>
      <c r="N100" s="24">
        <v>76.400000000000006</v>
      </c>
      <c r="O100" s="24">
        <v>43.2</v>
      </c>
    </row>
    <row r="101" spans="1:15" ht="120" x14ac:dyDescent="0.25">
      <c r="A101" s="24" t="s">
        <v>626</v>
      </c>
      <c r="B101" s="24" t="s">
        <v>625</v>
      </c>
      <c r="C101" s="24" t="s">
        <v>904</v>
      </c>
      <c r="D101" s="24" t="s">
        <v>4445</v>
      </c>
      <c r="E101" s="24" t="s">
        <v>4425</v>
      </c>
      <c r="F101" s="24">
        <v>9299</v>
      </c>
      <c r="G101" s="24">
        <v>29103.200000000001</v>
      </c>
      <c r="J101" s="51" t="s">
        <v>4031</v>
      </c>
      <c r="L101" s="24" t="s">
        <v>5388</v>
      </c>
      <c r="M101" s="24">
        <v>17874</v>
      </c>
      <c r="N101" s="24">
        <v>124</v>
      </c>
      <c r="O101" s="24">
        <v>55.1</v>
      </c>
    </row>
    <row r="102" spans="1:15" ht="120" x14ac:dyDescent="0.25">
      <c r="A102" s="24" t="s">
        <v>677</v>
      </c>
      <c r="B102" s="24" t="s">
        <v>5139</v>
      </c>
      <c r="C102" s="24" t="s">
        <v>922</v>
      </c>
      <c r="D102" s="24" t="s">
        <v>4427</v>
      </c>
      <c r="E102" s="24" t="s">
        <v>4425</v>
      </c>
      <c r="F102" s="24">
        <v>1799</v>
      </c>
      <c r="G102" s="24">
        <v>21344.9</v>
      </c>
      <c r="J102" s="51" t="s">
        <v>4031</v>
      </c>
      <c r="L102" s="24" t="s">
        <v>5389</v>
      </c>
      <c r="M102" s="24">
        <v>6088.3</v>
      </c>
      <c r="N102" s="24">
        <v>102.3</v>
      </c>
      <c r="O102" s="24">
        <v>50.6</v>
      </c>
    </row>
    <row r="103" spans="1:15" ht="120" x14ac:dyDescent="0.25">
      <c r="A103" s="24" t="s">
        <v>521</v>
      </c>
      <c r="B103" s="24" t="s">
        <v>5140</v>
      </c>
      <c r="C103" s="24" t="s">
        <v>902</v>
      </c>
      <c r="D103" s="24" t="s">
        <v>4532</v>
      </c>
      <c r="E103" s="24" t="s">
        <v>4436</v>
      </c>
      <c r="F103" s="24">
        <v>85000</v>
      </c>
      <c r="G103" s="24">
        <v>63074.5</v>
      </c>
      <c r="J103" s="51" t="s">
        <v>4031</v>
      </c>
      <c r="L103" s="24" t="s">
        <v>5390</v>
      </c>
      <c r="M103" s="24">
        <v>8520</v>
      </c>
      <c r="N103" s="24">
        <v>53.3</v>
      </c>
      <c r="O103" s="24">
        <v>34.799999999999997</v>
      </c>
    </row>
    <row r="104" spans="1:15" ht="135" x14ac:dyDescent="0.25">
      <c r="A104" s="24" t="s">
        <v>745</v>
      </c>
      <c r="B104" s="24" t="s">
        <v>1224</v>
      </c>
      <c r="C104" s="24" t="s">
        <v>904</v>
      </c>
      <c r="D104" s="24" t="s">
        <v>4445</v>
      </c>
      <c r="E104" s="24" t="s">
        <v>4425</v>
      </c>
      <c r="F104" s="24">
        <v>5133</v>
      </c>
      <c r="G104" s="24">
        <v>14441.5</v>
      </c>
      <c r="J104" s="51" t="s">
        <v>4031</v>
      </c>
      <c r="L104" s="24" t="s">
        <v>5392</v>
      </c>
      <c r="M104" s="24">
        <v>9297.2999999999993</v>
      </c>
      <c r="N104" s="24">
        <v>99.8</v>
      </c>
      <c r="O104" s="24">
        <v>49.9</v>
      </c>
    </row>
    <row r="105" spans="1:15" ht="105" x14ac:dyDescent="0.25">
      <c r="A105" s="24" t="s">
        <v>651</v>
      </c>
      <c r="B105" s="24" t="s">
        <v>5142</v>
      </c>
      <c r="C105" s="24" t="s">
        <v>4434</v>
      </c>
      <c r="D105" s="24" t="s">
        <v>4687</v>
      </c>
      <c r="E105" s="24" t="s">
        <v>4425</v>
      </c>
      <c r="F105" s="24">
        <v>19100</v>
      </c>
      <c r="G105" s="24">
        <v>26835.5</v>
      </c>
      <c r="J105" s="51" t="s">
        <v>4031</v>
      </c>
      <c r="L105" s="24" t="s">
        <v>5393</v>
      </c>
      <c r="M105" s="24">
        <v>7712</v>
      </c>
      <c r="N105" s="24">
        <v>481.1</v>
      </c>
      <c r="O105" s="24">
        <v>78.5</v>
      </c>
    </row>
    <row r="106" spans="1:15" ht="135" x14ac:dyDescent="0.25">
      <c r="A106" s="24" t="s">
        <v>718</v>
      </c>
      <c r="B106" s="24" t="s">
        <v>1190</v>
      </c>
      <c r="C106" s="24" t="s">
        <v>885</v>
      </c>
      <c r="D106" s="24" t="s">
        <v>4505</v>
      </c>
      <c r="E106" s="24" t="s">
        <v>4425</v>
      </c>
      <c r="F106" s="24">
        <v>732</v>
      </c>
      <c r="G106" s="24">
        <v>23081.599999999999</v>
      </c>
      <c r="J106" s="51" t="s">
        <v>4031</v>
      </c>
      <c r="L106" s="24" t="s">
        <v>5396</v>
      </c>
      <c r="M106" s="24">
        <v>6925</v>
      </c>
      <c r="N106" s="24">
        <v>60.3</v>
      </c>
      <c r="O106" s="24">
        <v>37.6</v>
      </c>
    </row>
    <row r="107" spans="1:15" ht="135" x14ac:dyDescent="0.25">
      <c r="A107" s="24" t="s">
        <v>526</v>
      </c>
      <c r="B107" s="24" t="s">
        <v>525</v>
      </c>
      <c r="C107" s="24" t="s">
        <v>902</v>
      </c>
      <c r="D107" s="24" t="s">
        <v>4564</v>
      </c>
      <c r="E107" s="24" t="s">
        <v>4425</v>
      </c>
      <c r="F107" s="24">
        <v>228000</v>
      </c>
      <c r="G107" s="24">
        <v>64430</v>
      </c>
      <c r="J107" s="51" t="s">
        <v>4031</v>
      </c>
      <c r="L107" s="24" t="s">
        <v>5398</v>
      </c>
      <c r="M107" s="24">
        <v>20386</v>
      </c>
      <c r="N107" s="24">
        <v>81.7</v>
      </c>
      <c r="O107" s="24">
        <v>45</v>
      </c>
    </row>
    <row r="108" spans="1:15" ht="135" x14ac:dyDescent="0.25">
      <c r="A108" s="24" t="s">
        <v>682</v>
      </c>
      <c r="B108" s="24" t="s">
        <v>5146</v>
      </c>
      <c r="C108" s="24" t="s">
        <v>904</v>
      </c>
      <c r="D108" s="24" t="s">
        <v>4445</v>
      </c>
      <c r="E108" s="24" t="s">
        <v>4425</v>
      </c>
      <c r="F108" s="24">
        <v>12153</v>
      </c>
      <c r="G108" s="24">
        <v>22408.3</v>
      </c>
      <c r="J108" s="51" t="s">
        <v>4031</v>
      </c>
      <c r="L108" s="24" t="s">
        <v>5399</v>
      </c>
      <c r="M108" s="24">
        <v>22503</v>
      </c>
      <c r="N108" s="24">
        <v>300.89999999999998</v>
      </c>
      <c r="O108" s="24">
        <v>75.099999999999994</v>
      </c>
    </row>
    <row r="109" spans="1:15" ht="135" x14ac:dyDescent="0.25">
      <c r="A109" s="24" t="s">
        <v>757</v>
      </c>
      <c r="B109" s="24" t="s">
        <v>5147</v>
      </c>
      <c r="C109" s="24" t="s">
        <v>4430</v>
      </c>
      <c r="D109" s="24" t="s">
        <v>4595</v>
      </c>
      <c r="E109" s="24" t="s">
        <v>4425</v>
      </c>
      <c r="F109" s="24">
        <v>6461</v>
      </c>
      <c r="G109" s="24">
        <v>12398.3</v>
      </c>
      <c r="J109" s="51" t="s">
        <v>4031</v>
      </c>
      <c r="L109" s="24" t="s">
        <v>5400</v>
      </c>
      <c r="M109" s="24">
        <v>349.8</v>
      </c>
      <c r="N109" s="24">
        <v>14.8</v>
      </c>
      <c r="O109" s="24">
        <v>12.9</v>
      </c>
    </row>
    <row r="110" spans="1:15" ht="120" x14ac:dyDescent="0.25">
      <c r="A110" s="24" t="s">
        <v>641</v>
      </c>
      <c r="B110" s="24" t="s">
        <v>640</v>
      </c>
      <c r="C110" s="24" t="s">
        <v>866</v>
      </c>
      <c r="D110" s="24" t="s">
        <v>4455</v>
      </c>
      <c r="E110" s="24" t="s">
        <v>4425</v>
      </c>
      <c r="F110" s="24">
        <v>19171</v>
      </c>
      <c r="G110" s="24">
        <v>30632.3</v>
      </c>
      <c r="J110" s="51" t="s">
        <v>4031</v>
      </c>
      <c r="L110" s="24" t="s">
        <v>5401</v>
      </c>
      <c r="M110" s="24">
        <v>11419</v>
      </c>
      <c r="N110" s="24">
        <v>56</v>
      </c>
      <c r="O110" s="24">
        <v>33.6</v>
      </c>
    </row>
    <row r="111" spans="1:15" ht="135" x14ac:dyDescent="0.25">
      <c r="A111" s="24" t="s">
        <v>763</v>
      </c>
      <c r="B111" s="24" t="s">
        <v>1245</v>
      </c>
      <c r="C111" s="24" t="s">
        <v>4423</v>
      </c>
      <c r="D111" s="24" t="s">
        <v>4457</v>
      </c>
      <c r="E111" s="24" t="s">
        <v>4425</v>
      </c>
      <c r="F111" s="24">
        <v>6400</v>
      </c>
      <c r="G111" s="24">
        <v>13606.8</v>
      </c>
      <c r="J111" s="51" t="s">
        <v>4031</v>
      </c>
      <c r="L111" s="24" t="s">
        <v>5403</v>
      </c>
      <c r="M111" s="24">
        <v>2631.7</v>
      </c>
      <c r="N111" s="24">
        <v>86.8</v>
      </c>
      <c r="O111" s="24">
        <v>46.5</v>
      </c>
    </row>
    <row r="112" spans="1:15" ht="105" x14ac:dyDescent="0.25">
      <c r="A112" s="24" t="s">
        <v>398</v>
      </c>
      <c r="B112" s="24" t="s">
        <v>5149</v>
      </c>
      <c r="C112" s="24" t="s">
        <v>4434</v>
      </c>
      <c r="D112" s="24" t="s">
        <v>4703</v>
      </c>
      <c r="E112" s="24" t="s">
        <v>4425</v>
      </c>
      <c r="F112" s="24">
        <v>9000</v>
      </c>
      <c r="G112" s="24">
        <v>20951.7</v>
      </c>
      <c r="J112" s="51" t="s">
        <v>4031</v>
      </c>
      <c r="L112" s="24" t="s">
        <v>5404</v>
      </c>
      <c r="M112" s="24">
        <v>7203</v>
      </c>
      <c r="N112" s="24">
        <v>63</v>
      </c>
      <c r="O112" s="24">
        <v>38.700000000000003</v>
      </c>
    </row>
    <row r="113" spans="1:15" ht="135" x14ac:dyDescent="0.25">
      <c r="A113" s="24" t="s">
        <v>597</v>
      </c>
      <c r="B113" s="24" t="s">
        <v>596</v>
      </c>
      <c r="C113" s="24" t="s">
        <v>866</v>
      </c>
      <c r="D113" s="24" t="s">
        <v>4455</v>
      </c>
      <c r="E113" s="24" t="s">
        <v>4425</v>
      </c>
      <c r="F113" s="24">
        <v>6154</v>
      </c>
      <c r="G113" s="24">
        <v>29996.3</v>
      </c>
      <c r="J113" s="51" t="s">
        <v>4031</v>
      </c>
      <c r="L113" s="24" t="s">
        <v>5405</v>
      </c>
      <c r="M113" s="24">
        <v>1776.4</v>
      </c>
      <c r="N113" s="24">
        <v>14.9</v>
      </c>
      <c r="O113" s="24">
        <v>10.7</v>
      </c>
    </row>
    <row r="114" spans="1:15" ht="120" x14ac:dyDescent="0.25">
      <c r="A114" s="24" t="s">
        <v>805</v>
      </c>
      <c r="B114" s="24" t="s">
        <v>5150</v>
      </c>
      <c r="C114" s="24" t="s">
        <v>922</v>
      </c>
      <c r="D114" s="24" t="s">
        <v>4477</v>
      </c>
      <c r="E114" s="24" t="s">
        <v>4425</v>
      </c>
      <c r="F114" s="24">
        <v>307</v>
      </c>
      <c r="G114" s="24">
        <v>9614</v>
      </c>
      <c r="J114" s="51" t="s">
        <v>4031</v>
      </c>
      <c r="L114" s="24" t="s">
        <v>5406</v>
      </c>
      <c r="M114" s="24">
        <v>4236.3999999999996</v>
      </c>
      <c r="N114" s="24">
        <v>184.1</v>
      </c>
      <c r="O114" s="24">
        <v>63.3</v>
      </c>
    </row>
    <row r="115" spans="1:15" ht="135" x14ac:dyDescent="0.25">
      <c r="A115" s="24" t="s">
        <v>649</v>
      </c>
      <c r="B115" s="24" t="s">
        <v>1119</v>
      </c>
      <c r="C115" s="24" t="s">
        <v>902</v>
      </c>
      <c r="D115" s="24" t="s">
        <v>4491</v>
      </c>
      <c r="E115" s="24" t="s">
        <v>4425</v>
      </c>
      <c r="F115" s="24">
        <v>17000</v>
      </c>
      <c r="G115" s="24">
        <v>24967.8</v>
      </c>
      <c r="J115" s="51" t="s">
        <v>4031</v>
      </c>
      <c r="L115" s="24" t="s">
        <v>5407</v>
      </c>
      <c r="M115" s="24">
        <v>1442.1</v>
      </c>
      <c r="N115" s="24">
        <v>15.5</v>
      </c>
      <c r="O115" s="24">
        <v>13.4</v>
      </c>
    </row>
    <row r="116" spans="1:15" ht="135" x14ac:dyDescent="0.25">
      <c r="A116" s="24" t="s">
        <v>644</v>
      </c>
      <c r="B116" s="24" t="s">
        <v>5152</v>
      </c>
      <c r="C116" s="24" t="s">
        <v>4430</v>
      </c>
      <c r="D116" s="24" t="s">
        <v>4461</v>
      </c>
      <c r="E116" s="24" t="s">
        <v>4425</v>
      </c>
      <c r="F116" s="24">
        <v>50110</v>
      </c>
      <c r="G116" s="24">
        <v>33487.800000000003</v>
      </c>
      <c r="J116" s="51" t="s">
        <v>4031</v>
      </c>
      <c r="L116" s="24" t="s">
        <v>5409</v>
      </c>
      <c r="M116" s="24">
        <v>7019</v>
      </c>
      <c r="N116" s="24">
        <v>57.8</v>
      </c>
      <c r="O116" s="24">
        <v>36.6</v>
      </c>
    </row>
    <row r="117" spans="1:15" ht="120" x14ac:dyDescent="0.25">
      <c r="A117" s="24" t="s">
        <v>702</v>
      </c>
      <c r="B117" s="24" t="s">
        <v>5154</v>
      </c>
      <c r="C117" s="24" t="s">
        <v>4434</v>
      </c>
      <c r="D117" s="24" t="s">
        <v>4435</v>
      </c>
      <c r="E117" s="24" t="s">
        <v>4425</v>
      </c>
      <c r="F117" s="24">
        <v>50000</v>
      </c>
      <c r="G117" s="24">
        <v>18803.900000000001</v>
      </c>
      <c r="J117" s="51" t="s">
        <v>4031</v>
      </c>
      <c r="L117" s="24" t="s">
        <v>5411</v>
      </c>
      <c r="M117" s="24">
        <v>2432.5</v>
      </c>
      <c r="N117" s="24">
        <v>76.400000000000006</v>
      </c>
      <c r="O117" s="24">
        <v>43.3</v>
      </c>
    </row>
    <row r="118" spans="1:15" ht="105" x14ac:dyDescent="0.25">
      <c r="A118" s="24" t="s">
        <v>582</v>
      </c>
      <c r="B118" s="24" t="s">
        <v>1056</v>
      </c>
      <c r="C118" s="24" t="s">
        <v>902</v>
      </c>
      <c r="D118" s="24" t="s">
        <v>4438</v>
      </c>
      <c r="E118" s="24" t="s">
        <v>4425</v>
      </c>
      <c r="F118" s="24">
        <v>24000</v>
      </c>
      <c r="G118" s="24">
        <v>40760.400000000001</v>
      </c>
      <c r="J118" s="51" t="s">
        <v>4031</v>
      </c>
      <c r="L118" s="24" t="s">
        <v>5412</v>
      </c>
      <c r="M118" s="24">
        <v>10709.8</v>
      </c>
      <c r="N118" s="24">
        <v>41</v>
      </c>
      <c r="O118" s="24">
        <v>29.1</v>
      </c>
    </row>
    <row r="119" spans="1:15" ht="135" x14ac:dyDescent="0.25">
      <c r="A119" s="24" t="s">
        <v>840</v>
      </c>
      <c r="B119" s="24" t="s">
        <v>1298</v>
      </c>
      <c r="C119" s="24" t="s">
        <v>4434</v>
      </c>
      <c r="D119" s="24" t="s">
        <v>4439</v>
      </c>
      <c r="E119" s="24" t="s">
        <v>4425</v>
      </c>
      <c r="F119" s="24">
        <v>117000</v>
      </c>
      <c r="G119" s="24">
        <v>6557</v>
      </c>
      <c r="J119" s="51" t="s">
        <v>4031</v>
      </c>
      <c r="L119" s="24" t="s">
        <v>5413</v>
      </c>
      <c r="M119" s="24">
        <v>1484</v>
      </c>
      <c r="N119" s="24">
        <v>53.2</v>
      </c>
      <c r="O119" s="24">
        <v>34.700000000000003</v>
      </c>
    </row>
    <row r="120" spans="1:15" ht="135" x14ac:dyDescent="0.25">
      <c r="A120" s="24" t="s">
        <v>480</v>
      </c>
      <c r="B120" s="24" t="s">
        <v>925</v>
      </c>
      <c r="C120" s="24" t="s">
        <v>866</v>
      </c>
      <c r="D120" s="24" t="s">
        <v>4536</v>
      </c>
      <c r="E120" s="24" t="s">
        <v>4425</v>
      </c>
      <c r="F120" s="24">
        <v>43000</v>
      </c>
      <c r="G120" s="24">
        <v>114726.9</v>
      </c>
      <c r="J120" s="51" t="s">
        <v>4031</v>
      </c>
      <c r="L120" s="24" t="s">
        <v>5415</v>
      </c>
      <c r="M120" s="24">
        <v>252365</v>
      </c>
      <c r="N120" s="24">
        <v>261.89999999999998</v>
      </c>
      <c r="O120" s="24">
        <v>70.400000000000006</v>
      </c>
    </row>
    <row r="121" spans="1:15" ht="120" x14ac:dyDescent="0.25">
      <c r="A121" s="24" t="s">
        <v>699</v>
      </c>
      <c r="B121" s="24" t="s">
        <v>5157</v>
      </c>
      <c r="C121" s="24" t="s">
        <v>885</v>
      </c>
      <c r="D121" s="24" t="s">
        <v>4497</v>
      </c>
      <c r="E121" s="24" t="s">
        <v>4425</v>
      </c>
      <c r="F121" s="24">
        <v>40000</v>
      </c>
      <c r="G121" s="24">
        <v>27569.599999999999</v>
      </c>
      <c r="J121" s="51" t="s">
        <v>4031</v>
      </c>
      <c r="L121" s="24" t="s">
        <v>5417</v>
      </c>
      <c r="M121" s="24">
        <v>9125</v>
      </c>
      <c r="N121" s="24">
        <v>160.6</v>
      </c>
      <c r="O121" s="24">
        <v>61.6</v>
      </c>
    </row>
    <row r="122" spans="1:15" ht="135" x14ac:dyDescent="0.25">
      <c r="A122" s="24" t="s">
        <v>768</v>
      </c>
      <c r="B122" s="24" t="s">
        <v>5158</v>
      </c>
      <c r="C122" s="24" t="s">
        <v>4434</v>
      </c>
      <c r="D122" s="24" t="s">
        <v>4617</v>
      </c>
      <c r="E122" s="24" t="s">
        <v>4425</v>
      </c>
      <c r="F122" s="24">
        <v>6822</v>
      </c>
      <c r="G122" s="24">
        <v>12386.3</v>
      </c>
      <c r="J122" s="51" t="s">
        <v>4031</v>
      </c>
      <c r="L122" s="24" t="s">
        <v>5418</v>
      </c>
      <c r="M122" s="24">
        <v>3977.4</v>
      </c>
      <c r="N122" s="24">
        <v>131.69999999999999</v>
      </c>
      <c r="O122" s="24">
        <v>56.8</v>
      </c>
    </row>
    <row r="123" spans="1:15" ht="105" x14ac:dyDescent="0.25">
      <c r="A123" s="24" t="s">
        <v>680</v>
      </c>
      <c r="B123" s="24" t="s">
        <v>5159</v>
      </c>
      <c r="C123" s="24" t="s">
        <v>866</v>
      </c>
      <c r="D123" s="24" t="s">
        <v>4455</v>
      </c>
      <c r="E123" s="24" t="s">
        <v>4425</v>
      </c>
      <c r="F123" s="24">
        <v>20908</v>
      </c>
      <c r="G123" s="24">
        <v>22318.9</v>
      </c>
      <c r="J123" s="51" t="s">
        <v>4031</v>
      </c>
      <c r="L123" s="24" t="s">
        <v>5419</v>
      </c>
      <c r="M123" s="24">
        <v>7563</v>
      </c>
      <c r="N123" s="24">
        <v>43.9</v>
      </c>
      <c r="O123" s="24">
        <v>28</v>
      </c>
    </row>
    <row r="124" spans="1:15" ht="135" x14ac:dyDescent="0.25">
      <c r="A124" s="24" t="s">
        <v>531</v>
      </c>
      <c r="B124" s="24" t="s">
        <v>5160</v>
      </c>
      <c r="C124" s="24" t="s">
        <v>4428</v>
      </c>
      <c r="D124" s="24" t="s">
        <v>4429</v>
      </c>
      <c r="E124" s="24" t="s">
        <v>4425</v>
      </c>
      <c r="F124" s="24">
        <v>195000</v>
      </c>
      <c r="G124" s="24">
        <v>74645.5</v>
      </c>
      <c r="J124" s="51" t="s">
        <v>4031</v>
      </c>
      <c r="L124" s="24" t="s">
        <v>5420</v>
      </c>
      <c r="M124" s="24">
        <v>32049</v>
      </c>
      <c r="O124" s="24">
        <v>102.2</v>
      </c>
    </row>
    <row r="125" spans="1:15" ht="105" x14ac:dyDescent="0.25">
      <c r="A125" s="24" t="s">
        <v>698</v>
      </c>
      <c r="B125" s="24" t="s">
        <v>5161</v>
      </c>
      <c r="C125" s="24" t="s">
        <v>885</v>
      </c>
      <c r="D125" s="24" t="s">
        <v>4505</v>
      </c>
      <c r="E125" s="24" t="s">
        <v>4425</v>
      </c>
      <c r="F125" s="24">
        <v>1621</v>
      </c>
      <c r="G125" s="24">
        <v>27175.4</v>
      </c>
      <c r="J125" s="51" t="s">
        <v>4031</v>
      </c>
      <c r="L125" s="24" t="s">
        <v>5421</v>
      </c>
      <c r="M125" s="24">
        <v>8198</v>
      </c>
      <c r="N125" s="24">
        <v>146.19999999999999</v>
      </c>
      <c r="O125" s="24">
        <v>59.4</v>
      </c>
    </row>
    <row r="126" spans="1:15" ht="120" x14ac:dyDescent="0.25">
      <c r="A126" s="24" t="s">
        <v>669</v>
      </c>
      <c r="B126" s="24" t="s">
        <v>5162</v>
      </c>
      <c r="C126" s="24" t="s">
        <v>866</v>
      </c>
      <c r="D126" s="24" t="s">
        <v>4471</v>
      </c>
      <c r="E126" s="24" t="s">
        <v>4425</v>
      </c>
      <c r="F126" s="24">
        <v>18500</v>
      </c>
      <c r="G126" s="24">
        <v>23903</v>
      </c>
      <c r="J126" s="51" t="s">
        <v>4031</v>
      </c>
      <c r="L126" s="24" t="s">
        <v>5422</v>
      </c>
      <c r="M126" s="24">
        <v>4943</v>
      </c>
      <c r="N126" s="24">
        <v>28.2</v>
      </c>
      <c r="O126" s="24">
        <v>21.7</v>
      </c>
    </row>
    <row r="127" spans="1:15" ht="120" x14ac:dyDescent="0.25">
      <c r="A127" s="24" t="s">
        <v>568</v>
      </c>
      <c r="B127" s="24" t="s">
        <v>567</v>
      </c>
      <c r="C127" s="24" t="s">
        <v>4434</v>
      </c>
      <c r="D127" s="24" t="s">
        <v>4495</v>
      </c>
      <c r="E127" s="24" t="s">
        <v>4425</v>
      </c>
      <c r="F127" s="24">
        <v>141000</v>
      </c>
      <c r="G127" s="24">
        <v>40364.5</v>
      </c>
      <c r="J127" s="51" t="s">
        <v>4031</v>
      </c>
      <c r="L127" s="24" t="s">
        <v>5423</v>
      </c>
      <c r="M127" s="24">
        <v>8713</v>
      </c>
      <c r="O127" s="24">
        <v>114.9</v>
      </c>
    </row>
    <row r="128" spans="1:15" ht="135" x14ac:dyDescent="0.25">
      <c r="A128" s="24" t="s">
        <v>694</v>
      </c>
      <c r="B128" s="24" t="s">
        <v>5163</v>
      </c>
      <c r="C128" s="24" t="s">
        <v>4430</v>
      </c>
      <c r="D128" s="24" t="s">
        <v>5164</v>
      </c>
      <c r="E128" s="24" t="s">
        <v>4425</v>
      </c>
      <c r="F128" s="24">
        <v>60400</v>
      </c>
      <c r="G128" s="24">
        <v>20488.099999999999</v>
      </c>
      <c r="J128" s="51" t="s">
        <v>4031</v>
      </c>
      <c r="L128" s="24" t="s">
        <v>5424</v>
      </c>
      <c r="M128" s="24">
        <v>9896</v>
      </c>
      <c r="N128" s="24">
        <v>49.6</v>
      </c>
      <c r="O128" s="24">
        <v>33.1</v>
      </c>
    </row>
    <row r="129" spans="1:15" ht="135" x14ac:dyDescent="0.25">
      <c r="A129" s="24" t="s">
        <v>565</v>
      </c>
      <c r="B129" s="24" t="s">
        <v>1047</v>
      </c>
      <c r="C129" s="24" t="s">
        <v>4430</v>
      </c>
      <c r="D129" s="24" t="s">
        <v>5164</v>
      </c>
      <c r="E129" s="24" t="s">
        <v>4425</v>
      </c>
      <c r="F129" s="24">
        <v>51000</v>
      </c>
      <c r="G129" s="24">
        <v>38144.300000000003</v>
      </c>
      <c r="J129" s="51" t="s">
        <v>4031</v>
      </c>
      <c r="L129" s="24" t="s">
        <v>5425</v>
      </c>
      <c r="M129" s="24">
        <v>6386</v>
      </c>
      <c r="O129" s="24">
        <v>134.80000000000001</v>
      </c>
    </row>
    <row r="130" spans="1:15" ht="105" x14ac:dyDescent="0.25">
      <c r="A130" s="24" t="s">
        <v>772</v>
      </c>
      <c r="B130" s="24" t="s">
        <v>5165</v>
      </c>
      <c r="C130" s="24" t="s">
        <v>922</v>
      </c>
      <c r="D130" s="24" t="s">
        <v>4510</v>
      </c>
      <c r="E130" s="24" t="s">
        <v>4425</v>
      </c>
      <c r="F130" s="24">
        <v>163</v>
      </c>
      <c r="G130" s="24">
        <v>12174.3</v>
      </c>
      <c r="J130" s="51" t="s">
        <v>4031</v>
      </c>
      <c r="L130" s="24" t="s">
        <v>5427</v>
      </c>
      <c r="M130" s="24">
        <v>5545</v>
      </c>
      <c r="N130" s="24">
        <v>90.6</v>
      </c>
      <c r="O130" s="24">
        <v>47.5</v>
      </c>
    </row>
    <row r="131" spans="1:15" ht="135" x14ac:dyDescent="0.25">
      <c r="A131" s="24" t="s">
        <v>777</v>
      </c>
      <c r="B131" s="24" t="s">
        <v>5167</v>
      </c>
      <c r="C131" s="24" t="s">
        <v>902</v>
      </c>
      <c r="D131" s="24" t="s">
        <v>4463</v>
      </c>
      <c r="E131" s="24" t="s">
        <v>4425</v>
      </c>
      <c r="F131" s="24">
        <v>19700</v>
      </c>
      <c r="G131" s="24">
        <v>13508.6</v>
      </c>
      <c r="J131" s="51" t="s">
        <v>4031</v>
      </c>
      <c r="L131" s="24" t="s">
        <v>5429</v>
      </c>
      <c r="M131" s="24">
        <v>4272</v>
      </c>
      <c r="N131" s="24">
        <v>121.2</v>
      </c>
      <c r="O131" s="24">
        <v>54.4</v>
      </c>
    </row>
    <row r="132" spans="1:15" ht="120" x14ac:dyDescent="0.25">
      <c r="A132" s="24" t="s">
        <v>591</v>
      </c>
      <c r="B132" s="24" t="s">
        <v>5169</v>
      </c>
      <c r="C132" s="24" t="s">
        <v>4512</v>
      </c>
      <c r="D132" s="24" t="s">
        <v>4546</v>
      </c>
      <c r="E132" s="24" t="s">
        <v>4425</v>
      </c>
      <c r="F132" s="24">
        <v>13700</v>
      </c>
      <c r="G132" s="24">
        <v>33913.300000000003</v>
      </c>
      <c r="J132" s="51" t="s">
        <v>4031</v>
      </c>
      <c r="L132" s="24" t="s">
        <v>5432</v>
      </c>
      <c r="M132" s="24">
        <v>10818</v>
      </c>
      <c r="N132" s="24">
        <v>50.5</v>
      </c>
      <c r="O132" s="24">
        <v>33.6</v>
      </c>
    </row>
    <row r="133" spans="1:15" ht="135" x14ac:dyDescent="0.25">
      <c r="A133" s="24" t="s">
        <v>764</v>
      </c>
      <c r="B133" s="24" t="s">
        <v>5170</v>
      </c>
      <c r="C133" s="24" t="s">
        <v>4428</v>
      </c>
      <c r="D133" s="24" t="s">
        <v>4453</v>
      </c>
      <c r="E133" s="24" t="s">
        <v>4425</v>
      </c>
      <c r="F133" s="24">
        <v>1773</v>
      </c>
      <c r="G133" s="24">
        <v>16239.9</v>
      </c>
      <c r="J133" s="51" t="s">
        <v>4031</v>
      </c>
      <c r="L133" s="24" t="s">
        <v>5433</v>
      </c>
      <c r="M133" s="24">
        <v>31.4</v>
      </c>
      <c r="N133" s="24">
        <v>1</v>
      </c>
      <c r="O133" s="24">
        <v>1</v>
      </c>
    </row>
    <row r="134" spans="1:15" ht="75" x14ac:dyDescent="0.25">
      <c r="A134" s="24" t="s">
        <v>719</v>
      </c>
      <c r="B134" s="24" t="s">
        <v>5171</v>
      </c>
      <c r="C134" s="24" t="s">
        <v>4423</v>
      </c>
      <c r="D134" s="24" t="s">
        <v>4694</v>
      </c>
      <c r="E134" s="24" t="s">
        <v>4425</v>
      </c>
      <c r="F134" s="24">
        <v>49300</v>
      </c>
      <c r="G134" s="24">
        <v>18321.400000000001</v>
      </c>
      <c r="J134" s="51" t="s">
        <v>4031</v>
      </c>
      <c r="L134" s="24" t="s">
        <v>5434</v>
      </c>
      <c r="M134" s="24">
        <v>8241</v>
      </c>
      <c r="N134" s="24">
        <v>85.6</v>
      </c>
      <c r="O134" s="24">
        <v>46.1</v>
      </c>
    </row>
    <row r="135" spans="1:15" ht="135" x14ac:dyDescent="0.25">
      <c r="A135" s="24" t="s">
        <v>750</v>
      </c>
      <c r="B135" s="24" t="s">
        <v>5176</v>
      </c>
      <c r="C135" s="24" t="s">
        <v>922</v>
      </c>
      <c r="D135" s="24" t="s">
        <v>4477</v>
      </c>
      <c r="E135" s="24" t="s">
        <v>4425</v>
      </c>
      <c r="F135" s="24">
        <v>24610</v>
      </c>
      <c r="G135" s="24">
        <v>12821.3</v>
      </c>
      <c r="J135" s="51" t="s">
        <v>4031</v>
      </c>
      <c r="L135" s="24" t="s">
        <v>5438</v>
      </c>
      <c r="M135" s="24">
        <v>8876.7000000000007</v>
      </c>
      <c r="N135" s="24">
        <v>911.5</v>
      </c>
      <c r="O135" s="24">
        <v>90.1</v>
      </c>
    </row>
    <row r="136" spans="1:15" ht="135" x14ac:dyDescent="0.25">
      <c r="A136" s="24" t="s">
        <v>821</v>
      </c>
      <c r="B136" s="24" t="s">
        <v>5179</v>
      </c>
      <c r="C136" s="24" t="s">
        <v>866</v>
      </c>
      <c r="D136" s="24" t="s">
        <v>4447</v>
      </c>
      <c r="E136" s="24" t="s">
        <v>4425</v>
      </c>
      <c r="F136" s="24">
        <v>8507</v>
      </c>
      <c r="G136" s="24">
        <v>9814.5</v>
      </c>
      <c r="J136" s="51" t="s">
        <v>4031</v>
      </c>
      <c r="L136" s="24" t="s">
        <v>5440</v>
      </c>
      <c r="M136" s="24">
        <v>9309</v>
      </c>
      <c r="N136" s="24">
        <v>84.1</v>
      </c>
      <c r="O136" s="24">
        <v>38.200000000000003</v>
      </c>
    </row>
    <row r="137" spans="1:15" ht="135" x14ac:dyDescent="0.25">
      <c r="A137" s="24" t="s">
        <v>537</v>
      </c>
      <c r="B137" s="24" t="s">
        <v>5181</v>
      </c>
      <c r="C137" s="24" t="s">
        <v>902</v>
      </c>
      <c r="D137" s="24" t="s">
        <v>4532</v>
      </c>
      <c r="E137" s="24" t="s">
        <v>4436</v>
      </c>
      <c r="F137" s="24">
        <v>101000</v>
      </c>
      <c r="G137" s="24">
        <v>50940.5</v>
      </c>
      <c r="J137" s="51" t="s">
        <v>4031</v>
      </c>
      <c r="L137" s="24" t="s">
        <v>5442</v>
      </c>
      <c r="M137" s="24">
        <v>7506</v>
      </c>
      <c r="N137" s="24">
        <v>42.7</v>
      </c>
      <c r="O137" s="24">
        <v>29.9</v>
      </c>
    </row>
    <row r="138" spans="1:15" ht="105" x14ac:dyDescent="0.25">
      <c r="A138" s="24" t="s">
        <v>445</v>
      </c>
      <c r="B138" s="24" t="s">
        <v>444</v>
      </c>
      <c r="C138" s="24" t="s">
        <v>4428</v>
      </c>
      <c r="D138" s="24" t="s">
        <v>4584</v>
      </c>
      <c r="E138" s="24" t="s">
        <v>4425</v>
      </c>
      <c r="F138" s="24">
        <v>134500</v>
      </c>
      <c r="G138" s="24">
        <v>443276.7</v>
      </c>
      <c r="J138" s="53" t="s">
        <v>4031</v>
      </c>
      <c r="L138" s="24" t="s">
        <v>5444</v>
      </c>
      <c r="M138" s="24">
        <v>30130</v>
      </c>
      <c r="N138" s="24">
        <v>42.9</v>
      </c>
      <c r="O138" s="24">
        <v>30</v>
      </c>
    </row>
    <row r="139" spans="1:15" ht="135" x14ac:dyDescent="0.25">
      <c r="A139" s="24" t="s">
        <v>789</v>
      </c>
      <c r="B139" s="24" t="s">
        <v>5182</v>
      </c>
      <c r="C139" s="24" t="s">
        <v>4430</v>
      </c>
      <c r="D139" s="24" t="s">
        <v>4469</v>
      </c>
      <c r="E139" s="24" t="s">
        <v>4425</v>
      </c>
      <c r="F139" s="24">
        <v>9950</v>
      </c>
      <c r="G139" s="24">
        <v>10220.4</v>
      </c>
      <c r="J139" s="53" t="s">
        <v>4031</v>
      </c>
      <c r="L139" s="24" t="s">
        <v>5445</v>
      </c>
      <c r="M139" s="24">
        <v>1692</v>
      </c>
      <c r="N139" s="24">
        <v>38.6</v>
      </c>
      <c r="O139" s="24">
        <v>27.8</v>
      </c>
    </row>
    <row r="140" spans="1:15" ht="135" x14ac:dyDescent="0.25">
      <c r="A140" s="24" t="s">
        <v>737</v>
      </c>
      <c r="B140" s="24" t="s">
        <v>5183</v>
      </c>
      <c r="C140" s="24" t="s">
        <v>4512</v>
      </c>
      <c r="D140" s="24" t="s">
        <v>4546</v>
      </c>
      <c r="E140" s="24" t="s">
        <v>4425</v>
      </c>
      <c r="F140" s="24">
        <v>31000</v>
      </c>
      <c r="G140" s="24">
        <v>22104.799999999999</v>
      </c>
      <c r="J140" s="53" t="s">
        <v>4031</v>
      </c>
      <c r="L140" s="24" t="s">
        <v>5446</v>
      </c>
      <c r="M140" s="24">
        <v>7020</v>
      </c>
      <c r="N140" s="24">
        <v>201.5</v>
      </c>
      <c r="O140" s="24">
        <v>66.8</v>
      </c>
    </row>
    <row r="141" spans="1:15" ht="135" x14ac:dyDescent="0.25">
      <c r="A141" s="24" t="s">
        <v>685</v>
      </c>
      <c r="B141" s="24" t="s">
        <v>5184</v>
      </c>
      <c r="C141" s="24" t="s">
        <v>866</v>
      </c>
      <c r="D141" s="24" t="s">
        <v>4455</v>
      </c>
      <c r="E141" s="24" t="s">
        <v>4425</v>
      </c>
      <c r="F141" s="24">
        <v>17009</v>
      </c>
      <c r="G141" s="24">
        <v>23499.9</v>
      </c>
      <c r="J141" s="53" t="s">
        <v>4031</v>
      </c>
      <c r="L141" s="24" t="s">
        <v>5447</v>
      </c>
      <c r="M141" s="24">
        <v>13165</v>
      </c>
      <c r="N141" s="24">
        <v>84.3</v>
      </c>
      <c r="O141" s="24">
        <v>42.9</v>
      </c>
    </row>
    <row r="142" spans="1:15" ht="135" x14ac:dyDescent="0.25">
      <c r="A142" s="24" t="s">
        <v>755</v>
      </c>
      <c r="B142" s="24" t="s">
        <v>5185</v>
      </c>
      <c r="C142" s="24" t="s">
        <v>922</v>
      </c>
      <c r="D142" s="24" t="s">
        <v>4477</v>
      </c>
      <c r="E142" s="24" t="s">
        <v>4425</v>
      </c>
      <c r="F142" s="24">
        <v>484</v>
      </c>
      <c r="G142" s="24">
        <v>14812.8</v>
      </c>
      <c r="J142" s="53" t="s">
        <v>4031</v>
      </c>
      <c r="L142" s="24" t="s">
        <v>5448</v>
      </c>
      <c r="M142" s="24">
        <v>7516.7</v>
      </c>
      <c r="N142" s="24">
        <v>75.8</v>
      </c>
      <c r="O142" s="24">
        <v>43.1</v>
      </c>
    </row>
    <row r="143" spans="1:15" ht="120" x14ac:dyDescent="0.25">
      <c r="A143" s="24" t="s">
        <v>632</v>
      </c>
      <c r="B143" s="24" t="s">
        <v>5186</v>
      </c>
      <c r="C143" s="24" t="s">
        <v>4512</v>
      </c>
      <c r="D143" s="24" t="s">
        <v>4685</v>
      </c>
      <c r="E143" s="24" t="s">
        <v>4425</v>
      </c>
      <c r="F143" s="24">
        <v>465000</v>
      </c>
      <c r="G143" s="24">
        <v>32630.6</v>
      </c>
      <c r="J143" s="53" t="s">
        <v>4031</v>
      </c>
      <c r="L143" s="24" t="s">
        <v>5449</v>
      </c>
      <c r="M143" s="24">
        <v>12673</v>
      </c>
      <c r="N143" s="24">
        <v>133.1</v>
      </c>
      <c r="O143" s="24">
        <v>57.1</v>
      </c>
    </row>
    <row r="144" spans="1:15" ht="135" x14ac:dyDescent="0.25">
      <c r="A144" s="24" t="s">
        <v>783</v>
      </c>
      <c r="B144" s="24" t="s">
        <v>5187</v>
      </c>
      <c r="C144" s="24" t="s">
        <v>866</v>
      </c>
      <c r="D144" s="24" t="s">
        <v>4440</v>
      </c>
      <c r="E144" s="24" t="s">
        <v>4425</v>
      </c>
      <c r="F144" s="24">
        <v>12200</v>
      </c>
      <c r="G144" s="24">
        <v>14878.6</v>
      </c>
      <c r="J144" s="53" t="s">
        <v>4031</v>
      </c>
      <c r="L144" s="24" t="s">
        <v>5450</v>
      </c>
      <c r="M144" s="24">
        <v>8925</v>
      </c>
      <c r="N144" s="24">
        <v>50.1</v>
      </c>
      <c r="O144" s="24">
        <v>33.4</v>
      </c>
    </row>
    <row r="145" spans="1:15" ht="135" x14ac:dyDescent="0.25">
      <c r="A145" s="24" t="s">
        <v>779</v>
      </c>
      <c r="B145" s="24" t="s">
        <v>5191</v>
      </c>
      <c r="C145" s="24" t="s">
        <v>866</v>
      </c>
      <c r="D145" s="24" t="s">
        <v>4503</v>
      </c>
      <c r="E145" s="24" t="s">
        <v>4425</v>
      </c>
      <c r="F145" s="24">
        <v>10000</v>
      </c>
      <c r="G145" s="24">
        <v>12580.9</v>
      </c>
      <c r="J145" s="53" t="s">
        <v>4031</v>
      </c>
      <c r="L145" s="24" t="s">
        <v>5454</v>
      </c>
      <c r="M145" s="24">
        <v>6323</v>
      </c>
      <c r="N145" s="24">
        <v>29.9</v>
      </c>
      <c r="O145" s="24">
        <v>23</v>
      </c>
    </row>
    <row r="146" spans="1:15" ht="135" x14ac:dyDescent="0.25">
      <c r="A146" s="24" t="s">
        <v>749</v>
      </c>
      <c r="B146" s="24" t="s">
        <v>5192</v>
      </c>
      <c r="C146" s="24" t="s">
        <v>904</v>
      </c>
      <c r="D146" s="24" t="s">
        <v>4445</v>
      </c>
      <c r="E146" s="24" t="s">
        <v>4425</v>
      </c>
      <c r="F146" s="24">
        <v>3375</v>
      </c>
      <c r="G146" s="24">
        <v>14546</v>
      </c>
      <c r="J146" s="53" t="s">
        <v>4031</v>
      </c>
      <c r="L146" s="24" t="s">
        <v>5455</v>
      </c>
      <c r="M146" s="24">
        <v>6692</v>
      </c>
      <c r="N146" s="24">
        <v>111.8</v>
      </c>
      <c r="O146" s="24">
        <v>52</v>
      </c>
    </row>
    <row r="147" spans="1:15" ht="135" x14ac:dyDescent="0.25">
      <c r="A147" s="24" t="s">
        <v>784</v>
      </c>
      <c r="B147" s="24" t="s">
        <v>5195</v>
      </c>
      <c r="C147" s="24" t="s">
        <v>4430</v>
      </c>
      <c r="D147" s="24" t="s">
        <v>4480</v>
      </c>
      <c r="E147" s="24" t="s">
        <v>4425</v>
      </c>
      <c r="F147" s="24">
        <v>37000</v>
      </c>
      <c r="G147" s="24">
        <v>12307.2</v>
      </c>
      <c r="J147" s="53" t="s">
        <v>4031</v>
      </c>
      <c r="L147" s="24" t="s">
        <v>5457</v>
      </c>
      <c r="M147" s="24">
        <v>27260</v>
      </c>
      <c r="N147" s="24">
        <v>243.8</v>
      </c>
      <c r="O147" s="24">
        <v>70.900000000000006</v>
      </c>
    </row>
    <row r="148" spans="1:15" ht="120" x14ac:dyDescent="0.25">
      <c r="A148" s="24" t="s">
        <v>771</v>
      </c>
      <c r="B148" s="24" t="s">
        <v>5196</v>
      </c>
      <c r="C148" s="24" t="s">
        <v>4434</v>
      </c>
      <c r="D148" s="24" t="s">
        <v>4479</v>
      </c>
      <c r="E148" s="24" t="s">
        <v>4425</v>
      </c>
      <c r="F148" s="24">
        <v>44500</v>
      </c>
      <c r="G148" s="24">
        <v>33707.199999999997</v>
      </c>
      <c r="J148" s="53" t="s">
        <v>4031</v>
      </c>
      <c r="L148" s="24" t="s">
        <v>5458</v>
      </c>
      <c r="M148" s="24">
        <v>14462</v>
      </c>
      <c r="N148" s="24">
        <v>688</v>
      </c>
      <c r="O148" s="24">
        <v>87.3</v>
      </c>
    </row>
    <row r="149" spans="1:15" ht="135" x14ac:dyDescent="0.25">
      <c r="A149" s="24" t="s">
        <v>807</v>
      </c>
      <c r="B149" s="24" t="s">
        <v>1286</v>
      </c>
      <c r="C149" s="24" t="s">
        <v>4512</v>
      </c>
      <c r="D149" s="24" t="s">
        <v>4546</v>
      </c>
      <c r="E149" s="24" t="s">
        <v>4425</v>
      </c>
      <c r="F149" s="24">
        <v>7800</v>
      </c>
      <c r="G149" s="24">
        <v>9252.4</v>
      </c>
      <c r="J149" s="53" t="s">
        <v>4031</v>
      </c>
      <c r="L149" s="24" t="s">
        <v>5459</v>
      </c>
      <c r="M149" s="24">
        <v>2692.1</v>
      </c>
      <c r="N149" s="24">
        <v>737.2</v>
      </c>
      <c r="O149" s="24">
        <v>88.1</v>
      </c>
    </row>
    <row r="150" spans="1:15" ht="135" x14ac:dyDescent="0.25">
      <c r="A150" s="24" t="s">
        <v>670</v>
      </c>
      <c r="B150" s="24" t="s">
        <v>5197</v>
      </c>
      <c r="C150" s="24" t="s">
        <v>4423</v>
      </c>
      <c r="D150" s="24" t="s">
        <v>4489</v>
      </c>
      <c r="E150" s="24" t="s">
        <v>1709</v>
      </c>
      <c r="F150" s="24">
        <v>19200</v>
      </c>
      <c r="G150" s="24">
        <v>30958.9</v>
      </c>
      <c r="J150" s="53" t="s">
        <v>4031</v>
      </c>
      <c r="L150" s="24" t="s">
        <v>5460</v>
      </c>
      <c r="M150" s="24">
        <v>12945</v>
      </c>
      <c r="N150" s="24">
        <v>109.7</v>
      </c>
      <c r="O150" s="24">
        <v>52.3</v>
      </c>
    </row>
    <row r="151" spans="1:15" ht="120" x14ac:dyDescent="0.25">
      <c r="A151" s="24" t="s">
        <v>743</v>
      </c>
      <c r="B151" s="24" t="s">
        <v>5198</v>
      </c>
      <c r="C151" s="24" t="s">
        <v>4434</v>
      </c>
      <c r="D151" s="24" t="s">
        <v>4687</v>
      </c>
      <c r="E151" s="24" t="s">
        <v>4425</v>
      </c>
      <c r="F151" s="24">
        <v>8200</v>
      </c>
      <c r="G151" s="24">
        <v>23528.6</v>
      </c>
      <c r="J151" s="53" t="s">
        <v>4031</v>
      </c>
      <c r="L151" s="24" t="s">
        <v>5461</v>
      </c>
      <c r="M151" s="24">
        <v>5686.9</v>
      </c>
      <c r="O151" s="24">
        <v>107.7</v>
      </c>
    </row>
    <row r="152" spans="1:15" ht="120" x14ac:dyDescent="0.25">
      <c r="A152" s="24" t="s">
        <v>652</v>
      </c>
      <c r="B152" s="24" t="s">
        <v>5199</v>
      </c>
      <c r="C152" s="24" t="s">
        <v>922</v>
      </c>
      <c r="D152" s="24" t="s">
        <v>4427</v>
      </c>
      <c r="E152" s="24" t="s">
        <v>4425</v>
      </c>
      <c r="F152" s="24">
        <v>2530</v>
      </c>
      <c r="G152" s="24">
        <v>22911.4</v>
      </c>
      <c r="J152" s="53" t="s">
        <v>4031</v>
      </c>
      <c r="L152" s="24" t="s">
        <v>5462</v>
      </c>
      <c r="M152" s="24">
        <v>4540.8999999999996</v>
      </c>
      <c r="N152" s="24">
        <v>76.7</v>
      </c>
      <c r="O152" s="24">
        <v>43.4</v>
      </c>
    </row>
    <row r="153" spans="1:15" ht="120" x14ac:dyDescent="0.25">
      <c r="A153" s="24" t="s">
        <v>462</v>
      </c>
      <c r="B153" s="24" t="s">
        <v>5200</v>
      </c>
      <c r="C153" s="24" t="s">
        <v>4434</v>
      </c>
      <c r="D153" s="24" t="s">
        <v>4485</v>
      </c>
      <c r="E153" s="24" t="s">
        <v>4425</v>
      </c>
      <c r="F153" s="24">
        <v>200000</v>
      </c>
      <c r="G153" s="24">
        <v>186699.3</v>
      </c>
      <c r="J153" s="53" t="s">
        <v>4031</v>
      </c>
      <c r="L153" s="24" t="s">
        <v>5463</v>
      </c>
      <c r="M153" s="24">
        <v>34628</v>
      </c>
      <c r="O153" s="24">
        <v>119.6</v>
      </c>
    </row>
    <row r="154" spans="1:15" ht="135" x14ac:dyDescent="0.25">
      <c r="A154" s="24" t="s">
        <v>589</v>
      </c>
      <c r="B154" s="24" t="s">
        <v>5201</v>
      </c>
      <c r="C154" s="24" t="s">
        <v>4512</v>
      </c>
      <c r="D154" s="24" t="s">
        <v>5102</v>
      </c>
      <c r="E154" s="24" t="s">
        <v>4425</v>
      </c>
      <c r="F154" s="24">
        <v>59000</v>
      </c>
      <c r="G154" s="24">
        <v>37707.9</v>
      </c>
      <c r="J154" s="53" t="s">
        <v>4031</v>
      </c>
      <c r="L154" s="24" t="s">
        <v>5464</v>
      </c>
      <c r="M154" s="24">
        <v>5946</v>
      </c>
      <c r="O154" s="24">
        <v>110.6</v>
      </c>
    </row>
    <row r="155" spans="1:15" ht="135" x14ac:dyDescent="0.25">
      <c r="A155" s="24" t="s">
        <v>475</v>
      </c>
      <c r="B155" s="24" t="s">
        <v>5202</v>
      </c>
      <c r="C155" s="24" t="s">
        <v>4428</v>
      </c>
      <c r="D155" s="24" t="s">
        <v>4559</v>
      </c>
      <c r="E155" s="24" t="s">
        <v>4436</v>
      </c>
      <c r="F155" s="24">
        <v>90000</v>
      </c>
      <c r="G155" s="24">
        <v>139955</v>
      </c>
      <c r="J155" s="53" t="s">
        <v>4031</v>
      </c>
      <c r="L155" s="24" t="s">
        <v>5465</v>
      </c>
      <c r="M155" s="24">
        <v>25607</v>
      </c>
      <c r="N155" s="24">
        <v>49.3</v>
      </c>
      <c r="O155" s="24">
        <v>33</v>
      </c>
    </row>
    <row r="156" spans="1:15" ht="135" x14ac:dyDescent="0.25">
      <c r="A156" s="24" t="s">
        <v>558</v>
      </c>
      <c r="B156" s="24" t="s">
        <v>1003</v>
      </c>
      <c r="C156" s="24" t="s">
        <v>866</v>
      </c>
      <c r="D156" s="24" t="s">
        <v>4503</v>
      </c>
      <c r="E156" s="24" t="s">
        <v>4425</v>
      </c>
      <c r="F156" s="24">
        <v>46500</v>
      </c>
      <c r="G156" s="24">
        <v>55567</v>
      </c>
      <c r="J156" s="53" t="s">
        <v>4031</v>
      </c>
      <c r="L156" s="24" t="s">
        <v>5466</v>
      </c>
      <c r="M156" s="24">
        <v>17165</v>
      </c>
      <c r="N156" s="24">
        <v>24.9</v>
      </c>
      <c r="O156" s="24">
        <v>19.899999999999999</v>
      </c>
    </row>
    <row r="157" spans="1:15" ht="120" x14ac:dyDescent="0.25">
      <c r="A157" s="24" t="s">
        <v>723</v>
      </c>
      <c r="B157" s="24" t="s">
        <v>722</v>
      </c>
      <c r="C157" s="24" t="s">
        <v>4434</v>
      </c>
      <c r="D157" s="24" t="s">
        <v>4479</v>
      </c>
      <c r="E157" s="24" t="s">
        <v>4425</v>
      </c>
      <c r="F157" s="24">
        <v>35000</v>
      </c>
      <c r="G157" s="24">
        <v>19546.3</v>
      </c>
      <c r="J157" s="53" t="s">
        <v>4031</v>
      </c>
      <c r="L157" s="24" t="s">
        <v>5467</v>
      </c>
      <c r="M157" s="24">
        <v>11710.8</v>
      </c>
      <c r="N157" s="24">
        <v>171.5</v>
      </c>
      <c r="O157" s="24">
        <v>63.2</v>
      </c>
    </row>
    <row r="158" spans="1:15" ht="135" x14ac:dyDescent="0.25">
      <c r="A158" s="24" t="s">
        <v>802</v>
      </c>
      <c r="B158" s="24" t="s">
        <v>5203</v>
      </c>
      <c r="C158" s="24" t="s">
        <v>4434</v>
      </c>
      <c r="D158" s="24" t="s">
        <v>4607</v>
      </c>
      <c r="E158" s="24" t="s">
        <v>4425</v>
      </c>
      <c r="F158" s="24">
        <v>42000</v>
      </c>
      <c r="G158" s="24">
        <v>10433.5</v>
      </c>
      <c r="J158" s="53" t="s">
        <v>4031</v>
      </c>
      <c r="L158" s="24" t="s">
        <v>5468</v>
      </c>
      <c r="M158" s="24">
        <v>1710.2</v>
      </c>
      <c r="N158" s="24">
        <v>19.600000000000001</v>
      </c>
      <c r="O158" s="24">
        <v>16.399999999999999</v>
      </c>
    </row>
    <row r="159" spans="1:15" ht="135" x14ac:dyDescent="0.25">
      <c r="A159" s="24" t="s">
        <v>493</v>
      </c>
      <c r="B159" s="24" t="s">
        <v>5205</v>
      </c>
      <c r="C159" s="24" t="s">
        <v>4512</v>
      </c>
      <c r="D159" s="24" t="s">
        <v>5178</v>
      </c>
      <c r="E159" s="24" t="s">
        <v>4425</v>
      </c>
      <c r="F159" s="24">
        <v>94987</v>
      </c>
      <c r="G159" s="24">
        <v>97559.6</v>
      </c>
      <c r="J159" s="53" t="s">
        <v>4031</v>
      </c>
      <c r="L159" s="24" t="s">
        <v>5470</v>
      </c>
      <c r="M159" s="24">
        <v>16193</v>
      </c>
      <c r="N159" s="24">
        <v>112</v>
      </c>
      <c r="O159" s="24">
        <v>52.8</v>
      </c>
    </row>
    <row r="160" spans="1:15" ht="135" x14ac:dyDescent="0.25">
      <c r="A160" s="24" t="s">
        <v>504</v>
      </c>
      <c r="B160" s="24" t="s">
        <v>503</v>
      </c>
      <c r="C160" s="24" t="s">
        <v>4512</v>
      </c>
      <c r="D160" s="24" t="s">
        <v>5206</v>
      </c>
      <c r="E160" s="24" t="s">
        <v>4425</v>
      </c>
      <c r="F160" s="24">
        <v>7100</v>
      </c>
      <c r="G160" s="24">
        <v>90875.8</v>
      </c>
      <c r="J160" s="53" t="s">
        <v>4031</v>
      </c>
      <c r="L160" s="24" t="s">
        <v>5471</v>
      </c>
      <c r="M160" s="24">
        <v>27022</v>
      </c>
      <c r="O160" s="24">
        <v>104.9</v>
      </c>
    </row>
    <row r="161" spans="1:15" ht="135" x14ac:dyDescent="0.25">
      <c r="A161" s="24" t="s">
        <v>760</v>
      </c>
      <c r="B161" s="24" t="s">
        <v>5207</v>
      </c>
      <c r="C161" s="24" t="s">
        <v>4423</v>
      </c>
      <c r="D161" s="24" t="s">
        <v>4502</v>
      </c>
      <c r="E161" s="24" t="s">
        <v>4425</v>
      </c>
      <c r="F161" s="24">
        <v>12617</v>
      </c>
      <c r="G161" s="24">
        <v>15108.4</v>
      </c>
      <c r="J161" s="53" t="s">
        <v>4031</v>
      </c>
      <c r="L161" s="24" t="s">
        <v>5472</v>
      </c>
      <c r="M161" s="24">
        <v>3947.7</v>
      </c>
      <c r="N161" s="24">
        <v>37.9</v>
      </c>
      <c r="O161" s="24">
        <v>27.5</v>
      </c>
    </row>
    <row r="162" spans="1:15" ht="120" x14ac:dyDescent="0.25">
      <c r="A162" s="24" t="s">
        <v>587</v>
      </c>
      <c r="B162" s="24" t="s">
        <v>1058</v>
      </c>
      <c r="C162" s="24" t="s">
        <v>885</v>
      </c>
      <c r="D162" s="24" t="s">
        <v>4567</v>
      </c>
      <c r="E162" s="24" t="s">
        <v>4425</v>
      </c>
      <c r="F162" s="24">
        <v>57900</v>
      </c>
      <c r="G162" s="24">
        <v>43694.400000000001</v>
      </c>
      <c r="J162" s="53" t="s">
        <v>4031</v>
      </c>
      <c r="L162" s="24" t="s">
        <v>5473</v>
      </c>
      <c r="M162" s="24">
        <v>27270</v>
      </c>
      <c r="N162" s="24">
        <v>96.4</v>
      </c>
      <c r="O162" s="24">
        <v>49.1</v>
      </c>
    </row>
    <row r="163" spans="1:15" ht="105" x14ac:dyDescent="0.25">
      <c r="A163" s="24" t="s">
        <v>769</v>
      </c>
      <c r="B163" s="24" t="s">
        <v>5208</v>
      </c>
      <c r="C163" s="24" t="s">
        <v>885</v>
      </c>
      <c r="D163" s="24" t="s">
        <v>4505</v>
      </c>
      <c r="E163" s="24" t="s">
        <v>4425</v>
      </c>
      <c r="F163" s="24">
        <v>1672</v>
      </c>
      <c r="G163" s="24">
        <v>15267.1</v>
      </c>
      <c r="J163" s="53" t="s">
        <v>4031</v>
      </c>
      <c r="L163" s="24" t="s">
        <v>5474</v>
      </c>
      <c r="M163" s="24">
        <v>4007</v>
      </c>
      <c r="N163" s="24">
        <v>37.1</v>
      </c>
      <c r="O163" s="24">
        <v>27.1</v>
      </c>
    </row>
    <row r="164" spans="1:15" ht="135" x14ac:dyDescent="0.25">
      <c r="A164" s="24" t="s">
        <v>423</v>
      </c>
      <c r="B164" s="24" t="s">
        <v>473</v>
      </c>
      <c r="C164" s="24" t="s">
        <v>866</v>
      </c>
      <c r="D164" s="24" t="s">
        <v>4536</v>
      </c>
      <c r="E164" s="24" t="s">
        <v>4425</v>
      </c>
      <c r="F164" s="24">
        <v>74000</v>
      </c>
      <c r="G164" s="24">
        <v>179746.3</v>
      </c>
      <c r="J164" s="53" t="s">
        <v>4031</v>
      </c>
      <c r="L164" s="24" t="s">
        <v>5475</v>
      </c>
      <c r="M164" s="24">
        <v>224937</v>
      </c>
      <c r="N164" s="24">
        <v>229.2</v>
      </c>
      <c r="O164" s="24">
        <v>68</v>
      </c>
    </row>
    <row r="165" spans="1:15" ht="135" x14ac:dyDescent="0.25">
      <c r="A165" s="24" t="s">
        <v>705</v>
      </c>
      <c r="B165" s="24" t="s">
        <v>5210</v>
      </c>
      <c r="C165" s="24" t="s">
        <v>866</v>
      </c>
      <c r="D165" s="24" t="s">
        <v>4455</v>
      </c>
      <c r="E165" s="24" t="s">
        <v>4425</v>
      </c>
      <c r="F165" s="24">
        <v>16718</v>
      </c>
      <c r="G165" s="24">
        <v>21588.1</v>
      </c>
      <c r="J165" s="53" t="s">
        <v>4031</v>
      </c>
      <c r="L165" s="24" t="s">
        <v>5477</v>
      </c>
      <c r="M165" s="24">
        <v>3500.4</v>
      </c>
      <c r="N165" s="24">
        <v>22.2</v>
      </c>
      <c r="O165" s="24">
        <v>16.600000000000001</v>
      </c>
    </row>
    <row r="166" spans="1:15" ht="120" x14ac:dyDescent="0.25">
      <c r="A166" s="24" t="s">
        <v>550</v>
      </c>
      <c r="B166" s="24" t="s">
        <v>549</v>
      </c>
      <c r="C166" s="24" t="s">
        <v>4423</v>
      </c>
      <c r="D166" s="24" t="s">
        <v>5213</v>
      </c>
      <c r="E166" s="24" t="s">
        <v>4425</v>
      </c>
      <c r="F166" s="24">
        <v>14300</v>
      </c>
      <c r="G166" s="24">
        <v>49193.8</v>
      </c>
      <c r="J166" s="53" t="s">
        <v>4031</v>
      </c>
      <c r="L166" s="24" t="s">
        <v>5480</v>
      </c>
      <c r="M166" s="24">
        <v>5540</v>
      </c>
      <c r="N166" s="24">
        <v>24.4</v>
      </c>
      <c r="O166" s="24">
        <v>19.600000000000001</v>
      </c>
    </row>
    <row r="167" spans="1:15" ht="120" x14ac:dyDescent="0.25">
      <c r="A167" s="24" t="s">
        <v>797</v>
      </c>
      <c r="B167" s="24" t="s">
        <v>5214</v>
      </c>
      <c r="C167" s="24" t="s">
        <v>904</v>
      </c>
      <c r="D167" s="24" t="s">
        <v>4472</v>
      </c>
      <c r="E167" s="24" t="s">
        <v>4425</v>
      </c>
      <c r="F167" s="24">
        <v>7301</v>
      </c>
      <c r="G167" s="24">
        <v>10732.6</v>
      </c>
      <c r="J167" s="53" t="s">
        <v>4031</v>
      </c>
      <c r="L167" s="24" t="s">
        <v>5481</v>
      </c>
      <c r="M167" s="24">
        <v>9188.2000000000007</v>
      </c>
      <c r="N167" s="24">
        <v>192.4</v>
      </c>
      <c r="O167" s="24">
        <v>58.6</v>
      </c>
    </row>
    <row r="168" spans="1:15" ht="105" x14ac:dyDescent="0.25">
      <c r="A168" s="24" t="s">
        <v>752</v>
      </c>
      <c r="B168" s="24" t="s">
        <v>5216</v>
      </c>
      <c r="C168" s="24" t="s">
        <v>4430</v>
      </c>
      <c r="D168" s="24" t="s">
        <v>4452</v>
      </c>
      <c r="E168" s="24" t="s">
        <v>4425</v>
      </c>
      <c r="F168" s="24">
        <v>2808</v>
      </c>
      <c r="G168" s="24">
        <v>14744.4</v>
      </c>
      <c r="J168" s="53" t="s">
        <v>4031</v>
      </c>
      <c r="L168" s="24" t="s">
        <v>5483</v>
      </c>
      <c r="M168" s="24">
        <v>2779</v>
      </c>
      <c r="O168" s="24">
        <v>109.1</v>
      </c>
    </row>
    <row r="169" spans="1:15" ht="135" x14ac:dyDescent="0.25">
      <c r="A169" s="24" t="s">
        <v>829</v>
      </c>
      <c r="B169" s="24" t="s">
        <v>5217</v>
      </c>
      <c r="C169" s="24" t="s">
        <v>4434</v>
      </c>
      <c r="D169" s="24" t="s">
        <v>5173</v>
      </c>
      <c r="E169" s="24" t="s">
        <v>4425</v>
      </c>
      <c r="F169" s="24">
        <v>43000</v>
      </c>
      <c r="G169" s="24">
        <v>6650.9</v>
      </c>
      <c r="J169" s="53" t="s">
        <v>4031</v>
      </c>
      <c r="L169" s="24" t="s">
        <v>5484</v>
      </c>
      <c r="M169" s="24">
        <v>5841</v>
      </c>
      <c r="N169" s="24">
        <v>188.8</v>
      </c>
      <c r="O169" s="24">
        <v>65.400000000000006</v>
      </c>
    </row>
    <row r="170" spans="1:15" ht="135" x14ac:dyDescent="0.25">
      <c r="A170" s="24" t="s">
        <v>536</v>
      </c>
      <c r="B170" s="24" t="s">
        <v>5218</v>
      </c>
      <c r="C170" s="24" t="s">
        <v>902</v>
      </c>
      <c r="D170" s="24" t="s">
        <v>4463</v>
      </c>
      <c r="E170" s="24" t="s">
        <v>4425</v>
      </c>
      <c r="F170" s="24">
        <v>97000</v>
      </c>
      <c r="G170" s="24">
        <v>63927.1</v>
      </c>
      <c r="J170" s="53" t="s">
        <v>4031</v>
      </c>
      <c r="L170" s="24" t="s">
        <v>5485</v>
      </c>
      <c r="M170" s="24">
        <v>12777</v>
      </c>
      <c r="N170" s="24">
        <v>98.8</v>
      </c>
      <c r="O170" s="24">
        <v>49.7</v>
      </c>
    </row>
    <row r="171" spans="1:15" ht="135" x14ac:dyDescent="0.25">
      <c r="A171" s="24" t="s">
        <v>482</v>
      </c>
      <c r="B171" s="24" t="s">
        <v>5219</v>
      </c>
      <c r="C171" s="24" t="s">
        <v>4430</v>
      </c>
      <c r="D171" s="24" t="s">
        <v>4452</v>
      </c>
      <c r="E171" s="24" t="s">
        <v>4425</v>
      </c>
      <c r="F171" s="24">
        <v>13096</v>
      </c>
      <c r="G171" s="24">
        <v>96399.6</v>
      </c>
      <c r="J171" s="53" t="s">
        <v>4031</v>
      </c>
      <c r="L171" s="24" t="s">
        <v>5486</v>
      </c>
      <c r="M171" s="24">
        <v>1484</v>
      </c>
      <c r="N171" s="24">
        <v>42</v>
      </c>
      <c r="O171" s="24">
        <v>29.6</v>
      </c>
    </row>
    <row r="172" spans="1:15" ht="90" x14ac:dyDescent="0.25">
      <c r="A172" s="24" t="s">
        <v>798</v>
      </c>
      <c r="B172" s="24" t="s">
        <v>1279</v>
      </c>
      <c r="C172" s="24" t="s">
        <v>904</v>
      </c>
      <c r="D172" s="24" t="s">
        <v>4445</v>
      </c>
      <c r="E172" s="24" t="s">
        <v>4425</v>
      </c>
      <c r="F172" s="24">
        <v>4104</v>
      </c>
      <c r="G172" s="24">
        <v>9727.4</v>
      </c>
      <c r="J172" s="53" t="s">
        <v>4031</v>
      </c>
      <c r="L172" s="24" t="s">
        <v>5487</v>
      </c>
      <c r="M172" s="24">
        <v>7957</v>
      </c>
      <c r="N172" s="24">
        <v>195.1</v>
      </c>
      <c r="O172" s="24">
        <v>66.099999999999994</v>
      </c>
    </row>
    <row r="173" spans="1:15" ht="135" x14ac:dyDescent="0.25">
      <c r="A173" s="24" t="s">
        <v>696</v>
      </c>
      <c r="B173" s="24" t="s">
        <v>5221</v>
      </c>
      <c r="C173" s="24" t="s">
        <v>4430</v>
      </c>
      <c r="D173" s="24" t="s">
        <v>5164</v>
      </c>
      <c r="E173" s="24" t="s">
        <v>4425</v>
      </c>
      <c r="F173" s="24">
        <v>11000</v>
      </c>
      <c r="G173" s="24">
        <v>18813.599999999999</v>
      </c>
      <c r="J173" s="53" t="s">
        <v>4031</v>
      </c>
      <c r="L173" s="24" t="s">
        <v>5489</v>
      </c>
      <c r="M173" s="24">
        <v>2634</v>
      </c>
      <c r="N173" s="24">
        <v>347</v>
      </c>
      <c r="O173" s="24">
        <v>77.599999999999994</v>
      </c>
    </row>
    <row r="174" spans="1:15" ht="135" x14ac:dyDescent="0.25">
      <c r="A174" s="24" t="s">
        <v>663</v>
      </c>
      <c r="B174" s="24" t="s">
        <v>662</v>
      </c>
      <c r="C174" s="24" t="s">
        <v>866</v>
      </c>
      <c r="D174" s="24" t="s">
        <v>4447</v>
      </c>
      <c r="E174" s="24" t="s">
        <v>4425</v>
      </c>
      <c r="F174" s="24">
        <v>20900</v>
      </c>
      <c r="G174" s="24">
        <v>23926.7</v>
      </c>
      <c r="J174" s="55" t="s">
        <v>4031</v>
      </c>
      <c r="L174" s="24" t="s">
        <v>5490</v>
      </c>
      <c r="M174" s="24">
        <v>3966.2</v>
      </c>
      <c r="N174" s="24">
        <v>36</v>
      </c>
      <c r="O174" s="24">
        <v>25</v>
      </c>
    </row>
    <row r="175" spans="1:15" ht="90" x14ac:dyDescent="0.25">
      <c r="A175" s="24" t="s">
        <v>618</v>
      </c>
      <c r="B175" s="24" t="s">
        <v>5222</v>
      </c>
      <c r="C175" s="24" t="s">
        <v>4423</v>
      </c>
      <c r="D175" s="24" t="s">
        <v>4499</v>
      </c>
      <c r="E175" s="24" t="s">
        <v>4425</v>
      </c>
      <c r="F175" s="24">
        <v>26400</v>
      </c>
      <c r="G175" s="24">
        <v>26590.7</v>
      </c>
      <c r="J175" s="55" t="s">
        <v>4031</v>
      </c>
      <c r="L175" s="24" t="s">
        <v>5491</v>
      </c>
      <c r="M175" s="24">
        <v>4949.8999999999996</v>
      </c>
      <c r="N175" s="24">
        <v>36.9</v>
      </c>
      <c r="O175" s="24">
        <v>26.9</v>
      </c>
    </row>
    <row r="176" spans="1:15" ht="135" x14ac:dyDescent="0.25">
      <c r="A176" s="24" t="s">
        <v>817</v>
      </c>
      <c r="B176" s="24" t="s">
        <v>816</v>
      </c>
      <c r="C176" s="24" t="s">
        <v>4434</v>
      </c>
      <c r="D176" s="24" t="s">
        <v>5223</v>
      </c>
      <c r="E176" s="24" t="s">
        <v>4425</v>
      </c>
      <c r="F176" s="24">
        <v>31000</v>
      </c>
      <c r="G176" s="24">
        <v>9916.1</v>
      </c>
      <c r="J176" s="55" t="s">
        <v>4031</v>
      </c>
      <c r="L176" s="24" t="s">
        <v>5492</v>
      </c>
      <c r="M176" s="24">
        <v>4884</v>
      </c>
      <c r="N176" s="24">
        <v>120.4</v>
      </c>
      <c r="O176" s="24">
        <v>54.6</v>
      </c>
    </row>
    <row r="177" spans="1:15" ht="135" x14ac:dyDescent="0.25">
      <c r="A177" s="24" t="s">
        <v>810</v>
      </c>
      <c r="B177" s="24" t="s">
        <v>5224</v>
      </c>
      <c r="C177" s="24" t="s">
        <v>4434</v>
      </c>
      <c r="D177" s="24" t="s">
        <v>4648</v>
      </c>
      <c r="E177" s="24" t="s">
        <v>4425</v>
      </c>
      <c r="F177" s="24">
        <v>24000</v>
      </c>
      <c r="G177" s="24">
        <v>12699.3</v>
      </c>
      <c r="J177" s="55" t="s">
        <v>4031</v>
      </c>
      <c r="L177" s="24" t="s">
        <v>5493</v>
      </c>
      <c r="M177" s="24">
        <v>1964</v>
      </c>
      <c r="N177" s="24">
        <v>23.9</v>
      </c>
      <c r="O177" s="24">
        <v>19.3</v>
      </c>
    </row>
    <row r="178" spans="1:15" ht="90" x14ac:dyDescent="0.25">
      <c r="A178" s="24" t="s">
        <v>579</v>
      </c>
      <c r="B178" s="24" t="s">
        <v>5225</v>
      </c>
      <c r="C178" s="24" t="s">
        <v>922</v>
      </c>
      <c r="D178" s="24" t="s">
        <v>4477</v>
      </c>
      <c r="E178" s="24" t="s">
        <v>4425</v>
      </c>
      <c r="F178" s="24">
        <v>208</v>
      </c>
      <c r="G178" s="24">
        <v>38435.699999999997</v>
      </c>
      <c r="J178" s="55" t="s">
        <v>4031</v>
      </c>
      <c r="L178" s="24" t="s">
        <v>5494</v>
      </c>
      <c r="M178" s="24">
        <v>9285</v>
      </c>
      <c r="N178" s="24">
        <v>69.599999999999994</v>
      </c>
      <c r="O178" s="24">
        <v>41</v>
      </c>
    </row>
    <row r="179" spans="1:15" ht="135" x14ac:dyDescent="0.25">
      <c r="A179" s="24" t="s">
        <v>616</v>
      </c>
      <c r="B179" s="24" t="s">
        <v>1046</v>
      </c>
      <c r="C179" s="24" t="s">
        <v>902</v>
      </c>
      <c r="D179" s="24" t="s">
        <v>4599</v>
      </c>
      <c r="E179" s="24" t="s">
        <v>4425</v>
      </c>
      <c r="F179" s="24">
        <v>19779</v>
      </c>
      <c r="G179" s="24">
        <v>33591.300000000003</v>
      </c>
      <c r="J179" s="55" t="s">
        <v>4031</v>
      </c>
      <c r="L179" s="24" t="s">
        <v>5495</v>
      </c>
      <c r="M179" s="24">
        <v>99.9</v>
      </c>
      <c r="N179" s="24">
        <v>2.9</v>
      </c>
      <c r="O179" s="24">
        <v>2.8</v>
      </c>
    </row>
    <row r="180" spans="1:15" ht="135" x14ac:dyDescent="0.25">
      <c r="A180" s="24" t="s">
        <v>823</v>
      </c>
      <c r="B180" s="24" t="s">
        <v>5226</v>
      </c>
      <c r="C180" s="24" t="s">
        <v>4428</v>
      </c>
      <c r="D180" s="24" t="s">
        <v>4584</v>
      </c>
      <c r="E180" s="24" t="s">
        <v>4425</v>
      </c>
      <c r="F180" s="24">
        <v>9950</v>
      </c>
      <c r="G180" s="24">
        <v>7791.6</v>
      </c>
      <c r="J180" s="55" t="s">
        <v>4031</v>
      </c>
      <c r="L180" s="24" t="s">
        <v>5496</v>
      </c>
      <c r="M180" s="24">
        <v>9259</v>
      </c>
      <c r="O180" s="24">
        <v>121.2</v>
      </c>
    </row>
    <row r="181" spans="1:15" ht="135" x14ac:dyDescent="0.25">
      <c r="A181" s="24" t="s">
        <v>653</v>
      </c>
      <c r="B181" s="24" t="s">
        <v>5227</v>
      </c>
      <c r="C181" s="24" t="s">
        <v>885</v>
      </c>
      <c r="D181" s="24" t="s">
        <v>4528</v>
      </c>
      <c r="E181" s="24" t="s">
        <v>4425</v>
      </c>
      <c r="F181" s="24">
        <v>2886</v>
      </c>
      <c r="G181" s="24">
        <v>26689.3</v>
      </c>
      <c r="J181" s="55" t="s">
        <v>4031</v>
      </c>
      <c r="L181" s="24" t="s">
        <v>5497</v>
      </c>
      <c r="M181" s="24">
        <v>13640.5</v>
      </c>
      <c r="N181" s="24">
        <v>233.5</v>
      </c>
      <c r="O181" s="24">
        <v>70</v>
      </c>
    </row>
    <row r="182" spans="1:15" ht="135" x14ac:dyDescent="0.25">
      <c r="A182" s="24" t="s">
        <v>742</v>
      </c>
      <c r="B182" s="24" t="s">
        <v>5228</v>
      </c>
      <c r="C182" s="24" t="s">
        <v>4434</v>
      </c>
      <c r="D182" s="24" t="s">
        <v>5173</v>
      </c>
      <c r="E182" s="24" t="s">
        <v>4425</v>
      </c>
      <c r="F182" s="24">
        <v>64100</v>
      </c>
      <c r="G182" s="24">
        <v>16071.6</v>
      </c>
      <c r="J182" s="55" t="s">
        <v>4031</v>
      </c>
      <c r="L182" s="24" t="s">
        <v>5498</v>
      </c>
      <c r="M182" s="24">
        <v>5271.7</v>
      </c>
      <c r="N182" s="24">
        <v>160.80000000000001</v>
      </c>
      <c r="O182" s="24">
        <v>61.7</v>
      </c>
    </row>
    <row r="183" spans="1:15" ht="120" x14ac:dyDescent="0.25">
      <c r="A183" s="24" t="s">
        <v>654</v>
      </c>
      <c r="B183" s="24" t="s">
        <v>5231</v>
      </c>
      <c r="C183" s="24" t="s">
        <v>885</v>
      </c>
      <c r="D183" s="24" t="s">
        <v>4505</v>
      </c>
      <c r="E183" s="24" t="s">
        <v>4425</v>
      </c>
      <c r="F183" s="24">
        <v>11800</v>
      </c>
      <c r="G183" s="24">
        <v>34613.300000000003</v>
      </c>
      <c r="J183" s="55" t="s">
        <v>4031</v>
      </c>
      <c r="L183" s="24" t="s">
        <v>5500</v>
      </c>
      <c r="M183" s="24">
        <v>30915</v>
      </c>
      <c r="N183" s="24">
        <v>339.3</v>
      </c>
      <c r="O183" s="24">
        <v>62.1</v>
      </c>
    </row>
    <row r="184" spans="1:15" ht="135" x14ac:dyDescent="0.25">
      <c r="A184" s="24" t="s">
        <v>826</v>
      </c>
      <c r="B184" s="24" t="s">
        <v>5232</v>
      </c>
      <c r="C184" s="24" t="s">
        <v>866</v>
      </c>
      <c r="D184" s="24" t="s">
        <v>4455</v>
      </c>
      <c r="E184" s="24" t="s">
        <v>4425</v>
      </c>
      <c r="F184" s="24">
        <v>5640</v>
      </c>
      <c r="G184" s="24">
        <v>8201</v>
      </c>
      <c r="J184" s="55" t="s">
        <v>4031</v>
      </c>
      <c r="L184" s="24" t="s">
        <v>5501</v>
      </c>
      <c r="M184" s="24">
        <v>1004</v>
      </c>
      <c r="N184" s="24">
        <v>13.3</v>
      </c>
      <c r="O184" s="24">
        <v>11.4</v>
      </c>
    </row>
    <row r="185" spans="1:15" ht="105" x14ac:dyDescent="0.25">
      <c r="A185" s="24" t="s">
        <v>710</v>
      </c>
      <c r="B185" s="24" t="s">
        <v>5233</v>
      </c>
      <c r="C185" s="24" t="s">
        <v>922</v>
      </c>
      <c r="D185" s="24" t="s">
        <v>4510</v>
      </c>
      <c r="E185" s="24" t="s">
        <v>4425</v>
      </c>
      <c r="F185" s="24">
        <v>217</v>
      </c>
      <c r="G185" s="24">
        <v>18700.400000000001</v>
      </c>
      <c r="J185" s="55" t="s">
        <v>4031</v>
      </c>
      <c r="L185" s="24" t="s">
        <v>5502</v>
      </c>
      <c r="M185" s="24">
        <v>5529.7</v>
      </c>
      <c r="N185" s="24">
        <v>82.9</v>
      </c>
      <c r="O185" s="24">
        <v>45.3</v>
      </c>
    </row>
    <row r="186" spans="1:15" ht="120" x14ac:dyDescent="0.25">
      <c r="A186" s="24" t="s">
        <v>615</v>
      </c>
      <c r="B186" s="24" t="s">
        <v>5234</v>
      </c>
      <c r="C186" s="24" t="s">
        <v>904</v>
      </c>
      <c r="D186" s="24" t="s">
        <v>4472</v>
      </c>
      <c r="E186" s="24" t="s">
        <v>4425</v>
      </c>
      <c r="F186" s="24">
        <v>12788</v>
      </c>
      <c r="G186" s="24">
        <v>32711.4</v>
      </c>
      <c r="J186" s="55" t="s">
        <v>4031</v>
      </c>
      <c r="L186" s="24" t="s">
        <v>5503</v>
      </c>
      <c r="M186" s="24">
        <v>14425</v>
      </c>
      <c r="N186" s="24">
        <v>102.5</v>
      </c>
      <c r="O186" s="24">
        <v>50.6</v>
      </c>
    </row>
    <row r="187" spans="1:15" ht="135" x14ac:dyDescent="0.25">
      <c r="A187" s="24" t="s">
        <v>815</v>
      </c>
      <c r="B187" s="24" t="s">
        <v>5235</v>
      </c>
      <c r="C187" s="24" t="s">
        <v>4434</v>
      </c>
      <c r="D187" s="24" t="s">
        <v>4479</v>
      </c>
      <c r="E187" s="24" t="s">
        <v>4425</v>
      </c>
      <c r="F187" s="24">
        <v>18321</v>
      </c>
      <c r="G187" s="24">
        <v>7367.1</v>
      </c>
      <c r="J187" s="55" t="s">
        <v>4031</v>
      </c>
      <c r="L187" s="24" t="s">
        <v>5504</v>
      </c>
      <c r="M187" s="24">
        <v>7028.9</v>
      </c>
      <c r="N187" s="24">
        <v>230.8</v>
      </c>
      <c r="O187" s="24">
        <v>69.599999999999994</v>
      </c>
    </row>
    <row r="188" spans="1:15" ht="135" x14ac:dyDescent="0.25">
      <c r="A188" s="24" t="s">
        <v>721</v>
      </c>
      <c r="B188" s="24" t="s">
        <v>1194</v>
      </c>
      <c r="C188" s="24" t="s">
        <v>866</v>
      </c>
      <c r="D188" s="24" t="s">
        <v>4503</v>
      </c>
      <c r="E188" s="24" t="s">
        <v>4425</v>
      </c>
      <c r="F188" s="24">
        <v>17400</v>
      </c>
      <c r="G188" s="24">
        <v>19366</v>
      </c>
      <c r="J188" s="55" t="s">
        <v>4031</v>
      </c>
      <c r="L188" s="24" t="s">
        <v>5505</v>
      </c>
      <c r="M188" s="24">
        <v>4279.7</v>
      </c>
      <c r="N188" s="24">
        <v>26.6</v>
      </c>
      <c r="O188" s="24">
        <v>21</v>
      </c>
    </row>
    <row r="189" spans="1:15" ht="135" x14ac:dyDescent="0.25">
      <c r="A189" s="24" t="s">
        <v>446</v>
      </c>
      <c r="B189" s="24" t="s">
        <v>5236</v>
      </c>
      <c r="C189" s="24" t="s">
        <v>4512</v>
      </c>
      <c r="D189" s="24" t="s">
        <v>4513</v>
      </c>
      <c r="E189" s="24" t="s">
        <v>4425</v>
      </c>
      <c r="F189" s="24">
        <v>101000</v>
      </c>
      <c r="G189" s="24">
        <v>379095.9</v>
      </c>
      <c r="J189" s="55" t="s">
        <v>4031</v>
      </c>
      <c r="L189" s="24" t="s">
        <v>5506</v>
      </c>
      <c r="M189" s="24">
        <v>22322</v>
      </c>
      <c r="N189" s="24">
        <v>51</v>
      </c>
      <c r="O189" s="24">
        <v>33.299999999999997</v>
      </c>
    </row>
    <row r="190" spans="1:15" ht="135" x14ac:dyDescent="0.25">
      <c r="A190" s="24" t="s">
        <v>770</v>
      </c>
      <c r="B190" s="24" t="s">
        <v>1252</v>
      </c>
      <c r="C190" s="24" t="s">
        <v>4423</v>
      </c>
      <c r="D190" s="24" t="s">
        <v>4694</v>
      </c>
      <c r="E190" s="24" t="s">
        <v>4425</v>
      </c>
      <c r="F190" s="24">
        <v>15200</v>
      </c>
      <c r="G190" s="24">
        <v>12671.8</v>
      </c>
      <c r="J190" s="55" t="s">
        <v>4031</v>
      </c>
      <c r="L190" s="24" t="s">
        <v>5508</v>
      </c>
      <c r="M190" s="24">
        <v>2484.1999999999998</v>
      </c>
      <c r="N190" s="24">
        <v>68.8</v>
      </c>
      <c r="O190" s="24">
        <v>40.799999999999997</v>
      </c>
    </row>
    <row r="191" spans="1:15" ht="90" x14ac:dyDescent="0.25">
      <c r="A191" s="24" t="s">
        <v>488</v>
      </c>
      <c r="B191" s="24" t="s">
        <v>5237</v>
      </c>
      <c r="C191" s="24" t="s">
        <v>922</v>
      </c>
      <c r="D191" s="24" t="s">
        <v>4477</v>
      </c>
      <c r="E191" s="24" t="s">
        <v>4425</v>
      </c>
      <c r="F191" s="24">
        <v>1945</v>
      </c>
      <c r="G191" s="24">
        <v>112170.7</v>
      </c>
      <c r="J191" s="55" t="s">
        <v>4031</v>
      </c>
      <c r="L191" s="24" t="s">
        <v>5509</v>
      </c>
      <c r="M191" s="24">
        <v>17040.900000000001</v>
      </c>
      <c r="N191" s="24">
        <v>52.5</v>
      </c>
      <c r="O191" s="24">
        <v>34.4</v>
      </c>
    </row>
    <row r="192" spans="1:15" ht="135" x14ac:dyDescent="0.25">
      <c r="A192" s="24" t="s">
        <v>471</v>
      </c>
      <c r="B192" s="24" t="s">
        <v>5238</v>
      </c>
      <c r="C192" s="24" t="s">
        <v>4512</v>
      </c>
      <c r="D192" s="24" t="s">
        <v>5206</v>
      </c>
      <c r="E192" s="24" t="s">
        <v>4425</v>
      </c>
      <c r="F192" s="24">
        <v>71000</v>
      </c>
      <c r="G192" s="24">
        <v>157831.20000000001</v>
      </c>
      <c r="J192" s="55" t="s">
        <v>4031</v>
      </c>
      <c r="L192" s="24" t="s">
        <v>5510</v>
      </c>
      <c r="M192" s="24">
        <v>25768</v>
      </c>
      <c r="O192" s="24">
        <v>169.3</v>
      </c>
    </row>
    <row r="193" spans="1:15" ht="135" x14ac:dyDescent="0.25">
      <c r="A193" s="24" t="s">
        <v>505</v>
      </c>
      <c r="B193" s="24" t="s">
        <v>5239</v>
      </c>
      <c r="C193" s="24" t="s">
        <v>866</v>
      </c>
      <c r="D193" s="24" t="s">
        <v>4455</v>
      </c>
      <c r="E193" s="24" t="s">
        <v>4425</v>
      </c>
      <c r="F193" s="24">
        <v>49549</v>
      </c>
      <c r="G193" s="24">
        <v>87068.2</v>
      </c>
      <c r="J193" s="55" t="s">
        <v>4031</v>
      </c>
      <c r="L193" s="24" t="s">
        <v>5511</v>
      </c>
      <c r="M193" s="24">
        <v>33471</v>
      </c>
      <c r="N193" s="24">
        <v>59.5</v>
      </c>
      <c r="O193" s="24">
        <v>37.299999999999997</v>
      </c>
    </row>
    <row r="194" spans="1:15" ht="135" x14ac:dyDescent="0.25">
      <c r="A194" s="24" t="s">
        <v>780</v>
      </c>
      <c r="B194" s="24" t="s">
        <v>5240</v>
      </c>
      <c r="C194" s="24" t="s">
        <v>902</v>
      </c>
      <c r="D194" s="24" t="s">
        <v>4491</v>
      </c>
      <c r="E194" s="24" t="s">
        <v>1709</v>
      </c>
      <c r="F194" s="24">
        <v>9750</v>
      </c>
      <c r="G194" s="24">
        <v>10314.299999999999</v>
      </c>
      <c r="J194" s="55" t="s">
        <v>4031</v>
      </c>
      <c r="L194" s="24" t="s">
        <v>5512</v>
      </c>
      <c r="M194" s="24">
        <v>700.9</v>
      </c>
      <c r="N194" s="24">
        <v>30</v>
      </c>
      <c r="O194" s="24">
        <v>23.1</v>
      </c>
    </row>
    <row r="195" spans="1:15" ht="105" x14ac:dyDescent="0.25">
      <c r="A195" s="24" t="s">
        <v>820</v>
      </c>
      <c r="B195" s="24" t="s">
        <v>5241</v>
      </c>
      <c r="C195" s="24" t="s">
        <v>904</v>
      </c>
      <c r="D195" s="24" t="s">
        <v>4445</v>
      </c>
      <c r="E195" s="24" t="s">
        <v>4425</v>
      </c>
      <c r="F195" s="24">
        <v>88</v>
      </c>
      <c r="G195" s="24">
        <v>7873.6</v>
      </c>
      <c r="J195" s="55" t="s">
        <v>4031</v>
      </c>
      <c r="L195" s="24" t="s">
        <v>5513</v>
      </c>
      <c r="M195" s="24">
        <v>6763.1</v>
      </c>
      <c r="N195" s="24">
        <v>111.5</v>
      </c>
      <c r="O195" s="24">
        <v>52.7</v>
      </c>
    </row>
    <row r="196" spans="1:15" ht="135" x14ac:dyDescent="0.25">
      <c r="A196" s="24" t="s">
        <v>581</v>
      </c>
      <c r="B196" s="24" t="s">
        <v>5242</v>
      </c>
      <c r="C196" s="24" t="s">
        <v>4423</v>
      </c>
      <c r="D196" s="24" t="s">
        <v>4489</v>
      </c>
      <c r="E196" s="24" t="s">
        <v>4425</v>
      </c>
      <c r="F196" s="24">
        <v>46900</v>
      </c>
      <c r="G196" s="24">
        <v>36438.699999999997</v>
      </c>
      <c r="J196" s="55" t="s">
        <v>4031</v>
      </c>
      <c r="L196" s="24" t="s">
        <v>5514</v>
      </c>
      <c r="M196" s="24">
        <v>6092</v>
      </c>
      <c r="N196" s="24">
        <v>97.4</v>
      </c>
      <c r="O196" s="24">
        <v>49.3</v>
      </c>
    </row>
    <row r="197" spans="1:15" ht="120" x14ac:dyDescent="0.25">
      <c r="A197" s="24" t="s">
        <v>675</v>
      </c>
      <c r="B197" s="24" t="s">
        <v>5243</v>
      </c>
      <c r="C197" s="24" t="s">
        <v>904</v>
      </c>
      <c r="D197" s="24" t="s">
        <v>4472</v>
      </c>
      <c r="E197" s="24" t="s">
        <v>4425</v>
      </c>
      <c r="F197" s="24">
        <v>12318</v>
      </c>
      <c r="G197" s="24">
        <v>21988.5</v>
      </c>
      <c r="J197" s="55" t="s">
        <v>4031</v>
      </c>
      <c r="L197" s="24" t="s">
        <v>5515</v>
      </c>
      <c r="M197" s="24">
        <v>10665</v>
      </c>
      <c r="N197" s="24">
        <v>73.2</v>
      </c>
      <c r="O197" s="24">
        <v>42.3</v>
      </c>
    </row>
    <row r="198" spans="1:15" ht="120" x14ac:dyDescent="0.25">
      <c r="A198" s="24" t="s">
        <v>621</v>
      </c>
      <c r="B198" s="24" t="s">
        <v>620</v>
      </c>
      <c r="C198" s="24" t="s">
        <v>885</v>
      </c>
      <c r="D198" s="24" t="s">
        <v>4567</v>
      </c>
      <c r="E198" s="24" t="s">
        <v>4425</v>
      </c>
      <c r="F198" s="24">
        <v>14300</v>
      </c>
      <c r="G198" s="24">
        <v>37266.400000000001</v>
      </c>
      <c r="J198" s="55" t="s">
        <v>4031</v>
      </c>
      <c r="L198" s="24" t="s">
        <v>5517</v>
      </c>
      <c r="M198" s="24">
        <v>13421</v>
      </c>
      <c r="N198" s="24">
        <v>74</v>
      </c>
      <c r="O198" s="24">
        <v>42.5</v>
      </c>
    </row>
    <row r="199" spans="1:15" ht="120" x14ac:dyDescent="0.25">
      <c r="A199" s="24" t="s">
        <v>825</v>
      </c>
      <c r="B199" s="24" t="s">
        <v>1296</v>
      </c>
      <c r="C199" s="24" t="s">
        <v>4434</v>
      </c>
      <c r="D199" s="24" t="s">
        <v>4509</v>
      </c>
      <c r="E199" s="24" t="s">
        <v>4425</v>
      </c>
      <c r="F199" s="24">
        <v>20000</v>
      </c>
      <c r="G199" s="24">
        <v>6441.4</v>
      </c>
      <c r="J199" s="55" t="s">
        <v>4031</v>
      </c>
      <c r="L199" s="24" t="s">
        <v>5518</v>
      </c>
      <c r="M199" s="24">
        <v>2605.1999999999998</v>
      </c>
      <c r="N199" s="24">
        <v>50.4</v>
      </c>
      <c r="O199" s="24">
        <v>33.5</v>
      </c>
    </row>
    <row r="200" spans="1:15" ht="90" x14ac:dyDescent="0.25">
      <c r="A200" s="24" t="s">
        <v>575</v>
      </c>
      <c r="B200" s="24" t="s">
        <v>5244</v>
      </c>
      <c r="C200" s="24" t="s">
        <v>885</v>
      </c>
      <c r="D200" s="24" t="s">
        <v>4505</v>
      </c>
      <c r="E200" s="24" t="s">
        <v>4425</v>
      </c>
      <c r="F200" s="24">
        <v>1853</v>
      </c>
      <c r="G200" s="24">
        <v>51866.2</v>
      </c>
      <c r="J200" s="55" t="s">
        <v>4031</v>
      </c>
      <c r="L200" s="24" t="s">
        <v>5520</v>
      </c>
      <c r="M200" s="24">
        <v>6685</v>
      </c>
      <c r="N200" s="24">
        <v>28.8</v>
      </c>
      <c r="O200" s="24">
        <v>22.4</v>
      </c>
    </row>
    <row r="201" spans="1:15" ht="135" x14ac:dyDescent="0.25">
      <c r="A201" s="24" t="s">
        <v>795</v>
      </c>
      <c r="B201" s="24" t="s">
        <v>1274</v>
      </c>
      <c r="C201" s="24" t="s">
        <v>866</v>
      </c>
      <c r="D201" s="24" t="s">
        <v>4672</v>
      </c>
      <c r="E201" s="24" t="s">
        <v>4675</v>
      </c>
      <c r="F201" s="24">
        <v>1746</v>
      </c>
      <c r="G201" s="24">
        <v>11092.6</v>
      </c>
      <c r="J201" s="55" t="s">
        <v>4031</v>
      </c>
      <c r="L201" s="24" t="s">
        <v>5521</v>
      </c>
      <c r="M201" s="24">
        <v>1910.9</v>
      </c>
      <c r="N201" s="24">
        <v>19.2</v>
      </c>
      <c r="O201" s="24">
        <v>16.100000000000001</v>
      </c>
    </row>
    <row r="202" spans="1:15" ht="135" x14ac:dyDescent="0.25">
      <c r="A202" s="24" t="s">
        <v>791</v>
      </c>
      <c r="B202" s="24" t="s">
        <v>5245</v>
      </c>
      <c r="C202" s="24" t="s">
        <v>922</v>
      </c>
      <c r="D202" s="24" t="s">
        <v>4477</v>
      </c>
      <c r="E202" s="24" t="s">
        <v>4425</v>
      </c>
      <c r="F202" s="24">
        <v>431</v>
      </c>
      <c r="G202" s="24">
        <v>12058.5</v>
      </c>
      <c r="J202" s="55" t="s">
        <v>4031</v>
      </c>
      <c r="L202" s="24" t="s">
        <v>5522</v>
      </c>
      <c r="M202" s="24">
        <v>3749.3</v>
      </c>
      <c r="N202" s="24">
        <v>61.8</v>
      </c>
      <c r="O202" s="24">
        <v>38.200000000000003</v>
      </c>
    </row>
    <row r="203" spans="1:15" ht="135" x14ac:dyDescent="0.25">
      <c r="A203" s="24" t="s">
        <v>693</v>
      </c>
      <c r="B203" s="24" t="s">
        <v>1171</v>
      </c>
      <c r="C203" s="24" t="s">
        <v>866</v>
      </c>
      <c r="D203" s="24" t="s">
        <v>4455</v>
      </c>
      <c r="E203" s="24" t="s">
        <v>4425</v>
      </c>
      <c r="F203" s="24">
        <v>18963</v>
      </c>
      <c r="G203" s="24">
        <v>22335.4</v>
      </c>
      <c r="J203" s="55" t="s">
        <v>4031</v>
      </c>
      <c r="L203" s="24" t="s">
        <v>5523</v>
      </c>
      <c r="M203" s="24">
        <v>2451</v>
      </c>
      <c r="N203" s="24">
        <v>14.5</v>
      </c>
      <c r="O203" s="24">
        <v>11.6</v>
      </c>
    </row>
    <row r="204" spans="1:15" ht="105" x14ac:dyDescent="0.25">
      <c r="A204" s="24" t="s">
        <v>835</v>
      </c>
      <c r="B204" s="24" t="s">
        <v>5247</v>
      </c>
      <c r="C204" s="24" t="s">
        <v>4434</v>
      </c>
      <c r="D204" s="24" t="s">
        <v>4509</v>
      </c>
      <c r="E204" s="24" t="s">
        <v>4425</v>
      </c>
      <c r="F204" s="24">
        <v>12100</v>
      </c>
      <c r="G204" s="24">
        <v>7788.7</v>
      </c>
      <c r="J204" s="55" t="s">
        <v>4031</v>
      </c>
      <c r="L204" s="24" t="s">
        <v>5525</v>
      </c>
      <c r="M204" s="24">
        <v>1493.2</v>
      </c>
      <c r="N204" s="24">
        <v>52.2</v>
      </c>
      <c r="O204" s="24">
        <v>34.299999999999997</v>
      </c>
    </row>
    <row r="205" spans="1:15" ht="135" x14ac:dyDescent="0.25">
      <c r="A205" s="24" t="s">
        <v>484</v>
      </c>
      <c r="B205" s="24" t="s">
        <v>5250</v>
      </c>
      <c r="C205" s="24" t="s">
        <v>902</v>
      </c>
      <c r="D205" s="24" t="s">
        <v>4463</v>
      </c>
      <c r="E205" s="24" t="s">
        <v>4425</v>
      </c>
      <c r="F205" s="24">
        <v>181000</v>
      </c>
      <c r="G205" s="24">
        <v>133183.29999999999</v>
      </c>
      <c r="J205" s="55" t="s">
        <v>4031</v>
      </c>
      <c r="L205" s="24" t="s">
        <v>5528</v>
      </c>
      <c r="M205" s="24">
        <v>30768</v>
      </c>
      <c r="N205" s="24">
        <v>43.1</v>
      </c>
      <c r="O205" s="24">
        <v>30.1</v>
      </c>
    </row>
    <row r="206" spans="1:15" ht="135" x14ac:dyDescent="0.25">
      <c r="A206" s="24" t="s">
        <v>708</v>
      </c>
      <c r="B206" s="24" t="s">
        <v>707</v>
      </c>
      <c r="C206" s="24" t="s">
        <v>866</v>
      </c>
      <c r="D206" s="24" t="s">
        <v>4455</v>
      </c>
      <c r="E206" s="24" t="s">
        <v>4425</v>
      </c>
      <c r="F206" s="24">
        <v>1652</v>
      </c>
      <c r="G206" s="24">
        <v>19167.099999999999</v>
      </c>
      <c r="J206" s="55" t="s">
        <v>4031</v>
      </c>
      <c r="L206" s="24" t="s">
        <v>5530</v>
      </c>
      <c r="M206" s="24">
        <v>569.9</v>
      </c>
      <c r="N206" s="24">
        <v>7.4</v>
      </c>
      <c r="O206" s="24">
        <v>6.9</v>
      </c>
    </row>
    <row r="207" spans="1:15" ht="120" x14ac:dyDescent="0.25">
      <c r="A207" s="24" t="s">
        <v>487</v>
      </c>
      <c r="B207" s="24" t="s">
        <v>5251</v>
      </c>
      <c r="C207" s="24" t="s">
        <v>866</v>
      </c>
      <c r="D207" s="24" t="s">
        <v>4536</v>
      </c>
      <c r="E207" s="24" t="s">
        <v>4425</v>
      </c>
      <c r="F207" s="24">
        <v>32400</v>
      </c>
      <c r="G207" s="24">
        <v>170172.9</v>
      </c>
      <c r="J207" s="55" t="s">
        <v>4031</v>
      </c>
      <c r="L207" s="24" t="s">
        <v>5531</v>
      </c>
      <c r="M207" s="24">
        <v>19530</v>
      </c>
      <c r="N207" s="24">
        <v>41.1</v>
      </c>
      <c r="O207" s="24">
        <v>25.4</v>
      </c>
    </row>
    <row r="208" spans="1:15" ht="135" x14ac:dyDescent="0.25">
      <c r="A208" s="24" t="s">
        <v>801</v>
      </c>
      <c r="B208" s="24" t="s">
        <v>1282</v>
      </c>
      <c r="C208" s="24" t="s">
        <v>4423</v>
      </c>
      <c r="D208" s="24" t="s">
        <v>4459</v>
      </c>
      <c r="E208" s="24" t="s">
        <v>4425</v>
      </c>
      <c r="F208" s="24">
        <v>16500</v>
      </c>
      <c r="G208" s="24">
        <v>9733.9</v>
      </c>
      <c r="J208" s="55" t="s">
        <v>4031</v>
      </c>
      <c r="L208" s="24" t="s">
        <v>5532</v>
      </c>
      <c r="M208" s="24">
        <v>3315.4</v>
      </c>
      <c r="O208" s="24">
        <v>96.3</v>
      </c>
    </row>
    <row r="209" spans="1:15" ht="135" x14ac:dyDescent="0.25">
      <c r="A209" s="24" t="s">
        <v>585</v>
      </c>
      <c r="B209" s="24" t="s">
        <v>584</v>
      </c>
      <c r="C209" s="24" t="s">
        <v>866</v>
      </c>
      <c r="D209" s="24" t="s">
        <v>4455</v>
      </c>
      <c r="E209" s="24" t="s">
        <v>4425</v>
      </c>
      <c r="F209" s="24">
        <v>6208</v>
      </c>
      <c r="G209" s="24">
        <v>32891.4</v>
      </c>
      <c r="J209" s="55" t="s">
        <v>4031</v>
      </c>
      <c r="L209" s="24" t="s">
        <v>5533</v>
      </c>
      <c r="M209" s="24">
        <v>1925</v>
      </c>
      <c r="N209" s="24">
        <v>15.7</v>
      </c>
      <c r="O209" s="24">
        <v>11.9</v>
      </c>
    </row>
    <row r="210" spans="1:15" ht="105" x14ac:dyDescent="0.25">
      <c r="A210" s="24" t="s">
        <v>758</v>
      </c>
      <c r="B210" s="24" t="s">
        <v>5252</v>
      </c>
      <c r="C210" s="24" t="s">
        <v>4512</v>
      </c>
      <c r="D210" s="24" t="s">
        <v>4546</v>
      </c>
      <c r="E210" s="24" t="s">
        <v>4425</v>
      </c>
      <c r="F210" s="24">
        <v>7100</v>
      </c>
      <c r="G210" s="24">
        <v>14886.9</v>
      </c>
      <c r="J210" s="55" t="s">
        <v>4031</v>
      </c>
      <c r="L210" s="24" t="s">
        <v>5534</v>
      </c>
      <c r="M210" s="24">
        <v>4311.3999999999996</v>
      </c>
      <c r="N210" s="24">
        <v>52</v>
      </c>
      <c r="O210" s="24">
        <v>34.200000000000003</v>
      </c>
    </row>
    <row r="211" spans="1:15" ht="120" x14ac:dyDescent="0.25">
      <c r="A211" s="24" t="s">
        <v>517</v>
      </c>
      <c r="B211" s="24" t="s">
        <v>968</v>
      </c>
      <c r="C211" s="24" t="s">
        <v>904</v>
      </c>
      <c r="D211" s="24" t="s">
        <v>4445</v>
      </c>
      <c r="E211" s="24" t="s">
        <v>4425</v>
      </c>
      <c r="F211" s="24">
        <v>27700</v>
      </c>
      <c r="G211" s="24">
        <v>71028.100000000006</v>
      </c>
      <c r="J211" s="55" t="s">
        <v>4031</v>
      </c>
      <c r="L211" s="24" t="s">
        <v>5536</v>
      </c>
      <c r="M211" s="24">
        <v>48843</v>
      </c>
      <c r="N211" s="24">
        <v>170.2</v>
      </c>
      <c r="O211" s="24">
        <v>62.8</v>
      </c>
    </row>
    <row r="212" spans="1:15" ht="90" x14ac:dyDescent="0.25">
      <c r="A212" s="24" t="s">
        <v>544</v>
      </c>
      <c r="B212" s="24" t="s">
        <v>5254</v>
      </c>
      <c r="C212" s="24" t="s">
        <v>922</v>
      </c>
      <c r="D212" s="24" t="s">
        <v>4477</v>
      </c>
      <c r="E212" s="24" t="s">
        <v>4425</v>
      </c>
      <c r="F212" s="24">
        <v>2400</v>
      </c>
      <c r="G212" s="24">
        <v>47839.199999999997</v>
      </c>
      <c r="J212" s="55" t="s">
        <v>4031</v>
      </c>
      <c r="L212" s="24" t="s">
        <v>5537</v>
      </c>
      <c r="M212" s="24">
        <v>25584.400000000001</v>
      </c>
      <c r="N212" s="24">
        <v>766.9</v>
      </c>
      <c r="O212" s="24">
        <v>88.3</v>
      </c>
    </row>
    <row r="213" spans="1:15" ht="135" x14ac:dyDescent="0.25">
      <c r="A213" s="24" t="s">
        <v>668</v>
      </c>
      <c r="B213" s="24" t="s">
        <v>5255</v>
      </c>
      <c r="C213" s="24" t="s">
        <v>4428</v>
      </c>
      <c r="D213" s="24" t="s">
        <v>4559</v>
      </c>
      <c r="E213" s="24" t="s">
        <v>4436</v>
      </c>
      <c r="F213" s="24">
        <v>13000</v>
      </c>
      <c r="G213" s="24">
        <v>21817</v>
      </c>
      <c r="J213" s="55" t="s">
        <v>4031</v>
      </c>
      <c r="L213" s="24" t="s">
        <v>5538</v>
      </c>
      <c r="M213" s="24">
        <v>3421.5</v>
      </c>
      <c r="N213" s="24">
        <v>52.4</v>
      </c>
      <c r="O213" s="24">
        <v>34.4</v>
      </c>
    </row>
    <row r="214" spans="1:15" ht="135" x14ac:dyDescent="0.25">
      <c r="A214" s="24" t="s">
        <v>613</v>
      </c>
      <c r="B214" s="24" t="s">
        <v>1093</v>
      </c>
      <c r="C214" s="24" t="s">
        <v>866</v>
      </c>
      <c r="D214" s="24" t="s">
        <v>4447</v>
      </c>
      <c r="E214" s="24" t="s">
        <v>4425</v>
      </c>
      <c r="F214" s="24">
        <v>38932</v>
      </c>
      <c r="G214" s="24">
        <v>34486.1</v>
      </c>
      <c r="J214" s="55" t="s">
        <v>4031</v>
      </c>
      <c r="L214" s="24" t="s">
        <v>5539</v>
      </c>
      <c r="M214" s="24">
        <v>12978</v>
      </c>
      <c r="N214" s="24">
        <v>51.2</v>
      </c>
      <c r="O214" s="24">
        <v>32.200000000000003</v>
      </c>
    </row>
    <row r="215" spans="1:15" ht="135" x14ac:dyDescent="0.25">
      <c r="A215" s="24" t="s">
        <v>678</v>
      </c>
      <c r="B215" s="24" t="s">
        <v>5256</v>
      </c>
      <c r="C215" s="24" t="s">
        <v>4430</v>
      </c>
      <c r="D215" s="24" t="s">
        <v>5164</v>
      </c>
      <c r="E215" s="24" t="s">
        <v>4436</v>
      </c>
      <c r="F215" s="24">
        <v>40000</v>
      </c>
      <c r="G215" s="24">
        <v>21442.1</v>
      </c>
      <c r="J215" s="55" t="s">
        <v>4031</v>
      </c>
      <c r="L215" s="24" t="s">
        <v>5540</v>
      </c>
      <c r="M215" s="24">
        <v>4891</v>
      </c>
      <c r="N215" s="24">
        <v>813.8</v>
      </c>
      <c r="O215" s="24">
        <v>89.1</v>
      </c>
    </row>
    <row r="216" spans="1:15" ht="135" x14ac:dyDescent="0.25">
      <c r="A216" s="24" t="s">
        <v>576</v>
      </c>
      <c r="B216" s="24" t="s">
        <v>5257</v>
      </c>
      <c r="C216" s="24" t="s">
        <v>4512</v>
      </c>
      <c r="D216" s="24" t="s">
        <v>5258</v>
      </c>
      <c r="E216" s="24" t="s">
        <v>4425</v>
      </c>
      <c r="F216" s="24">
        <v>9300</v>
      </c>
      <c r="G216" s="24">
        <v>44000.7</v>
      </c>
      <c r="J216" s="55" t="s">
        <v>4031</v>
      </c>
      <c r="L216" s="24" t="s">
        <v>5541</v>
      </c>
      <c r="M216" s="24">
        <v>10083.799999999999</v>
      </c>
      <c r="N216" s="24">
        <v>89.7</v>
      </c>
      <c r="O216" s="24">
        <v>47.3</v>
      </c>
    </row>
    <row r="217" spans="1:15" ht="120" x14ac:dyDescent="0.25">
      <c r="A217" s="24" t="s">
        <v>637</v>
      </c>
      <c r="B217" s="24" t="s">
        <v>5259</v>
      </c>
      <c r="C217" s="24" t="s">
        <v>902</v>
      </c>
      <c r="D217" s="24" t="s">
        <v>4491</v>
      </c>
      <c r="E217" s="24" t="s">
        <v>4425</v>
      </c>
      <c r="F217" s="24">
        <v>53100</v>
      </c>
      <c r="G217" s="24">
        <v>28535.7</v>
      </c>
      <c r="J217" s="55" t="s">
        <v>4031</v>
      </c>
      <c r="L217" s="24" t="s">
        <v>5542</v>
      </c>
      <c r="M217" s="24">
        <v>4246.8999999999996</v>
      </c>
      <c r="N217" s="24">
        <v>40.200000000000003</v>
      </c>
      <c r="O217" s="24">
        <v>27.3</v>
      </c>
    </row>
    <row r="218" spans="1:15" ht="135" x14ac:dyDescent="0.25">
      <c r="A218" s="24" t="s">
        <v>659</v>
      </c>
      <c r="B218" s="24" t="s">
        <v>658</v>
      </c>
      <c r="C218" s="24" t="s">
        <v>866</v>
      </c>
      <c r="D218" s="24" t="s">
        <v>4540</v>
      </c>
      <c r="E218" s="24" t="s">
        <v>4425</v>
      </c>
      <c r="F218" s="24">
        <v>16500</v>
      </c>
      <c r="G218" s="24">
        <v>24829.200000000001</v>
      </c>
      <c r="J218" s="55" t="s">
        <v>4031</v>
      </c>
      <c r="L218" s="24" t="s">
        <v>5543</v>
      </c>
      <c r="M218" s="24">
        <v>12760</v>
      </c>
      <c r="N218" s="24">
        <v>96.7</v>
      </c>
      <c r="O218" s="24">
        <v>47.8</v>
      </c>
    </row>
    <row r="219" spans="1:15" ht="135" x14ac:dyDescent="0.25">
      <c r="A219" s="24" t="s">
        <v>501</v>
      </c>
      <c r="B219" s="24" t="s">
        <v>5260</v>
      </c>
      <c r="C219" s="24" t="s">
        <v>4428</v>
      </c>
      <c r="D219" s="24" t="s">
        <v>4559</v>
      </c>
      <c r="E219" s="24" t="s">
        <v>4425</v>
      </c>
      <c r="F219" s="24">
        <v>43000</v>
      </c>
      <c r="G219" s="24">
        <v>93653.6</v>
      </c>
      <c r="J219" s="55" t="s">
        <v>4031</v>
      </c>
      <c r="L219" s="24" t="s">
        <v>5544</v>
      </c>
      <c r="M219" s="24">
        <v>12629</v>
      </c>
      <c r="N219" s="24">
        <v>89.1</v>
      </c>
      <c r="O219" s="24">
        <v>47.1</v>
      </c>
    </row>
    <row r="220" spans="1:15" ht="135" x14ac:dyDescent="0.25">
      <c r="A220" s="24" t="s">
        <v>583</v>
      </c>
      <c r="B220" s="24" t="s">
        <v>5261</v>
      </c>
      <c r="C220" s="24" t="s">
        <v>4512</v>
      </c>
      <c r="D220" s="24" t="s">
        <v>4685</v>
      </c>
      <c r="E220" s="24" t="s">
        <v>4425</v>
      </c>
      <c r="F220" s="24">
        <v>57000</v>
      </c>
      <c r="G220" s="24">
        <v>39505.300000000003</v>
      </c>
      <c r="J220" s="55" t="s">
        <v>4031</v>
      </c>
      <c r="L220" s="24" t="s">
        <v>5545</v>
      </c>
      <c r="M220" s="24">
        <v>10645.4</v>
      </c>
      <c r="N220" s="24">
        <v>636.20000000000005</v>
      </c>
      <c r="O220" s="24">
        <v>86.4</v>
      </c>
    </row>
    <row r="221" spans="1:15" ht="120" x14ac:dyDescent="0.25">
      <c r="A221" s="24" t="s">
        <v>468</v>
      </c>
      <c r="B221" s="24" t="s">
        <v>467</v>
      </c>
      <c r="C221" s="24" t="s">
        <v>4430</v>
      </c>
      <c r="D221" s="24" t="s">
        <v>4581</v>
      </c>
      <c r="E221" s="24" t="s">
        <v>4425</v>
      </c>
      <c r="F221" s="24">
        <v>230000</v>
      </c>
      <c r="G221" s="24">
        <v>173169.3</v>
      </c>
      <c r="J221" s="55" t="s">
        <v>4031</v>
      </c>
      <c r="L221" s="24" t="s">
        <v>5546</v>
      </c>
      <c r="M221" s="24">
        <v>155664</v>
      </c>
      <c r="N221" s="24">
        <v>95</v>
      </c>
      <c r="O221" s="24">
        <v>48.7</v>
      </c>
    </row>
    <row r="222" spans="1:15" ht="120" x14ac:dyDescent="0.25">
      <c r="A222" s="24" t="s">
        <v>814</v>
      </c>
      <c r="B222" s="24" t="s">
        <v>5262</v>
      </c>
      <c r="C222" s="24" t="s">
        <v>4512</v>
      </c>
      <c r="D222" s="24" t="s">
        <v>5258</v>
      </c>
      <c r="E222" s="24" t="s">
        <v>4425</v>
      </c>
      <c r="F222" s="24">
        <v>17000</v>
      </c>
      <c r="G222" s="24">
        <v>10542.5</v>
      </c>
      <c r="J222" s="55" t="s">
        <v>4031</v>
      </c>
      <c r="L222" s="24" t="s">
        <v>5547</v>
      </c>
      <c r="M222" s="24">
        <v>6661</v>
      </c>
      <c r="N222" s="24">
        <v>50.2</v>
      </c>
      <c r="O222" s="24">
        <v>33.4</v>
      </c>
    </row>
    <row r="223" spans="1:15" ht="135" x14ac:dyDescent="0.25">
      <c r="A223" s="24" t="s">
        <v>617</v>
      </c>
      <c r="B223" s="24" t="s">
        <v>5263</v>
      </c>
      <c r="C223" s="24" t="s">
        <v>902</v>
      </c>
      <c r="D223" s="24" t="s">
        <v>4463</v>
      </c>
      <c r="E223" s="24" t="s">
        <v>4425</v>
      </c>
      <c r="F223" s="24">
        <v>13300</v>
      </c>
      <c r="G223" s="24">
        <v>33844.9</v>
      </c>
      <c r="J223" s="55" t="s">
        <v>4031</v>
      </c>
      <c r="L223" s="24" t="s">
        <v>5548</v>
      </c>
      <c r="M223" s="24">
        <v>19470</v>
      </c>
      <c r="O223" s="24">
        <v>117.6</v>
      </c>
    </row>
    <row r="224" spans="1:15" ht="135" x14ac:dyDescent="0.25">
      <c r="A224" s="24" t="s">
        <v>704</v>
      </c>
      <c r="B224" s="24" t="s">
        <v>5264</v>
      </c>
      <c r="C224" s="24" t="s">
        <v>4428</v>
      </c>
      <c r="D224" s="24" t="s">
        <v>4453</v>
      </c>
      <c r="E224" s="24" t="s">
        <v>4425</v>
      </c>
      <c r="F224" s="24">
        <v>2600</v>
      </c>
      <c r="G224" s="24">
        <v>14296</v>
      </c>
      <c r="J224" s="55" t="s">
        <v>4031</v>
      </c>
      <c r="L224" s="24" t="s">
        <v>5549</v>
      </c>
      <c r="M224" s="24">
        <v>287.7</v>
      </c>
      <c r="N224" s="24">
        <v>17.600000000000001</v>
      </c>
      <c r="O224" s="24">
        <v>14.9</v>
      </c>
    </row>
    <row r="225" spans="1:15" ht="135" x14ac:dyDescent="0.25">
      <c r="A225" s="24" t="s">
        <v>543</v>
      </c>
      <c r="B225" s="24" t="s">
        <v>1007</v>
      </c>
      <c r="C225" s="24" t="s">
        <v>902</v>
      </c>
      <c r="D225" s="24" t="s">
        <v>4532</v>
      </c>
      <c r="E225" s="24" t="s">
        <v>5104</v>
      </c>
      <c r="F225" s="24">
        <v>89000</v>
      </c>
      <c r="G225" s="24">
        <v>45875.9</v>
      </c>
      <c r="J225" s="55" t="s">
        <v>4031</v>
      </c>
      <c r="L225" s="24" t="s">
        <v>5550</v>
      </c>
      <c r="M225" s="24">
        <v>3589</v>
      </c>
      <c r="N225" s="24">
        <v>33.799999999999997</v>
      </c>
      <c r="O225" s="24">
        <v>25.2</v>
      </c>
    </row>
    <row r="226" spans="1:15" ht="135" x14ac:dyDescent="0.25">
      <c r="A226" s="24" t="s">
        <v>513</v>
      </c>
      <c r="B226" s="24" t="s">
        <v>5265</v>
      </c>
      <c r="C226" s="24" t="s">
        <v>866</v>
      </c>
      <c r="D226" s="24" t="s">
        <v>4455</v>
      </c>
      <c r="E226" s="24" t="s">
        <v>4425</v>
      </c>
      <c r="F226" s="24">
        <v>52294</v>
      </c>
      <c r="G226" s="24">
        <v>83924.6</v>
      </c>
      <c r="J226" s="55" t="s">
        <v>4031</v>
      </c>
      <c r="L226" s="24" t="s">
        <v>5551</v>
      </c>
      <c r="M226" s="24">
        <v>36970</v>
      </c>
      <c r="N226" s="24">
        <v>59.4</v>
      </c>
      <c r="O226" s="24">
        <v>34.9</v>
      </c>
    </row>
    <row r="227" spans="1:15" ht="135" x14ac:dyDescent="0.25">
      <c r="A227" s="24" t="s">
        <v>500</v>
      </c>
      <c r="B227" s="24" t="s">
        <v>5267</v>
      </c>
      <c r="C227" s="24" t="s">
        <v>4434</v>
      </c>
      <c r="D227" s="24" t="s">
        <v>4654</v>
      </c>
      <c r="E227" s="24" t="s">
        <v>4425</v>
      </c>
      <c r="F227" s="24">
        <v>320000</v>
      </c>
      <c r="G227" s="24">
        <v>82427.899999999994</v>
      </c>
      <c r="J227" s="55" t="s">
        <v>4031</v>
      </c>
      <c r="L227" s="24" t="s">
        <v>5553</v>
      </c>
      <c r="M227" s="24">
        <v>3353.9</v>
      </c>
      <c r="N227" s="24">
        <v>52</v>
      </c>
      <c r="O227" s="24">
        <v>34.200000000000003</v>
      </c>
    </row>
    <row r="228" spans="1:15" ht="120" x14ac:dyDescent="0.25">
      <c r="A228" s="24" t="s">
        <v>793</v>
      </c>
      <c r="B228" s="24" t="s">
        <v>5268</v>
      </c>
      <c r="C228" s="24" t="s">
        <v>4434</v>
      </c>
      <c r="D228" s="24" t="s">
        <v>4439</v>
      </c>
      <c r="E228" s="24" t="s">
        <v>4425</v>
      </c>
      <c r="F228" s="24">
        <v>12100</v>
      </c>
      <c r="G228" s="24">
        <v>10119.799999999999</v>
      </c>
      <c r="J228" s="55" t="s">
        <v>4031</v>
      </c>
      <c r="L228" s="24" t="s">
        <v>5554</v>
      </c>
      <c r="M228" s="24">
        <v>1194.5999999999999</v>
      </c>
      <c r="N228" s="24">
        <v>37.9</v>
      </c>
      <c r="O228" s="24">
        <v>27.5</v>
      </c>
    </row>
    <row r="229" spans="1:15" ht="135" x14ac:dyDescent="0.25">
      <c r="A229" s="24" t="s">
        <v>588</v>
      </c>
      <c r="B229" s="24" t="s">
        <v>1060</v>
      </c>
      <c r="C229" s="24" t="s">
        <v>866</v>
      </c>
      <c r="D229" s="24" t="s">
        <v>4440</v>
      </c>
      <c r="E229" s="24" t="s">
        <v>4425</v>
      </c>
      <c r="F229" s="24">
        <v>30600</v>
      </c>
      <c r="G229" s="24">
        <v>41295</v>
      </c>
      <c r="J229" s="55" t="s">
        <v>4031</v>
      </c>
      <c r="L229" s="24" t="s">
        <v>5555</v>
      </c>
      <c r="M229" s="24">
        <v>7190</v>
      </c>
      <c r="N229" s="24">
        <v>25.3</v>
      </c>
      <c r="O229" s="24">
        <v>20.2</v>
      </c>
    </row>
    <row r="230" spans="1:15" ht="135" x14ac:dyDescent="0.25">
      <c r="A230" s="24" t="s">
        <v>657</v>
      </c>
      <c r="B230" s="24" t="s">
        <v>5269</v>
      </c>
      <c r="C230" s="24" t="s">
        <v>4512</v>
      </c>
      <c r="D230" s="24" t="s">
        <v>4546</v>
      </c>
      <c r="E230" s="24" t="s">
        <v>4425</v>
      </c>
      <c r="F230" s="24">
        <v>137000</v>
      </c>
      <c r="G230" s="24">
        <v>32887.9</v>
      </c>
      <c r="J230" s="55" t="s">
        <v>4031</v>
      </c>
      <c r="L230" s="24" t="s">
        <v>5556</v>
      </c>
      <c r="M230" s="24">
        <v>8281</v>
      </c>
      <c r="N230" s="24">
        <v>46.7</v>
      </c>
      <c r="O230" s="24">
        <v>31.8</v>
      </c>
    </row>
    <row r="231" spans="1:15" ht="135" x14ac:dyDescent="0.25">
      <c r="A231" s="24" t="s">
        <v>554</v>
      </c>
      <c r="B231" s="24" t="s">
        <v>5270</v>
      </c>
      <c r="C231" s="24" t="s">
        <v>902</v>
      </c>
      <c r="D231" s="24" t="s">
        <v>4532</v>
      </c>
      <c r="E231" s="24" t="s">
        <v>4436</v>
      </c>
      <c r="F231" s="24">
        <v>35000</v>
      </c>
      <c r="G231" s="24">
        <v>40985.199999999997</v>
      </c>
      <c r="J231" s="55" t="s">
        <v>4031</v>
      </c>
      <c r="L231" s="24" t="s">
        <v>5557</v>
      </c>
      <c r="M231" s="24">
        <v>4490.7</v>
      </c>
      <c r="N231" s="24">
        <v>69.400000000000006</v>
      </c>
      <c r="O231" s="24">
        <v>41</v>
      </c>
    </row>
    <row r="232" spans="1:15" ht="135" x14ac:dyDescent="0.25">
      <c r="A232" s="24" t="s">
        <v>605</v>
      </c>
      <c r="B232" s="24" t="s">
        <v>1075</v>
      </c>
      <c r="C232" s="24" t="s">
        <v>4430</v>
      </c>
      <c r="D232" s="24" t="s">
        <v>4621</v>
      </c>
      <c r="E232" s="24" t="s">
        <v>4425</v>
      </c>
      <c r="F232" s="24">
        <v>5500</v>
      </c>
      <c r="G232" s="24">
        <v>26882.9</v>
      </c>
      <c r="J232" s="55" t="s">
        <v>4031</v>
      </c>
      <c r="L232" s="24" t="s">
        <v>5558</v>
      </c>
      <c r="M232" s="24">
        <v>4250.7</v>
      </c>
      <c r="N232" s="24">
        <v>59.3</v>
      </c>
      <c r="O232" s="24">
        <v>37.200000000000003</v>
      </c>
    </row>
    <row r="233" spans="1:15" ht="135" x14ac:dyDescent="0.25">
      <c r="A233" s="24" t="s">
        <v>729</v>
      </c>
      <c r="B233" s="24" t="s">
        <v>5271</v>
      </c>
      <c r="C233" s="24" t="s">
        <v>902</v>
      </c>
      <c r="D233" s="24" t="s">
        <v>4463</v>
      </c>
      <c r="E233" s="24" t="s">
        <v>4425</v>
      </c>
      <c r="F233" s="24">
        <v>33000</v>
      </c>
      <c r="G233" s="24">
        <v>15815.5</v>
      </c>
      <c r="J233" s="55" t="s">
        <v>4031</v>
      </c>
      <c r="L233" s="24" t="s">
        <v>5559</v>
      </c>
      <c r="M233" s="24">
        <v>3765</v>
      </c>
      <c r="N233" s="24">
        <v>62.4</v>
      </c>
      <c r="O233" s="24">
        <v>38.4</v>
      </c>
    </row>
    <row r="234" spans="1:15" ht="120" x14ac:dyDescent="0.25">
      <c r="A234" s="24" t="s">
        <v>838</v>
      </c>
      <c r="B234" s="24" t="s">
        <v>5272</v>
      </c>
      <c r="C234" s="24" t="s">
        <v>4434</v>
      </c>
      <c r="D234" s="24" t="s">
        <v>4509</v>
      </c>
      <c r="E234" s="24" t="s">
        <v>4425</v>
      </c>
      <c r="F234" s="24">
        <v>7000</v>
      </c>
      <c r="G234" s="24">
        <v>7846.7</v>
      </c>
      <c r="J234" s="55" t="s">
        <v>4031</v>
      </c>
      <c r="L234" s="24" t="s">
        <v>5560</v>
      </c>
      <c r="M234" s="24">
        <v>662.9</v>
      </c>
      <c r="N234" s="24">
        <v>33.5</v>
      </c>
      <c r="O234" s="24">
        <v>25.1</v>
      </c>
    </row>
    <row r="235" spans="1:15" ht="135" x14ac:dyDescent="0.25">
      <c r="A235" s="24" t="s">
        <v>727</v>
      </c>
      <c r="B235" s="24" t="s">
        <v>5273</v>
      </c>
      <c r="C235" s="24" t="s">
        <v>922</v>
      </c>
      <c r="D235" s="24" t="s">
        <v>4427</v>
      </c>
      <c r="E235" s="24" t="s">
        <v>4425</v>
      </c>
      <c r="F235" s="24">
        <v>1263</v>
      </c>
      <c r="G235" s="24">
        <v>17218.599999999999</v>
      </c>
      <c r="J235" s="55" t="s">
        <v>4031</v>
      </c>
      <c r="L235" s="24" t="s">
        <v>5561</v>
      </c>
      <c r="M235" s="24">
        <v>5207.2</v>
      </c>
      <c r="N235" s="24">
        <v>170.6</v>
      </c>
      <c r="O235" s="24">
        <v>62.7</v>
      </c>
    </row>
    <row r="236" spans="1:15" ht="120" x14ac:dyDescent="0.25">
      <c r="A236" s="24" t="s">
        <v>469</v>
      </c>
      <c r="B236" s="24" t="s">
        <v>5275</v>
      </c>
      <c r="C236" s="24" t="s">
        <v>902</v>
      </c>
      <c r="D236" s="24" t="s">
        <v>4599</v>
      </c>
      <c r="E236" s="24" t="s">
        <v>4425</v>
      </c>
      <c r="F236" s="24">
        <v>29877</v>
      </c>
      <c r="G236" s="24">
        <v>157427.4</v>
      </c>
      <c r="J236" s="55" t="s">
        <v>4031</v>
      </c>
      <c r="L236" s="24" t="s">
        <v>5563</v>
      </c>
      <c r="M236" s="24">
        <v>27560</v>
      </c>
      <c r="N236" s="24">
        <v>198</v>
      </c>
      <c r="O236" s="24">
        <v>66.400000000000006</v>
      </c>
    </row>
    <row r="237" spans="1:15" ht="135" x14ac:dyDescent="0.25">
      <c r="A237" s="24" t="s">
        <v>470</v>
      </c>
      <c r="B237" s="24" t="s">
        <v>5276</v>
      </c>
      <c r="C237" s="24" t="s">
        <v>902</v>
      </c>
      <c r="D237" s="24" t="s">
        <v>4564</v>
      </c>
      <c r="E237" s="24" t="s">
        <v>4425</v>
      </c>
      <c r="F237" s="24">
        <v>543000</v>
      </c>
      <c r="G237" s="24">
        <v>172959.3</v>
      </c>
      <c r="J237" s="55" t="s">
        <v>4031</v>
      </c>
      <c r="L237" s="24" t="s">
        <v>5564</v>
      </c>
      <c r="M237" s="24">
        <v>20838</v>
      </c>
      <c r="N237" s="24">
        <v>173.1</v>
      </c>
      <c r="O237" s="24">
        <v>63.4</v>
      </c>
    </row>
    <row r="238" spans="1:15" ht="135" x14ac:dyDescent="0.25">
      <c r="A238" s="24" t="s">
        <v>515</v>
      </c>
      <c r="B238" s="24" t="s">
        <v>956</v>
      </c>
      <c r="C238" s="24" t="s">
        <v>866</v>
      </c>
      <c r="D238" s="24" t="s">
        <v>4455</v>
      </c>
      <c r="E238" s="24" t="s">
        <v>4425</v>
      </c>
      <c r="F238" s="24">
        <v>68108</v>
      </c>
      <c r="G238" s="24">
        <v>85349.8</v>
      </c>
      <c r="J238" s="55" t="s">
        <v>4031</v>
      </c>
      <c r="L238" s="24" t="s">
        <v>5565</v>
      </c>
      <c r="M238" s="24">
        <v>35671</v>
      </c>
      <c r="N238" s="24">
        <v>74.7</v>
      </c>
      <c r="O238" s="24">
        <v>39.9</v>
      </c>
    </row>
    <row r="239" spans="1:15" ht="120" x14ac:dyDescent="0.25">
      <c r="A239" s="24" t="s">
        <v>672</v>
      </c>
      <c r="B239" s="24" t="s">
        <v>1109</v>
      </c>
      <c r="C239" s="24" t="s">
        <v>4434</v>
      </c>
      <c r="D239" s="24" t="s">
        <v>4509</v>
      </c>
      <c r="E239" s="24" t="s">
        <v>4425</v>
      </c>
      <c r="F239" s="24">
        <v>40000</v>
      </c>
      <c r="G239" s="24">
        <v>26120</v>
      </c>
      <c r="J239" s="55" t="s">
        <v>4031</v>
      </c>
      <c r="L239" s="24" t="s">
        <v>5566</v>
      </c>
      <c r="M239" s="24">
        <v>4682.8</v>
      </c>
      <c r="N239" s="24">
        <v>130.1</v>
      </c>
      <c r="O239" s="24">
        <v>56.5</v>
      </c>
    </row>
    <row r="240" spans="1:15" ht="135" x14ac:dyDescent="0.25">
      <c r="A240" s="24" t="s">
        <v>712</v>
      </c>
      <c r="B240" s="24" t="s">
        <v>5277</v>
      </c>
      <c r="C240" s="24" t="s">
        <v>4434</v>
      </c>
      <c r="D240" s="24" t="s">
        <v>4703</v>
      </c>
      <c r="E240" s="24" t="s">
        <v>4425</v>
      </c>
      <c r="F240" s="24">
        <v>22109</v>
      </c>
      <c r="G240" s="24">
        <v>20626.900000000001</v>
      </c>
      <c r="J240" s="55" t="s">
        <v>4031</v>
      </c>
      <c r="L240" s="24" t="s">
        <v>5567</v>
      </c>
      <c r="M240" s="24">
        <v>17696</v>
      </c>
      <c r="N240" s="24">
        <v>86.1</v>
      </c>
      <c r="O240" s="24">
        <v>46.3</v>
      </c>
    </row>
    <row r="241" spans="1:15" ht="120" x14ac:dyDescent="0.25">
      <c r="A241" s="24" t="s">
        <v>635</v>
      </c>
      <c r="B241" s="24" t="s">
        <v>5278</v>
      </c>
      <c r="C241" s="24" t="s">
        <v>885</v>
      </c>
      <c r="D241" s="24" t="s">
        <v>4567</v>
      </c>
      <c r="E241" s="24" t="s">
        <v>4425</v>
      </c>
      <c r="F241" s="24">
        <v>9964</v>
      </c>
      <c r="G241" s="24">
        <v>33238.300000000003</v>
      </c>
      <c r="J241" s="55" t="s">
        <v>4031</v>
      </c>
      <c r="L241" s="24" t="s">
        <v>5568</v>
      </c>
      <c r="M241" s="24">
        <v>13071</v>
      </c>
      <c r="N241" s="24">
        <v>74.8</v>
      </c>
      <c r="O241" s="24">
        <v>42.8</v>
      </c>
    </row>
    <row r="242" spans="1:15" ht="135" x14ac:dyDescent="0.25">
      <c r="A242" s="24" t="s">
        <v>832</v>
      </c>
      <c r="B242" s="24" t="s">
        <v>831</v>
      </c>
      <c r="C242" s="24" t="s">
        <v>922</v>
      </c>
      <c r="D242" s="24" t="s">
        <v>4477</v>
      </c>
      <c r="E242" s="24" t="s">
        <v>4425</v>
      </c>
      <c r="F242" s="24">
        <v>2899</v>
      </c>
      <c r="G242" s="24">
        <v>7809.1</v>
      </c>
      <c r="J242" s="55" t="s">
        <v>4031</v>
      </c>
      <c r="L242" s="24" t="s">
        <v>5569</v>
      </c>
      <c r="M242" s="24">
        <v>8931.7000000000007</v>
      </c>
      <c r="N242" s="24">
        <v>174.7</v>
      </c>
      <c r="O242" s="24">
        <v>58.7</v>
      </c>
    </row>
    <row r="243" spans="1:15" ht="135" x14ac:dyDescent="0.25">
      <c r="A243" s="24" t="s">
        <v>697</v>
      </c>
      <c r="B243" s="24" t="s">
        <v>5279</v>
      </c>
      <c r="C243" s="24" t="s">
        <v>922</v>
      </c>
      <c r="D243" s="24" t="s">
        <v>4510</v>
      </c>
      <c r="E243" s="24" t="s">
        <v>4425</v>
      </c>
      <c r="F243" s="24">
        <v>448</v>
      </c>
      <c r="G243" s="24">
        <v>20477.7</v>
      </c>
      <c r="J243" s="55" t="s">
        <v>4031</v>
      </c>
      <c r="L243" s="24" t="s">
        <v>5570</v>
      </c>
      <c r="M243" s="24">
        <v>12078.8</v>
      </c>
      <c r="N243" s="24">
        <v>106.4</v>
      </c>
      <c r="O243" s="24">
        <v>51.5</v>
      </c>
    </row>
    <row r="244" spans="1:15" ht="135" x14ac:dyDescent="0.25">
      <c r="A244" s="24" t="s">
        <v>735</v>
      </c>
      <c r="B244" s="24" t="s">
        <v>5280</v>
      </c>
      <c r="C244" s="24" t="s">
        <v>4428</v>
      </c>
      <c r="D244" s="24" t="s">
        <v>4584</v>
      </c>
      <c r="E244" s="24" t="s">
        <v>4425</v>
      </c>
      <c r="F244" s="24">
        <v>45000</v>
      </c>
      <c r="G244" s="24">
        <v>17681.3</v>
      </c>
      <c r="J244" s="55" t="s">
        <v>4031</v>
      </c>
      <c r="L244" s="24" t="s">
        <v>5571</v>
      </c>
      <c r="M244" s="24">
        <v>19854.3</v>
      </c>
      <c r="N244" s="24">
        <v>93.9</v>
      </c>
      <c r="O244" s="24">
        <v>48.4</v>
      </c>
    </row>
    <row r="245" spans="1:15" ht="135" x14ac:dyDescent="0.25">
      <c r="A245" s="24" t="s">
        <v>458</v>
      </c>
      <c r="B245" s="24" t="s">
        <v>5281</v>
      </c>
      <c r="C245" s="24" t="s">
        <v>4430</v>
      </c>
      <c r="D245" s="24" t="s">
        <v>4480</v>
      </c>
      <c r="E245" s="24" t="s">
        <v>4425</v>
      </c>
      <c r="F245" s="24">
        <v>135500</v>
      </c>
      <c r="G245" s="24">
        <v>211231.2</v>
      </c>
      <c r="J245" s="55" t="s">
        <v>4031</v>
      </c>
      <c r="L245" s="24" t="s">
        <v>5572</v>
      </c>
      <c r="M245" s="24">
        <v>143352</v>
      </c>
      <c r="N245" s="24">
        <v>186.1</v>
      </c>
      <c r="O245" s="24">
        <v>65</v>
      </c>
    </row>
    <row r="246" spans="1:15" ht="135" x14ac:dyDescent="0.25">
      <c r="A246" s="24" t="s">
        <v>728</v>
      </c>
      <c r="B246" s="24" t="s">
        <v>5282</v>
      </c>
      <c r="C246" s="24" t="s">
        <v>902</v>
      </c>
      <c r="D246" s="24" t="s">
        <v>4442</v>
      </c>
      <c r="E246" s="24" t="s">
        <v>4425</v>
      </c>
      <c r="F246" s="24">
        <v>27000</v>
      </c>
      <c r="G246" s="24">
        <v>16690.599999999999</v>
      </c>
      <c r="J246" s="55" t="s">
        <v>4031</v>
      </c>
      <c r="L246" s="24" t="s">
        <v>5573</v>
      </c>
      <c r="M246" s="24">
        <v>4067.2</v>
      </c>
      <c r="N246" s="24">
        <v>40</v>
      </c>
      <c r="O246" s="24">
        <v>28.6</v>
      </c>
    </row>
    <row r="247" spans="1:15" ht="135" x14ac:dyDescent="0.25">
      <c r="A247" s="24" t="s">
        <v>701</v>
      </c>
      <c r="B247" s="24" t="s">
        <v>1177</v>
      </c>
      <c r="C247" s="24" t="s">
        <v>4430</v>
      </c>
      <c r="D247" s="24" t="s">
        <v>5164</v>
      </c>
      <c r="E247" s="24" t="s">
        <v>4425</v>
      </c>
      <c r="F247" s="24">
        <v>65600</v>
      </c>
      <c r="G247" s="24">
        <v>17008.400000000001</v>
      </c>
      <c r="J247" s="55" t="s">
        <v>4031</v>
      </c>
      <c r="L247" s="24" t="s">
        <v>5575</v>
      </c>
      <c r="M247" s="24">
        <v>8270</v>
      </c>
      <c r="N247" s="24">
        <v>72.8</v>
      </c>
      <c r="O247" s="24">
        <v>42.1</v>
      </c>
    </row>
    <row r="248" spans="1:15" ht="105" x14ac:dyDescent="0.25">
      <c r="A248" s="24" t="s">
        <v>593</v>
      </c>
      <c r="B248" s="24" t="s">
        <v>1068</v>
      </c>
      <c r="C248" s="24" t="s">
        <v>922</v>
      </c>
      <c r="D248" s="24" t="s">
        <v>4510</v>
      </c>
      <c r="E248" s="24" t="s">
        <v>4425</v>
      </c>
      <c r="F248" s="24">
        <v>423</v>
      </c>
      <c r="G248" s="24">
        <v>36497.800000000003</v>
      </c>
      <c r="J248" s="55" t="s">
        <v>4031</v>
      </c>
      <c r="L248" s="24" t="s">
        <v>5577</v>
      </c>
      <c r="M248" s="24">
        <v>13779.7</v>
      </c>
      <c r="N248" s="24">
        <v>81.7</v>
      </c>
      <c r="O248" s="24">
        <v>45</v>
      </c>
    </row>
    <row r="249" spans="1:15" ht="135" x14ac:dyDescent="0.25">
      <c r="A249" s="24" t="s">
        <v>463</v>
      </c>
      <c r="B249" s="24" t="s">
        <v>5284</v>
      </c>
      <c r="C249" s="24" t="s">
        <v>866</v>
      </c>
      <c r="D249" s="24" t="s">
        <v>4455</v>
      </c>
      <c r="E249" s="24" t="s">
        <v>4425</v>
      </c>
      <c r="F249" s="24">
        <v>253871</v>
      </c>
      <c r="G249" s="24">
        <v>215868.79999999999</v>
      </c>
      <c r="J249" s="55" t="s">
        <v>4031</v>
      </c>
      <c r="L249" s="24" t="s">
        <v>5578</v>
      </c>
      <c r="M249" s="24">
        <v>162982</v>
      </c>
      <c r="N249" s="24">
        <v>96.6</v>
      </c>
      <c r="O249" s="24">
        <v>46.3</v>
      </c>
    </row>
    <row r="250" spans="1:15" ht="135" x14ac:dyDescent="0.25">
      <c r="A250" s="24" t="s">
        <v>759</v>
      </c>
      <c r="B250" s="24" t="s">
        <v>5285</v>
      </c>
      <c r="C250" s="24" t="s">
        <v>4434</v>
      </c>
      <c r="D250" s="24" t="s">
        <v>5223</v>
      </c>
      <c r="E250" s="24" t="s">
        <v>4425</v>
      </c>
      <c r="F250" s="24">
        <v>78000</v>
      </c>
      <c r="G250" s="24">
        <v>12613.3</v>
      </c>
      <c r="J250" s="55" t="s">
        <v>4031</v>
      </c>
      <c r="L250" s="24" t="s">
        <v>5579</v>
      </c>
      <c r="M250" s="24">
        <v>4961</v>
      </c>
      <c r="N250" s="24">
        <v>99.9</v>
      </c>
      <c r="O250" s="24">
        <v>50</v>
      </c>
    </row>
    <row r="251" spans="1:15" ht="120" x14ac:dyDescent="0.25">
      <c r="A251" s="24" t="s">
        <v>624</v>
      </c>
      <c r="B251" s="24" t="s">
        <v>5287</v>
      </c>
      <c r="C251" s="24" t="s">
        <v>885</v>
      </c>
      <c r="D251" s="24" t="s">
        <v>4528</v>
      </c>
      <c r="E251" s="24" t="s">
        <v>4425</v>
      </c>
      <c r="F251" s="24">
        <v>4739</v>
      </c>
      <c r="G251" s="24">
        <v>35491</v>
      </c>
      <c r="J251" s="55" t="s">
        <v>4031</v>
      </c>
      <c r="L251" s="24" t="s">
        <v>5581</v>
      </c>
      <c r="M251" s="24">
        <v>20338</v>
      </c>
      <c r="N251" s="24">
        <v>182.2</v>
      </c>
      <c r="O251" s="24">
        <v>64.5</v>
      </c>
    </row>
    <row r="252" spans="1:15" ht="135" x14ac:dyDescent="0.25">
      <c r="A252" s="24" t="s">
        <v>792</v>
      </c>
      <c r="B252" s="24" t="s">
        <v>5288</v>
      </c>
      <c r="C252" s="24" t="s">
        <v>866</v>
      </c>
      <c r="D252" s="24" t="s">
        <v>4440</v>
      </c>
      <c r="E252" s="24" t="s">
        <v>4425</v>
      </c>
      <c r="F252" s="24">
        <v>7495</v>
      </c>
      <c r="G252" s="24">
        <v>14548.1</v>
      </c>
      <c r="J252" s="55" t="s">
        <v>4031</v>
      </c>
      <c r="L252" s="24" t="s">
        <v>5582</v>
      </c>
      <c r="M252" s="24">
        <v>3266.1</v>
      </c>
      <c r="N252" s="24">
        <v>49.1</v>
      </c>
      <c r="O252" s="24">
        <v>32.9</v>
      </c>
    </row>
    <row r="253" spans="1:15" ht="135" x14ac:dyDescent="0.25">
      <c r="A253" s="24" t="s">
        <v>785</v>
      </c>
      <c r="B253" s="24" t="s">
        <v>5289</v>
      </c>
      <c r="C253" s="24" t="s">
        <v>4423</v>
      </c>
      <c r="D253" s="24" t="s">
        <v>4694</v>
      </c>
      <c r="E253" s="24" t="s">
        <v>4425</v>
      </c>
      <c r="F253" s="24">
        <v>49900</v>
      </c>
      <c r="G253" s="24">
        <v>11431.8</v>
      </c>
      <c r="J253" s="55" t="s">
        <v>4031</v>
      </c>
      <c r="L253" s="24" t="s">
        <v>5583</v>
      </c>
      <c r="M253" s="24">
        <v>8025.3</v>
      </c>
      <c r="N253" s="24">
        <v>68.8</v>
      </c>
      <c r="O253" s="24">
        <v>40.700000000000003</v>
      </c>
    </row>
    <row r="254" spans="1:15" ht="120" x14ac:dyDescent="0.25">
      <c r="A254" s="24" t="s">
        <v>631</v>
      </c>
      <c r="B254" s="24" t="s">
        <v>5291</v>
      </c>
      <c r="C254" s="24" t="s">
        <v>922</v>
      </c>
      <c r="D254" s="24" t="s">
        <v>4510</v>
      </c>
      <c r="E254" s="24" t="s">
        <v>4425</v>
      </c>
      <c r="F254" s="24">
        <v>9372</v>
      </c>
      <c r="G254" s="24">
        <v>28523.599999999999</v>
      </c>
      <c r="J254" s="55" t="s">
        <v>4031</v>
      </c>
      <c r="L254" s="24" t="s">
        <v>5585</v>
      </c>
      <c r="M254" s="24">
        <v>5100</v>
      </c>
      <c r="N254" s="24">
        <v>49.2</v>
      </c>
      <c r="O254" s="24">
        <v>33</v>
      </c>
    </row>
    <row r="255" spans="1:15" ht="120" x14ac:dyDescent="0.25">
      <c r="A255" s="24" t="s">
        <v>808</v>
      </c>
      <c r="B255" s="24" t="s">
        <v>5292</v>
      </c>
      <c r="C255" s="24" t="s">
        <v>4434</v>
      </c>
      <c r="D255" s="24" t="s">
        <v>4479</v>
      </c>
      <c r="E255" s="24" t="s">
        <v>4425</v>
      </c>
      <c r="F255" s="24">
        <v>27500</v>
      </c>
      <c r="G255" s="24">
        <v>9961.6</v>
      </c>
      <c r="J255" s="55" t="s">
        <v>4031</v>
      </c>
      <c r="L255" s="24" t="s">
        <v>5586</v>
      </c>
      <c r="M255" s="24">
        <v>11693.8</v>
      </c>
      <c r="O255" s="24">
        <v>100.5</v>
      </c>
    </row>
    <row r="256" spans="1:15" ht="135" x14ac:dyDescent="0.25">
      <c r="A256" s="24" t="s">
        <v>451</v>
      </c>
      <c r="B256" s="24" t="s">
        <v>884</v>
      </c>
      <c r="C256" s="24" t="s">
        <v>885</v>
      </c>
      <c r="D256" s="24" t="s">
        <v>4567</v>
      </c>
      <c r="E256" s="24" t="s">
        <v>4425</v>
      </c>
      <c r="F256" s="24">
        <v>72000</v>
      </c>
      <c r="G256" s="24">
        <v>314003.7</v>
      </c>
      <c r="J256" s="55" t="s">
        <v>4031</v>
      </c>
      <c r="L256" s="24" t="s">
        <v>5587</v>
      </c>
      <c r="M256" s="24">
        <v>43639</v>
      </c>
      <c r="N256" s="24">
        <v>27.2</v>
      </c>
      <c r="O256" s="24">
        <v>21.4</v>
      </c>
    </row>
    <row r="257" spans="1:15" ht="135" x14ac:dyDescent="0.25">
      <c r="A257" s="24" t="s">
        <v>775</v>
      </c>
      <c r="B257" s="24" t="s">
        <v>5293</v>
      </c>
      <c r="C257" s="24" t="s">
        <v>4428</v>
      </c>
      <c r="D257" s="24" t="s">
        <v>4559</v>
      </c>
      <c r="E257" s="24" t="s">
        <v>4425</v>
      </c>
      <c r="F257" s="24">
        <v>15000</v>
      </c>
      <c r="G257" s="24">
        <v>11479.1</v>
      </c>
      <c r="J257" s="55" t="s">
        <v>4031</v>
      </c>
      <c r="L257" s="24" t="s">
        <v>5588</v>
      </c>
      <c r="M257" s="24">
        <v>1925</v>
      </c>
      <c r="N257" s="24">
        <v>37.6</v>
      </c>
      <c r="O257" s="24">
        <v>27.3</v>
      </c>
    </row>
    <row r="258" spans="1:15" ht="135" x14ac:dyDescent="0.25">
      <c r="A258" s="24" t="s">
        <v>688</v>
      </c>
      <c r="B258" s="24" t="s">
        <v>1165</v>
      </c>
      <c r="C258" s="24" t="s">
        <v>902</v>
      </c>
      <c r="D258" s="24" t="s">
        <v>4491</v>
      </c>
      <c r="E258" s="24" t="s">
        <v>4425</v>
      </c>
      <c r="F258" s="24">
        <v>16700</v>
      </c>
      <c r="G258" s="24">
        <v>18490.599999999999</v>
      </c>
      <c r="J258" s="55" t="s">
        <v>4031</v>
      </c>
      <c r="L258" s="24" t="s">
        <v>5589</v>
      </c>
      <c r="M258" s="24">
        <v>2455</v>
      </c>
      <c r="N258" s="24">
        <v>79.400000000000006</v>
      </c>
      <c r="O258" s="24">
        <v>44.3</v>
      </c>
    </row>
    <row r="259" spans="1:15" ht="120" x14ac:dyDescent="0.25">
      <c r="A259" s="24" t="s">
        <v>577</v>
      </c>
      <c r="B259" s="24" t="s">
        <v>5294</v>
      </c>
      <c r="C259" s="24" t="s">
        <v>4434</v>
      </c>
      <c r="D259" s="24" t="s">
        <v>4485</v>
      </c>
      <c r="E259" s="24" t="s">
        <v>4425</v>
      </c>
      <c r="F259" s="24">
        <v>38000</v>
      </c>
      <c r="G259" s="24">
        <v>35217</v>
      </c>
      <c r="J259" s="55" t="s">
        <v>4031</v>
      </c>
      <c r="L259" s="24" t="s">
        <v>5590</v>
      </c>
      <c r="M259" s="24">
        <v>11189</v>
      </c>
      <c r="O259" s="24">
        <v>335.6</v>
      </c>
    </row>
    <row r="260" spans="1:15" ht="120" x14ac:dyDescent="0.25">
      <c r="A260" s="24" t="s">
        <v>650</v>
      </c>
      <c r="B260" s="24" t="s">
        <v>1123</v>
      </c>
      <c r="C260" s="24" t="s">
        <v>4428</v>
      </c>
      <c r="D260" s="24" t="s">
        <v>4559</v>
      </c>
      <c r="E260" s="24" t="s">
        <v>4425</v>
      </c>
      <c r="F260" s="24">
        <v>20000</v>
      </c>
      <c r="G260" s="24">
        <v>25171.3</v>
      </c>
      <c r="J260" s="55" t="s">
        <v>4031</v>
      </c>
      <c r="L260" s="24" t="s">
        <v>5591</v>
      </c>
      <c r="M260" s="24">
        <v>6458.1</v>
      </c>
      <c r="N260" s="24">
        <v>50.8</v>
      </c>
      <c r="O260" s="24">
        <v>33.700000000000003</v>
      </c>
    </row>
    <row r="261" spans="1:15" ht="135" x14ac:dyDescent="0.25">
      <c r="A261" s="24" t="s">
        <v>800</v>
      </c>
      <c r="B261" s="24" t="s">
        <v>5295</v>
      </c>
      <c r="C261" s="24" t="s">
        <v>866</v>
      </c>
      <c r="D261" s="24" t="s">
        <v>4455</v>
      </c>
      <c r="E261" s="24" t="s">
        <v>4425</v>
      </c>
      <c r="F261" s="24">
        <v>9678</v>
      </c>
      <c r="G261" s="24">
        <v>10514.3</v>
      </c>
      <c r="J261" s="55" t="s">
        <v>4031</v>
      </c>
      <c r="L261" s="24" t="s">
        <v>5592</v>
      </c>
      <c r="M261" s="24">
        <v>1020</v>
      </c>
      <c r="N261" s="24">
        <v>13.9</v>
      </c>
      <c r="O261" s="24">
        <v>11.6</v>
      </c>
    </row>
    <row r="262" spans="1:15" ht="120" x14ac:dyDescent="0.25">
      <c r="A262" s="24" t="s">
        <v>551</v>
      </c>
      <c r="B262" s="24" t="s">
        <v>1020</v>
      </c>
      <c r="C262" s="24" t="s">
        <v>4428</v>
      </c>
      <c r="D262" s="24" t="s">
        <v>4476</v>
      </c>
      <c r="E262" s="24" t="s">
        <v>4425</v>
      </c>
      <c r="F262" s="24">
        <v>17000</v>
      </c>
      <c r="G262" s="24">
        <v>40320.1</v>
      </c>
      <c r="J262" s="46" t="s">
        <v>4032</v>
      </c>
      <c r="L262" s="24" t="s">
        <v>5296</v>
      </c>
      <c r="M262" s="24">
        <v>2729</v>
      </c>
      <c r="N262" s="24">
        <v>50.6</v>
      </c>
      <c r="O262" s="24">
        <v>33.6</v>
      </c>
    </row>
    <row r="263" spans="1:15" ht="135" x14ac:dyDescent="0.25">
      <c r="A263" s="24" t="s">
        <v>450</v>
      </c>
      <c r="B263" s="24" t="s">
        <v>5071</v>
      </c>
      <c r="C263" s="24" t="s">
        <v>4430</v>
      </c>
      <c r="D263" s="24" t="s">
        <v>4595</v>
      </c>
      <c r="E263" s="24" t="s">
        <v>4436</v>
      </c>
      <c r="F263" s="24">
        <v>624000</v>
      </c>
      <c r="G263" s="24">
        <v>217177.4</v>
      </c>
      <c r="J263" s="46" t="s">
        <v>4032</v>
      </c>
      <c r="L263" s="24" t="s">
        <v>5301</v>
      </c>
      <c r="M263" s="24">
        <v>55.9</v>
      </c>
      <c r="N263" s="24">
        <v>0.3</v>
      </c>
      <c r="O263" s="24">
        <v>0.3</v>
      </c>
    </row>
    <row r="264" spans="1:15" ht="135" x14ac:dyDescent="0.25">
      <c r="A264" s="24" t="s">
        <v>602</v>
      </c>
      <c r="B264" s="24" t="s">
        <v>5072</v>
      </c>
      <c r="C264" s="24" t="s">
        <v>866</v>
      </c>
      <c r="D264" s="24" t="s">
        <v>4503</v>
      </c>
      <c r="E264" s="24" t="s">
        <v>4425</v>
      </c>
      <c r="F264" s="24">
        <v>12003</v>
      </c>
      <c r="G264" s="24">
        <v>41120.6</v>
      </c>
      <c r="J264" s="46" t="s">
        <v>4032</v>
      </c>
      <c r="L264" s="24" t="s">
        <v>5304</v>
      </c>
      <c r="M264" s="24">
        <v>7950</v>
      </c>
      <c r="N264" s="24">
        <v>23.7</v>
      </c>
      <c r="O264" s="24">
        <v>19.2</v>
      </c>
    </row>
    <row r="265" spans="1:15" ht="135" x14ac:dyDescent="0.25">
      <c r="A265" s="24" t="s">
        <v>782</v>
      </c>
      <c r="B265" s="24" t="s">
        <v>781</v>
      </c>
      <c r="C265" s="24" t="s">
        <v>4430</v>
      </c>
      <c r="D265" s="24" t="s">
        <v>4469</v>
      </c>
      <c r="E265" s="24" t="s">
        <v>4436</v>
      </c>
      <c r="F265" s="24">
        <v>11500</v>
      </c>
      <c r="G265" s="24">
        <v>10798.5</v>
      </c>
      <c r="J265" s="46" t="s">
        <v>4032</v>
      </c>
      <c r="L265" s="24" t="s">
        <v>5310</v>
      </c>
      <c r="M265" s="24">
        <v>1192.5</v>
      </c>
      <c r="N265" s="24">
        <v>138</v>
      </c>
      <c r="O265" s="24">
        <v>58</v>
      </c>
    </row>
    <row r="266" spans="1:15" ht="135" x14ac:dyDescent="0.25">
      <c r="A266" s="24" t="s">
        <v>717</v>
      </c>
      <c r="B266" s="24" t="s">
        <v>5078</v>
      </c>
      <c r="C266" s="24" t="s">
        <v>4423</v>
      </c>
      <c r="D266" s="24" t="s">
        <v>4459</v>
      </c>
      <c r="E266" s="24" t="s">
        <v>1709</v>
      </c>
      <c r="F266" s="24">
        <v>46000</v>
      </c>
      <c r="G266" s="24">
        <v>18030.099999999999</v>
      </c>
      <c r="J266" s="46" t="s">
        <v>4032</v>
      </c>
      <c r="L266" s="24" t="s">
        <v>5311</v>
      </c>
      <c r="M266" s="24">
        <v>6524</v>
      </c>
      <c r="N266" s="24">
        <v>140.30000000000001</v>
      </c>
      <c r="O266" s="24">
        <v>58.4</v>
      </c>
    </row>
    <row r="267" spans="1:15" ht="120" x14ac:dyDescent="0.25">
      <c r="A267" s="24" t="s">
        <v>522</v>
      </c>
      <c r="B267" s="24" t="s">
        <v>5080</v>
      </c>
      <c r="C267" s="24" t="s">
        <v>4423</v>
      </c>
      <c r="D267" s="24" t="s">
        <v>4489</v>
      </c>
      <c r="E267" s="24" t="s">
        <v>4425</v>
      </c>
      <c r="F267" s="24">
        <v>20625</v>
      </c>
      <c r="G267" s="24">
        <v>61275.8</v>
      </c>
      <c r="J267" s="51" t="s">
        <v>4032</v>
      </c>
      <c r="L267" s="24" t="s">
        <v>5314</v>
      </c>
      <c r="M267" s="24">
        <v>7150.3</v>
      </c>
      <c r="N267" s="24">
        <v>52.8</v>
      </c>
      <c r="O267" s="24">
        <v>34.6</v>
      </c>
    </row>
    <row r="268" spans="1:15" ht="135" x14ac:dyDescent="0.25">
      <c r="A268" s="24" t="s">
        <v>623</v>
      </c>
      <c r="B268" s="24" t="s">
        <v>5083</v>
      </c>
      <c r="C268" s="24" t="s">
        <v>922</v>
      </c>
      <c r="D268" s="24" t="s">
        <v>4477</v>
      </c>
      <c r="E268" s="24" t="s">
        <v>4425</v>
      </c>
      <c r="F268" s="24">
        <v>470</v>
      </c>
      <c r="G268" s="24">
        <v>32255.9</v>
      </c>
      <c r="J268" s="46" t="s">
        <v>4032</v>
      </c>
      <c r="K268" s="47" t="s">
        <v>4053</v>
      </c>
      <c r="L268" s="24" t="s">
        <v>5317</v>
      </c>
      <c r="M268" s="24">
        <v>9263.6</v>
      </c>
      <c r="N268" s="24">
        <v>62.9</v>
      </c>
      <c r="O268" s="24">
        <v>38.6</v>
      </c>
    </row>
    <row r="269" spans="1:15" ht="120" x14ac:dyDescent="0.25">
      <c r="A269" s="24" t="s">
        <v>492</v>
      </c>
      <c r="B269" s="24" t="s">
        <v>5087</v>
      </c>
      <c r="C269" s="24" t="s">
        <v>866</v>
      </c>
      <c r="D269" s="24" t="s">
        <v>4540</v>
      </c>
      <c r="E269" s="24" t="s">
        <v>4425</v>
      </c>
      <c r="F269" s="24">
        <v>63700</v>
      </c>
      <c r="G269" s="24">
        <v>135795.1</v>
      </c>
      <c r="J269" s="46" t="s">
        <v>4032</v>
      </c>
      <c r="K269" s="47" t="s">
        <v>5593</v>
      </c>
      <c r="L269" s="24" t="s">
        <v>5322</v>
      </c>
      <c r="M269" s="24">
        <v>34483</v>
      </c>
      <c r="N269" s="24">
        <v>141.19999999999999</v>
      </c>
      <c r="O269" s="24">
        <v>58.5</v>
      </c>
    </row>
    <row r="270" spans="1:15" ht="135" x14ac:dyDescent="0.25">
      <c r="A270" s="24" t="s">
        <v>481</v>
      </c>
      <c r="B270" s="24" t="s">
        <v>5096</v>
      </c>
      <c r="C270" s="24" t="s">
        <v>866</v>
      </c>
      <c r="D270" s="24" t="s">
        <v>4447</v>
      </c>
      <c r="E270" s="24" t="s">
        <v>4425</v>
      </c>
      <c r="F270" s="24">
        <v>18000</v>
      </c>
      <c r="G270" s="24">
        <v>120845.6</v>
      </c>
      <c r="J270" s="46" t="s">
        <v>4032</v>
      </c>
      <c r="K270" s="47" t="s">
        <v>5594</v>
      </c>
      <c r="L270" s="24" t="s">
        <v>5331</v>
      </c>
      <c r="M270" s="24">
        <v>5724</v>
      </c>
      <c r="N270" s="24">
        <v>15.5</v>
      </c>
      <c r="O270" s="24">
        <v>13.5</v>
      </c>
    </row>
    <row r="271" spans="1:15" ht="120" x14ac:dyDescent="0.25">
      <c r="A271" s="24" t="s">
        <v>476</v>
      </c>
      <c r="B271" s="24" t="s">
        <v>5097</v>
      </c>
      <c r="C271" s="24" t="s">
        <v>4428</v>
      </c>
      <c r="D271" s="24" t="s">
        <v>4584</v>
      </c>
      <c r="E271" s="24" t="s">
        <v>4425</v>
      </c>
      <c r="F271" s="24">
        <v>30250</v>
      </c>
      <c r="G271" s="24">
        <v>138150.70000000001</v>
      </c>
      <c r="J271" s="46" t="s">
        <v>4032</v>
      </c>
      <c r="K271" s="47" t="s">
        <v>5594</v>
      </c>
      <c r="L271" s="24" t="s">
        <v>5332</v>
      </c>
      <c r="M271" s="24">
        <v>39677</v>
      </c>
      <c r="N271" s="24">
        <v>106.6</v>
      </c>
      <c r="O271" s="24">
        <v>51.6</v>
      </c>
    </row>
    <row r="272" spans="1:15" ht="135" x14ac:dyDescent="0.25">
      <c r="A272" s="24" t="s">
        <v>557</v>
      </c>
      <c r="B272" s="24" t="s">
        <v>5103</v>
      </c>
      <c r="C272" s="24" t="s">
        <v>902</v>
      </c>
      <c r="D272" s="24" t="s">
        <v>4532</v>
      </c>
      <c r="E272" s="24" t="s">
        <v>4425</v>
      </c>
      <c r="F272" s="24">
        <v>56000</v>
      </c>
      <c r="G272" s="24">
        <v>40443.5</v>
      </c>
      <c r="J272" s="46" t="s">
        <v>4032</v>
      </c>
      <c r="K272" s="47" t="s">
        <v>5595</v>
      </c>
      <c r="L272" s="24" t="s">
        <v>5340</v>
      </c>
      <c r="M272" s="24">
        <v>9558</v>
      </c>
      <c r="N272" s="24">
        <v>138.5</v>
      </c>
      <c r="O272" s="24">
        <v>58.1</v>
      </c>
    </row>
    <row r="273" spans="1:15" ht="120" x14ac:dyDescent="0.25">
      <c r="A273" s="24" t="s">
        <v>572</v>
      </c>
      <c r="B273" s="24" t="s">
        <v>5125</v>
      </c>
      <c r="C273" s="24" t="s">
        <v>4423</v>
      </c>
      <c r="D273" s="24" t="s">
        <v>4457</v>
      </c>
      <c r="E273" s="24" t="s">
        <v>4425</v>
      </c>
      <c r="F273" s="24">
        <v>34000</v>
      </c>
      <c r="G273" s="24">
        <v>39759.300000000003</v>
      </c>
      <c r="J273" s="51" t="s">
        <v>4032</v>
      </c>
      <c r="L273" s="24" t="s">
        <v>5365</v>
      </c>
      <c r="M273" s="24">
        <v>10629</v>
      </c>
      <c r="N273" s="24">
        <v>39.9</v>
      </c>
      <c r="O273" s="24">
        <v>28.5</v>
      </c>
    </row>
    <row r="274" spans="1:15" ht="120" x14ac:dyDescent="0.25">
      <c r="A274" s="24" t="s">
        <v>495</v>
      </c>
      <c r="B274" s="24" t="s">
        <v>494</v>
      </c>
      <c r="C274" s="24" t="s">
        <v>902</v>
      </c>
      <c r="D274" s="24" t="s">
        <v>4442</v>
      </c>
      <c r="E274" s="24" t="s">
        <v>4425</v>
      </c>
      <c r="F274" s="24">
        <v>75550</v>
      </c>
      <c r="G274" s="24">
        <v>114723.1</v>
      </c>
      <c r="J274" s="51" t="s">
        <v>4032</v>
      </c>
      <c r="L274" s="24" t="s">
        <v>5366</v>
      </c>
      <c r="M274" s="24">
        <v>32888</v>
      </c>
      <c r="N274" s="24">
        <v>178.4</v>
      </c>
      <c r="O274" s="24">
        <v>64.099999999999994</v>
      </c>
    </row>
    <row r="275" spans="1:15" ht="120" x14ac:dyDescent="0.25">
      <c r="A275" s="24" t="s">
        <v>535</v>
      </c>
      <c r="B275" s="24" t="s">
        <v>5135</v>
      </c>
      <c r="C275" s="24" t="s">
        <v>4423</v>
      </c>
      <c r="D275" s="24" t="s">
        <v>4487</v>
      </c>
      <c r="E275" s="24" t="s">
        <v>4425</v>
      </c>
      <c r="F275" s="24">
        <v>44000</v>
      </c>
      <c r="G275" s="24">
        <v>53086.6</v>
      </c>
      <c r="J275" s="51" t="s">
        <v>4032</v>
      </c>
      <c r="K275" s="52" t="s">
        <v>5607</v>
      </c>
      <c r="L275" s="24" t="s">
        <v>5381</v>
      </c>
      <c r="M275" s="24">
        <v>5931.8</v>
      </c>
      <c r="N275" s="24">
        <v>85.6</v>
      </c>
      <c r="O275" s="24">
        <v>46.1</v>
      </c>
    </row>
    <row r="276" spans="1:15" ht="135" x14ac:dyDescent="0.25">
      <c r="A276" s="24" t="s">
        <v>604</v>
      </c>
      <c r="B276" s="24" t="s">
        <v>5137</v>
      </c>
      <c r="C276" s="24" t="s">
        <v>902</v>
      </c>
      <c r="D276" s="24" t="s">
        <v>4592</v>
      </c>
      <c r="E276" s="24" t="s">
        <v>4425</v>
      </c>
      <c r="F276" s="24">
        <v>11400</v>
      </c>
      <c r="G276" s="24">
        <v>27646.799999999999</v>
      </c>
      <c r="J276" s="51" t="s">
        <v>4032</v>
      </c>
      <c r="K276" s="52" t="s">
        <v>5608</v>
      </c>
      <c r="L276" s="24" t="s">
        <v>5383</v>
      </c>
      <c r="M276" s="24">
        <v>4969.3999999999996</v>
      </c>
      <c r="N276" s="24">
        <v>140.4</v>
      </c>
      <c r="O276" s="24">
        <v>58.4</v>
      </c>
    </row>
    <row r="277" spans="1:15" ht="120" x14ac:dyDescent="0.25">
      <c r="A277" s="24" t="s">
        <v>533</v>
      </c>
      <c r="B277" s="24" t="s">
        <v>5144</v>
      </c>
      <c r="C277" s="24" t="s">
        <v>4423</v>
      </c>
      <c r="D277" s="24" t="s">
        <v>5145</v>
      </c>
      <c r="E277" s="24" t="s">
        <v>4425</v>
      </c>
      <c r="F277" s="24">
        <v>24500</v>
      </c>
      <c r="G277" s="24">
        <v>56433.4</v>
      </c>
      <c r="J277" s="51" t="s">
        <v>4032</v>
      </c>
      <c r="L277" s="24" t="s">
        <v>5397</v>
      </c>
      <c r="M277" s="24">
        <v>8768</v>
      </c>
      <c r="N277" s="24">
        <v>65.7</v>
      </c>
      <c r="O277" s="24">
        <v>39.6</v>
      </c>
    </row>
    <row r="278" spans="1:15" ht="120" x14ac:dyDescent="0.25">
      <c r="A278" s="24" t="s">
        <v>813</v>
      </c>
      <c r="B278" s="24" t="s">
        <v>5151</v>
      </c>
      <c r="C278" s="24" t="s">
        <v>866</v>
      </c>
      <c r="D278" s="24" t="s">
        <v>4503</v>
      </c>
      <c r="E278" s="24" t="s">
        <v>4425</v>
      </c>
      <c r="F278" s="24">
        <v>3261</v>
      </c>
      <c r="G278" s="24">
        <v>10366.5</v>
      </c>
      <c r="J278" s="51" t="s">
        <v>4032</v>
      </c>
      <c r="L278" s="24" t="s">
        <v>5408</v>
      </c>
      <c r="M278" s="24">
        <v>1546.2</v>
      </c>
      <c r="N278" s="24">
        <v>18</v>
      </c>
      <c r="O278" s="24">
        <v>15.2</v>
      </c>
    </row>
    <row r="279" spans="1:15" ht="135" x14ac:dyDescent="0.25">
      <c r="A279" s="24" t="s">
        <v>765</v>
      </c>
      <c r="B279" s="24" t="s">
        <v>1128</v>
      </c>
      <c r="C279" s="24" t="s">
        <v>4512</v>
      </c>
      <c r="D279" s="24" t="s">
        <v>4546</v>
      </c>
      <c r="E279" s="24" t="s">
        <v>4425</v>
      </c>
      <c r="F279" s="24">
        <v>20000</v>
      </c>
      <c r="G279" s="24">
        <v>25262.1</v>
      </c>
      <c r="J279" s="51" t="s">
        <v>4032</v>
      </c>
      <c r="L279" s="24" t="s">
        <v>5426</v>
      </c>
      <c r="M279" s="24">
        <v>3315.1</v>
      </c>
      <c r="N279" s="24">
        <v>47.5</v>
      </c>
      <c r="O279" s="24">
        <v>32.200000000000003</v>
      </c>
    </row>
    <row r="280" spans="1:15" ht="120" x14ac:dyDescent="0.25">
      <c r="A280" s="24" t="s">
        <v>645</v>
      </c>
      <c r="B280" s="24" t="s">
        <v>5166</v>
      </c>
      <c r="C280" s="24" t="s">
        <v>4512</v>
      </c>
      <c r="D280" s="24" t="s">
        <v>4546</v>
      </c>
      <c r="E280" s="24" t="s">
        <v>4425</v>
      </c>
      <c r="F280" s="24">
        <v>15200</v>
      </c>
      <c r="G280" s="24">
        <v>39991.5</v>
      </c>
      <c r="J280" s="51" t="s">
        <v>4032</v>
      </c>
      <c r="L280" s="24" t="s">
        <v>5428</v>
      </c>
      <c r="M280" s="24">
        <v>4095.2</v>
      </c>
      <c r="N280" s="24">
        <v>162</v>
      </c>
      <c r="O280" s="24">
        <v>61.8</v>
      </c>
    </row>
    <row r="281" spans="1:15" ht="135" x14ac:dyDescent="0.25">
      <c r="A281" s="24" t="s">
        <v>756</v>
      </c>
      <c r="B281" s="24" t="s">
        <v>5172</v>
      </c>
      <c r="C281" s="24" t="s">
        <v>4434</v>
      </c>
      <c r="D281" s="24" t="s">
        <v>5173</v>
      </c>
      <c r="E281" s="24" t="s">
        <v>4425</v>
      </c>
      <c r="F281" s="24">
        <v>50200</v>
      </c>
      <c r="G281" s="24">
        <v>13958.6</v>
      </c>
      <c r="J281" s="51" t="s">
        <v>4032</v>
      </c>
      <c r="L281" s="24" t="s">
        <v>5435</v>
      </c>
      <c r="M281" s="24">
        <v>2908.3</v>
      </c>
      <c r="N281" s="24">
        <v>91.7</v>
      </c>
      <c r="O281" s="24">
        <v>47.8</v>
      </c>
    </row>
    <row r="282" spans="1:15" ht="135" x14ac:dyDescent="0.25">
      <c r="A282" s="24" t="s">
        <v>834</v>
      </c>
      <c r="B282" s="24" t="s">
        <v>5174</v>
      </c>
      <c r="C282" s="24" t="s">
        <v>4430</v>
      </c>
      <c r="D282" s="24" t="s">
        <v>4461</v>
      </c>
      <c r="E282" s="24" t="s">
        <v>4425</v>
      </c>
      <c r="F282" s="24">
        <v>6060</v>
      </c>
      <c r="G282" s="24">
        <v>7677</v>
      </c>
      <c r="J282" s="51" t="s">
        <v>4032</v>
      </c>
      <c r="K282" s="52" t="s">
        <v>5610</v>
      </c>
      <c r="L282" s="24" t="s">
        <v>5436</v>
      </c>
      <c r="M282" s="24">
        <v>16.3</v>
      </c>
      <c r="N282" s="24">
        <v>0.6</v>
      </c>
      <c r="O282" s="24">
        <v>0.6</v>
      </c>
    </row>
    <row r="283" spans="1:15" ht="135" x14ac:dyDescent="0.25">
      <c r="A283" s="24" t="s">
        <v>520</v>
      </c>
      <c r="B283" s="24" t="s">
        <v>5177</v>
      </c>
      <c r="C283" s="24" t="s">
        <v>4512</v>
      </c>
      <c r="D283" s="24" t="s">
        <v>5178</v>
      </c>
      <c r="E283" s="24" t="s">
        <v>4425</v>
      </c>
      <c r="F283" s="24">
        <v>43000</v>
      </c>
      <c r="G283" s="24">
        <v>73140.5</v>
      </c>
      <c r="J283" s="51" t="s">
        <v>4032</v>
      </c>
      <c r="L283" s="24" t="s">
        <v>5439</v>
      </c>
      <c r="M283" s="24">
        <v>6972</v>
      </c>
      <c r="N283" s="24">
        <v>199.7</v>
      </c>
      <c r="O283" s="24">
        <v>66.599999999999994</v>
      </c>
    </row>
    <row r="284" spans="1:15" ht="135" x14ac:dyDescent="0.25">
      <c r="A284" s="24" t="s">
        <v>774</v>
      </c>
      <c r="B284" s="24" t="s">
        <v>1256</v>
      </c>
      <c r="C284" s="24" t="s">
        <v>4430</v>
      </c>
      <c r="D284" s="24" t="s">
        <v>4595</v>
      </c>
      <c r="E284" s="24" t="s">
        <v>4425</v>
      </c>
      <c r="F284" s="24">
        <v>6714</v>
      </c>
      <c r="G284" s="24">
        <v>11611.1</v>
      </c>
      <c r="J284" s="53" t="s">
        <v>4032</v>
      </c>
      <c r="L284" s="24" t="s">
        <v>5443</v>
      </c>
      <c r="M284" s="24">
        <v>65.099999999999994</v>
      </c>
      <c r="N284" s="24">
        <v>4.7</v>
      </c>
      <c r="O284" s="24">
        <v>4.5</v>
      </c>
    </row>
    <row r="285" spans="1:15" ht="135" x14ac:dyDescent="0.25">
      <c r="A285" s="24" t="s">
        <v>574</v>
      </c>
      <c r="B285" s="24" t="s">
        <v>5188</v>
      </c>
      <c r="C285" s="24" t="s">
        <v>902</v>
      </c>
      <c r="D285" s="24" t="s">
        <v>4463</v>
      </c>
      <c r="E285" s="24" t="s">
        <v>4425</v>
      </c>
      <c r="F285" s="24">
        <v>48000</v>
      </c>
      <c r="G285" s="24">
        <v>43685.7</v>
      </c>
      <c r="J285" s="53" t="s">
        <v>4032</v>
      </c>
      <c r="L285" s="24" t="s">
        <v>5451</v>
      </c>
      <c r="M285" s="24">
        <v>7053</v>
      </c>
      <c r="N285" s="24">
        <v>36.200000000000003</v>
      </c>
      <c r="O285" s="24">
        <v>26.6</v>
      </c>
    </row>
    <row r="286" spans="1:15" ht="135" x14ac:dyDescent="0.25">
      <c r="A286" s="24" t="s">
        <v>457</v>
      </c>
      <c r="B286" s="24" t="s">
        <v>5190</v>
      </c>
      <c r="C286" s="24" t="s">
        <v>4428</v>
      </c>
      <c r="D286" s="24" t="s">
        <v>4584</v>
      </c>
      <c r="E286" s="24" t="s">
        <v>4425</v>
      </c>
      <c r="F286" s="24">
        <v>35000</v>
      </c>
      <c r="G286" s="24">
        <v>227535.1</v>
      </c>
      <c r="J286" s="53" t="s">
        <v>4032</v>
      </c>
      <c r="L286" s="24" t="s">
        <v>5453</v>
      </c>
      <c r="M286" s="24">
        <v>15522.4</v>
      </c>
      <c r="N286" s="24">
        <v>200.1</v>
      </c>
      <c r="O286" s="24">
        <v>66.7</v>
      </c>
    </row>
    <row r="287" spans="1:15" ht="90" x14ac:dyDescent="0.25">
      <c r="A287" s="24" t="s">
        <v>518</v>
      </c>
      <c r="B287" s="24" t="s">
        <v>5220</v>
      </c>
      <c r="C287" s="24" t="s">
        <v>902</v>
      </c>
      <c r="D287" s="24" t="s">
        <v>4599</v>
      </c>
      <c r="E287" s="24" t="s">
        <v>4425</v>
      </c>
      <c r="F287" s="24">
        <v>20156</v>
      </c>
      <c r="G287" s="24">
        <v>65467</v>
      </c>
      <c r="J287" s="53" t="s">
        <v>4032</v>
      </c>
      <c r="L287" s="24" t="s">
        <v>5488</v>
      </c>
      <c r="M287" s="24">
        <v>13274</v>
      </c>
      <c r="N287" s="24">
        <v>95.6</v>
      </c>
      <c r="O287" s="24">
        <v>48.9</v>
      </c>
    </row>
    <row r="288" spans="1:15" ht="120" x14ac:dyDescent="0.25">
      <c r="A288" s="24" t="s">
        <v>599</v>
      </c>
      <c r="B288" s="24" t="s">
        <v>5229</v>
      </c>
      <c r="C288" s="24" t="s">
        <v>902</v>
      </c>
      <c r="D288" s="24" t="s">
        <v>5230</v>
      </c>
      <c r="E288" s="24" t="s">
        <v>4425</v>
      </c>
      <c r="F288" s="24">
        <v>69000</v>
      </c>
      <c r="G288" s="24">
        <v>34627.199999999997</v>
      </c>
      <c r="J288" s="55" t="s">
        <v>4032</v>
      </c>
      <c r="L288" s="24" t="s">
        <v>5499</v>
      </c>
      <c r="M288" s="24">
        <v>5458</v>
      </c>
      <c r="O288" s="24">
        <v>340.3</v>
      </c>
    </row>
    <row r="289" spans="1:15" ht="120" x14ac:dyDescent="0.25">
      <c r="A289" s="24" t="s">
        <v>580</v>
      </c>
      <c r="B289" s="24" t="s">
        <v>1050</v>
      </c>
      <c r="C289" s="24" t="s">
        <v>902</v>
      </c>
      <c r="D289" s="24" t="s">
        <v>4491</v>
      </c>
      <c r="E289" s="24" t="s">
        <v>4425</v>
      </c>
      <c r="F289" s="24">
        <v>54640</v>
      </c>
      <c r="G289" s="24">
        <v>40339.599999999999</v>
      </c>
      <c r="J289" s="55" t="s">
        <v>4032</v>
      </c>
      <c r="L289" s="24" t="s">
        <v>5507</v>
      </c>
      <c r="M289" s="24">
        <v>6263.9</v>
      </c>
      <c r="N289" s="24">
        <v>73.8</v>
      </c>
      <c r="O289" s="24">
        <v>42.5</v>
      </c>
    </row>
    <row r="290" spans="1:15" ht="135" x14ac:dyDescent="0.25">
      <c r="A290" s="24" t="s">
        <v>569</v>
      </c>
      <c r="B290" s="24" t="s">
        <v>1041</v>
      </c>
      <c r="C290" s="24" t="s">
        <v>922</v>
      </c>
      <c r="D290" s="24" t="s">
        <v>4510</v>
      </c>
      <c r="E290" s="24" t="s">
        <v>4425</v>
      </c>
      <c r="F290" s="24">
        <v>1483</v>
      </c>
      <c r="G290" s="24">
        <v>34348.800000000003</v>
      </c>
      <c r="J290" s="55" t="s">
        <v>4032</v>
      </c>
      <c r="L290" s="24" t="s">
        <v>5529</v>
      </c>
      <c r="M290" s="24">
        <v>11822.5</v>
      </c>
      <c r="O290" s="24">
        <v>172.2</v>
      </c>
    </row>
    <row r="291" spans="1:15" ht="135" x14ac:dyDescent="0.25">
      <c r="A291" s="24" t="s">
        <v>788</v>
      </c>
      <c r="B291" s="24" t="s">
        <v>5253</v>
      </c>
      <c r="C291" s="24" t="s">
        <v>902</v>
      </c>
      <c r="D291" s="24" t="s">
        <v>4491</v>
      </c>
      <c r="E291" s="24" t="s">
        <v>4425</v>
      </c>
      <c r="F291" s="24">
        <v>12300</v>
      </c>
      <c r="G291" s="24">
        <v>11173.3</v>
      </c>
      <c r="J291" s="55" t="s">
        <v>4032</v>
      </c>
      <c r="L291" s="24" t="s">
        <v>5535</v>
      </c>
      <c r="M291" s="24">
        <v>1187.9000000000001</v>
      </c>
      <c r="N291" s="24">
        <v>29.4</v>
      </c>
      <c r="O291" s="24">
        <v>22.7</v>
      </c>
    </row>
    <row r="292" spans="1:15" ht="120" x14ac:dyDescent="0.25">
      <c r="A292" s="24" t="s">
        <v>490</v>
      </c>
      <c r="B292" s="24" t="s">
        <v>5266</v>
      </c>
      <c r="C292" s="24" t="s">
        <v>4434</v>
      </c>
      <c r="D292" s="24" t="s">
        <v>4654</v>
      </c>
      <c r="E292" s="24" t="s">
        <v>4425</v>
      </c>
      <c r="F292" s="24">
        <v>409000</v>
      </c>
      <c r="G292" s="24">
        <v>101435.3</v>
      </c>
      <c r="J292" s="55" t="s">
        <v>4032</v>
      </c>
      <c r="L292" s="24" t="s">
        <v>5552</v>
      </c>
      <c r="M292" s="24">
        <v>11586</v>
      </c>
      <c r="N292" s="24">
        <v>83.9</v>
      </c>
      <c r="O292" s="24">
        <v>45.6</v>
      </c>
    </row>
    <row r="293" spans="1:15" ht="135" x14ac:dyDescent="0.25">
      <c r="A293" s="24" t="s">
        <v>803</v>
      </c>
      <c r="B293" s="24" t="s">
        <v>5274</v>
      </c>
      <c r="C293" s="24" t="s">
        <v>4428</v>
      </c>
      <c r="D293" s="24" t="s">
        <v>4429</v>
      </c>
      <c r="E293" s="24" t="s">
        <v>4425</v>
      </c>
      <c r="F293" s="24">
        <v>68100</v>
      </c>
      <c r="G293" s="24">
        <v>10384.200000000001</v>
      </c>
      <c r="J293" s="55" t="s">
        <v>4032</v>
      </c>
      <c r="L293" s="24" t="s">
        <v>5562</v>
      </c>
      <c r="M293" s="24">
        <v>3709.3</v>
      </c>
      <c r="N293" s="24">
        <v>59.1</v>
      </c>
      <c r="O293" s="24">
        <v>37.200000000000003</v>
      </c>
    </row>
    <row r="294" spans="1:15" ht="135" x14ac:dyDescent="0.25">
      <c r="A294" s="24" t="s">
        <v>679</v>
      </c>
      <c r="B294" s="24" t="s">
        <v>5283</v>
      </c>
      <c r="C294" s="24" t="s">
        <v>4428</v>
      </c>
      <c r="D294" s="24" t="s">
        <v>4476</v>
      </c>
      <c r="E294" s="24" t="s">
        <v>4425</v>
      </c>
      <c r="F294" s="24">
        <v>7400</v>
      </c>
      <c r="G294" s="24">
        <v>18830.3</v>
      </c>
      <c r="J294" s="55" t="s">
        <v>4032</v>
      </c>
      <c r="L294" s="24" t="s">
        <v>5574</v>
      </c>
      <c r="M294" s="24">
        <v>1613.6</v>
      </c>
      <c r="N294" s="24">
        <v>546.6</v>
      </c>
      <c r="O294" s="24">
        <v>84.5</v>
      </c>
    </row>
    <row r="295" spans="1:15" ht="105" x14ac:dyDescent="0.25">
      <c r="A295" s="24" t="s">
        <v>634</v>
      </c>
      <c r="B295" s="24" t="s">
        <v>633</v>
      </c>
      <c r="C295" s="24" t="s">
        <v>904</v>
      </c>
      <c r="D295" s="24" t="s">
        <v>4445</v>
      </c>
      <c r="E295" s="24" t="s">
        <v>4425</v>
      </c>
      <c r="F295" s="24">
        <v>7273</v>
      </c>
      <c r="G295" s="24">
        <v>29685.5</v>
      </c>
      <c r="J295" s="55" t="s">
        <v>4032</v>
      </c>
      <c r="L295" s="24" t="s">
        <v>5576</v>
      </c>
      <c r="M295" s="24">
        <v>12678.1</v>
      </c>
      <c r="N295" s="24">
        <v>116.2</v>
      </c>
      <c r="O295" s="24">
        <v>53.7</v>
      </c>
    </row>
    <row r="296" spans="1:15" ht="120" x14ac:dyDescent="0.25">
      <c r="A296" s="24" t="s">
        <v>524</v>
      </c>
      <c r="B296" s="24" t="s">
        <v>5286</v>
      </c>
      <c r="C296" s="24" t="s">
        <v>902</v>
      </c>
      <c r="D296" s="24" t="s">
        <v>4500</v>
      </c>
      <c r="E296" s="24" t="s">
        <v>4425</v>
      </c>
      <c r="F296" s="24">
        <v>48250</v>
      </c>
      <c r="G296" s="24">
        <v>61894.1</v>
      </c>
      <c r="J296" s="55" t="s">
        <v>4032</v>
      </c>
      <c r="L296" s="24" t="s">
        <v>5580</v>
      </c>
      <c r="M296" s="24">
        <v>12446</v>
      </c>
      <c r="N296" s="24">
        <v>173.5</v>
      </c>
      <c r="O296" s="24">
        <v>63.4</v>
      </c>
    </row>
    <row r="297" spans="1:15" ht="120" x14ac:dyDescent="0.25">
      <c r="A297" s="24" t="s">
        <v>607</v>
      </c>
      <c r="B297" s="24" t="s">
        <v>5290</v>
      </c>
      <c r="C297" s="24" t="s">
        <v>4428</v>
      </c>
      <c r="D297" s="24" t="s">
        <v>4559</v>
      </c>
      <c r="E297" s="24" t="s">
        <v>4425</v>
      </c>
      <c r="F297" s="24">
        <v>9200</v>
      </c>
      <c r="G297" s="24">
        <v>28044.400000000001</v>
      </c>
      <c r="J297" s="55" t="s">
        <v>4032</v>
      </c>
      <c r="L297" s="24" t="s">
        <v>5584</v>
      </c>
      <c r="M297" s="24">
        <v>209.9</v>
      </c>
      <c r="N297" s="24">
        <v>9.5</v>
      </c>
      <c r="O297" s="24">
        <v>8.6999999999999993</v>
      </c>
    </row>
    <row r="298" spans="1:15" ht="135" x14ac:dyDescent="0.25">
      <c r="A298" s="24" t="s">
        <v>683</v>
      </c>
      <c r="B298" s="24" t="s">
        <v>5141</v>
      </c>
      <c r="C298" s="24" t="s">
        <v>904</v>
      </c>
      <c r="D298" s="24" t="s">
        <v>4445</v>
      </c>
      <c r="E298" s="24" t="s">
        <v>4425</v>
      </c>
      <c r="F298" s="24">
        <v>13400</v>
      </c>
      <c r="G298" s="24">
        <v>21561.3</v>
      </c>
      <c r="L298" s="24" t="s">
        <v>5391</v>
      </c>
      <c r="M298" s="24">
        <v>23846.7</v>
      </c>
      <c r="N298" s="24">
        <v>211.9</v>
      </c>
      <c r="O298" s="24">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2" customWidth="1"/>
    <col min="2" max="2" width="18.7109375" style="33" customWidth="1"/>
    <col min="3" max="3" width="13.7109375" style="33" customWidth="1"/>
    <col min="4" max="4" width="12" style="33" customWidth="1"/>
    <col min="5" max="5" width="9.140625" style="33"/>
    <col min="6" max="9" width="9.140625" style="32"/>
    <col min="10" max="10" width="9.140625" style="34"/>
    <col min="11" max="11" width="36.85546875" style="32" customWidth="1"/>
    <col min="12" max="12" width="118.7109375" style="33" customWidth="1"/>
    <col min="13" max="16384" width="9.140625" style="32"/>
  </cols>
  <sheetData>
    <row r="1" spans="1:16" s="36" customFormat="1" x14ac:dyDescent="0.2">
      <c r="A1" s="37" t="s">
        <v>3755</v>
      </c>
      <c r="B1" s="39" t="s">
        <v>4420</v>
      </c>
      <c r="C1" s="39" t="s">
        <v>4421</v>
      </c>
      <c r="D1" s="39" t="s">
        <v>4422</v>
      </c>
      <c r="E1" s="39" t="s">
        <v>1301</v>
      </c>
      <c r="F1" s="37" t="s">
        <v>4739</v>
      </c>
      <c r="G1" s="37" t="s">
        <v>4738</v>
      </c>
      <c r="H1" s="37" t="s">
        <v>4056</v>
      </c>
      <c r="I1" s="37" t="s">
        <v>4030</v>
      </c>
      <c r="J1" s="38" t="s">
        <v>4034</v>
      </c>
      <c r="K1" s="38" t="s">
        <v>0</v>
      </c>
      <c r="L1" s="39" t="s">
        <v>4740</v>
      </c>
      <c r="M1" s="37" t="s">
        <v>4741</v>
      </c>
      <c r="N1" s="37" t="s">
        <v>4742</v>
      </c>
      <c r="O1" s="37" t="s">
        <v>4743</v>
      </c>
      <c r="P1" s="37"/>
    </row>
    <row r="2" spans="1:16" ht="96" x14ac:dyDescent="0.2">
      <c r="A2" s="32" t="s">
        <v>1328</v>
      </c>
      <c r="B2" s="33" t="s">
        <v>4475</v>
      </c>
      <c r="C2" s="33" t="s">
        <v>4428</v>
      </c>
      <c r="D2" s="33" t="s">
        <v>4476</v>
      </c>
      <c r="E2" s="33" t="s">
        <v>4425</v>
      </c>
      <c r="F2" s="32">
        <v>7400</v>
      </c>
      <c r="G2" s="32">
        <v>9749.9</v>
      </c>
      <c r="J2" s="34" t="s">
        <v>158</v>
      </c>
      <c r="L2" s="33" t="s">
        <v>4775</v>
      </c>
      <c r="M2" s="32">
        <v>717.5</v>
      </c>
      <c r="N2" s="32">
        <v>66.7</v>
      </c>
      <c r="O2" s="32">
        <v>40</v>
      </c>
    </row>
    <row r="3" spans="1:16" ht="84" x14ac:dyDescent="0.2">
      <c r="A3" s="32" t="s">
        <v>1377</v>
      </c>
      <c r="B3" s="33" t="s">
        <v>1378</v>
      </c>
      <c r="C3" s="33" t="s">
        <v>4430</v>
      </c>
      <c r="D3" s="33" t="s">
        <v>4480</v>
      </c>
      <c r="E3" s="33" t="s">
        <v>4425</v>
      </c>
      <c r="F3" s="32">
        <v>2716</v>
      </c>
      <c r="G3" s="32">
        <v>8828.7000000000007</v>
      </c>
      <c r="J3" s="34" t="s">
        <v>158</v>
      </c>
      <c r="K3" s="32" t="s">
        <v>4079</v>
      </c>
      <c r="L3" s="33" t="s">
        <v>4778</v>
      </c>
      <c r="M3" s="32">
        <v>3810.3</v>
      </c>
      <c r="N3" s="32">
        <v>220.1</v>
      </c>
      <c r="O3" s="32">
        <v>68.8</v>
      </c>
    </row>
    <row r="4" spans="1:16" ht="96" x14ac:dyDescent="0.2">
      <c r="A4" s="32" t="s">
        <v>1332</v>
      </c>
      <c r="B4" s="33" t="s">
        <v>4517</v>
      </c>
      <c r="C4" s="33" t="s">
        <v>4434</v>
      </c>
      <c r="D4" s="33" t="s">
        <v>4518</v>
      </c>
      <c r="E4" s="33" t="s">
        <v>4425</v>
      </c>
      <c r="F4" s="32">
        <v>12000</v>
      </c>
      <c r="G4" s="32">
        <v>11485.4</v>
      </c>
      <c r="J4" s="34" t="s">
        <v>158</v>
      </c>
      <c r="K4" s="49" t="s">
        <v>5602</v>
      </c>
      <c r="L4" s="33" t="s">
        <v>4807</v>
      </c>
      <c r="M4" s="32">
        <v>2924</v>
      </c>
      <c r="N4" s="32">
        <v>114.9</v>
      </c>
      <c r="O4" s="32">
        <v>53.5</v>
      </c>
    </row>
    <row r="5" spans="1:16" ht="84" x14ac:dyDescent="0.2">
      <c r="A5" s="32" t="s">
        <v>1533</v>
      </c>
      <c r="B5" s="33" t="s">
        <v>4523</v>
      </c>
      <c r="C5" s="33" t="s">
        <v>902</v>
      </c>
      <c r="D5" s="33" t="s">
        <v>4500</v>
      </c>
      <c r="E5" s="33" t="s">
        <v>4425</v>
      </c>
      <c r="F5" s="32">
        <v>13100</v>
      </c>
      <c r="G5" s="32">
        <v>6806.6</v>
      </c>
      <c r="J5" s="34" t="s">
        <v>158</v>
      </c>
      <c r="L5" s="33" t="s">
        <v>4812</v>
      </c>
      <c r="M5" s="32">
        <v>548.1</v>
      </c>
      <c r="N5" s="32">
        <v>49.1</v>
      </c>
      <c r="O5" s="32">
        <v>32.9</v>
      </c>
    </row>
    <row r="6" spans="1:16" ht="96" x14ac:dyDescent="0.2">
      <c r="A6" s="32" t="s">
        <v>1343</v>
      </c>
      <c r="B6" s="33" t="s">
        <v>4543</v>
      </c>
      <c r="C6" s="33" t="s">
        <v>4430</v>
      </c>
      <c r="D6" s="33" t="s">
        <v>4452</v>
      </c>
      <c r="E6" s="33" t="s">
        <v>4425</v>
      </c>
      <c r="F6" s="32">
        <v>3650</v>
      </c>
      <c r="G6" s="32">
        <v>11308.4</v>
      </c>
      <c r="J6" s="34" t="s">
        <v>158</v>
      </c>
      <c r="L6" s="33" t="s">
        <v>4834</v>
      </c>
      <c r="M6" s="32">
        <v>1009</v>
      </c>
      <c r="O6" s="32">
        <v>112.4</v>
      </c>
    </row>
    <row r="7" spans="1:16" ht="96" x14ac:dyDescent="0.2">
      <c r="A7" s="32" t="s">
        <v>1470</v>
      </c>
      <c r="B7" s="33" t="s">
        <v>4560</v>
      </c>
      <c r="C7" s="33" t="s">
        <v>4434</v>
      </c>
      <c r="D7" s="33" t="s">
        <v>4435</v>
      </c>
      <c r="E7" s="33" t="s">
        <v>4425</v>
      </c>
      <c r="F7" s="32">
        <v>5303</v>
      </c>
      <c r="G7" s="32">
        <v>7580.5</v>
      </c>
      <c r="J7" s="34" t="s">
        <v>158</v>
      </c>
      <c r="K7" s="48" t="s">
        <v>5601</v>
      </c>
      <c r="L7" s="33" t="s">
        <v>4849</v>
      </c>
      <c r="M7" s="32">
        <v>0</v>
      </c>
      <c r="N7" s="32">
        <v>0</v>
      </c>
      <c r="O7" s="32">
        <v>0</v>
      </c>
    </row>
    <row r="8" spans="1:16" ht="84" x14ac:dyDescent="0.2">
      <c r="A8" s="32" t="s">
        <v>1350</v>
      </c>
      <c r="B8" s="33" t="s">
        <v>4608</v>
      </c>
      <c r="C8" s="33" t="s">
        <v>902</v>
      </c>
      <c r="D8" s="33" t="s">
        <v>4532</v>
      </c>
      <c r="E8" s="33" t="s">
        <v>4425</v>
      </c>
      <c r="F8" s="32">
        <v>10300</v>
      </c>
      <c r="G8" s="32">
        <v>10068.799999999999</v>
      </c>
      <c r="J8" s="34" t="s">
        <v>158</v>
      </c>
      <c r="L8" s="33" t="s">
        <v>4898</v>
      </c>
      <c r="M8" s="32">
        <v>977.6</v>
      </c>
      <c r="O8" s="32">
        <v>152.1</v>
      </c>
    </row>
    <row r="9" spans="1:16" ht="84" x14ac:dyDescent="0.2">
      <c r="A9" s="32" t="s">
        <v>1312</v>
      </c>
      <c r="B9" s="33" t="s">
        <v>4673</v>
      </c>
      <c r="C9" s="33" t="s">
        <v>4428</v>
      </c>
      <c r="D9" s="33" t="s">
        <v>4559</v>
      </c>
      <c r="E9" s="33" t="s">
        <v>4425</v>
      </c>
      <c r="F9" s="32">
        <v>1128</v>
      </c>
      <c r="G9" s="32">
        <v>10038.200000000001</v>
      </c>
      <c r="J9" s="34" t="s">
        <v>158</v>
      </c>
      <c r="L9" s="33" t="s">
        <v>4969</v>
      </c>
      <c r="M9" s="32">
        <v>0</v>
      </c>
      <c r="N9" s="32">
        <v>0</v>
      </c>
      <c r="O9" s="32">
        <v>0</v>
      </c>
    </row>
    <row r="10" spans="1:16" ht="84" x14ac:dyDescent="0.2">
      <c r="A10" s="32" t="s">
        <v>1359</v>
      </c>
      <c r="B10" s="33" t="s">
        <v>4677</v>
      </c>
      <c r="C10" s="33" t="s">
        <v>902</v>
      </c>
      <c r="D10" s="33" t="s">
        <v>4532</v>
      </c>
      <c r="E10" s="33" t="s">
        <v>4425</v>
      </c>
      <c r="F10" s="32">
        <v>23000</v>
      </c>
      <c r="G10" s="32">
        <v>10562.3</v>
      </c>
      <c r="J10" s="34" t="s">
        <v>158</v>
      </c>
      <c r="K10" s="49" t="s">
        <v>5602</v>
      </c>
      <c r="L10" s="33" t="s">
        <v>4973</v>
      </c>
      <c r="M10" s="32">
        <v>647.29999999999995</v>
      </c>
      <c r="N10" s="32">
        <v>24</v>
      </c>
      <c r="O10" s="32">
        <v>19.399999999999999</v>
      </c>
    </row>
    <row r="11" spans="1:16" ht="84" x14ac:dyDescent="0.2">
      <c r="A11" s="32" t="s">
        <v>1520</v>
      </c>
      <c r="B11" s="33" t="s">
        <v>1521</v>
      </c>
      <c r="C11" s="33" t="s">
        <v>866</v>
      </c>
      <c r="D11" s="33" t="s">
        <v>4536</v>
      </c>
      <c r="E11" s="33" t="s">
        <v>4425</v>
      </c>
      <c r="F11" s="32">
        <v>8500</v>
      </c>
      <c r="G11" s="32">
        <v>7388.7</v>
      </c>
      <c r="J11" s="34" t="s">
        <v>158</v>
      </c>
      <c r="K11" s="49" t="s">
        <v>5602</v>
      </c>
      <c r="L11" s="33" t="s">
        <v>4983</v>
      </c>
      <c r="M11" s="32">
        <v>1225.2</v>
      </c>
      <c r="N11" s="32">
        <v>29.8</v>
      </c>
      <c r="O11" s="32">
        <v>20.399999999999999</v>
      </c>
    </row>
    <row r="12" spans="1:16" ht="96" x14ac:dyDescent="0.2">
      <c r="A12" s="32" t="s">
        <v>1337</v>
      </c>
      <c r="B12" s="33" t="s">
        <v>4698</v>
      </c>
      <c r="C12" s="33" t="s">
        <v>4423</v>
      </c>
      <c r="D12" s="33" t="s">
        <v>4499</v>
      </c>
      <c r="E12" s="33" t="s">
        <v>4425</v>
      </c>
      <c r="F12" s="32">
        <v>9625</v>
      </c>
      <c r="G12" s="32">
        <v>10541.7</v>
      </c>
      <c r="J12" s="34" t="s">
        <v>158</v>
      </c>
      <c r="K12" s="49" t="s">
        <v>5602</v>
      </c>
      <c r="L12" s="33" t="s">
        <v>5003</v>
      </c>
      <c r="M12" s="32">
        <v>3019.2</v>
      </c>
      <c r="N12" s="32">
        <v>53.8</v>
      </c>
      <c r="O12" s="32">
        <v>35</v>
      </c>
    </row>
    <row r="13" spans="1:16" ht="96" x14ac:dyDescent="0.2">
      <c r="A13" s="32" t="s">
        <v>1391</v>
      </c>
      <c r="B13" s="33" t="s">
        <v>4709</v>
      </c>
      <c r="C13" s="33" t="s">
        <v>902</v>
      </c>
      <c r="D13" s="33" t="s">
        <v>4442</v>
      </c>
      <c r="E13" s="33" t="s">
        <v>4425</v>
      </c>
      <c r="F13" s="32">
        <v>9520</v>
      </c>
      <c r="G13" s="32">
        <v>9759</v>
      </c>
      <c r="J13" s="34" t="s">
        <v>158</v>
      </c>
      <c r="K13" s="49" t="s">
        <v>5602</v>
      </c>
      <c r="L13" s="33" t="s">
        <v>5020</v>
      </c>
      <c r="M13" s="32">
        <v>691.2</v>
      </c>
      <c r="N13" s="32">
        <v>60</v>
      </c>
      <c r="O13" s="32">
        <v>37.5</v>
      </c>
    </row>
    <row r="14" spans="1:16" ht="72" x14ac:dyDescent="0.2">
      <c r="A14" s="32" t="s">
        <v>1847</v>
      </c>
      <c r="B14" s="33" t="s">
        <v>1848</v>
      </c>
      <c r="C14" s="33" t="s">
        <v>902</v>
      </c>
      <c r="D14" s="33" t="s">
        <v>4532</v>
      </c>
      <c r="E14" s="33" t="s">
        <v>4425</v>
      </c>
      <c r="F14" s="32">
        <v>1049</v>
      </c>
      <c r="G14" s="32">
        <v>3885.3</v>
      </c>
      <c r="J14" s="34" t="s">
        <v>158</v>
      </c>
      <c r="L14" s="33" t="s">
        <v>5031</v>
      </c>
      <c r="M14" s="32">
        <v>0</v>
      </c>
      <c r="N14" s="32">
        <v>0</v>
      </c>
      <c r="O14" s="32">
        <v>0</v>
      </c>
    </row>
    <row r="15" spans="1:16" ht="84" x14ac:dyDescent="0.2">
      <c r="A15" s="32" t="s">
        <v>1927</v>
      </c>
      <c r="B15" s="33" t="s">
        <v>4722</v>
      </c>
      <c r="C15" s="33" t="s">
        <v>902</v>
      </c>
      <c r="D15" s="33" t="s">
        <v>4599</v>
      </c>
      <c r="E15" s="33" t="s">
        <v>4425</v>
      </c>
      <c r="F15" s="32">
        <v>12292</v>
      </c>
      <c r="G15" s="32">
        <v>2900.8</v>
      </c>
      <c r="J15" s="40" t="s">
        <v>158</v>
      </c>
      <c r="K15" s="49" t="s">
        <v>5602</v>
      </c>
      <c r="L15" s="33" t="s">
        <v>5042</v>
      </c>
      <c r="M15" s="32">
        <v>343.8</v>
      </c>
      <c r="N15" s="32">
        <v>26.3</v>
      </c>
      <c r="O15" s="32">
        <v>20.8</v>
      </c>
    </row>
    <row r="16" spans="1:16" ht="84" x14ac:dyDescent="0.2">
      <c r="A16" s="32" t="s">
        <v>1335</v>
      </c>
      <c r="B16" s="33" t="s">
        <v>4726</v>
      </c>
      <c r="C16" s="33" t="s">
        <v>4434</v>
      </c>
      <c r="D16" s="33" t="s">
        <v>4727</v>
      </c>
      <c r="E16" s="33" t="s">
        <v>4425</v>
      </c>
      <c r="F16" s="32">
        <v>12200</v>
      </c>
      <c r="G16" s="32">
        <v>10928.6</v>
      </c>
      <c r="J16" s="34" t="s">
        <v>158</v>
      </c>
      <c r="K16" s="49" t="s">
        <v>5602</v>
      </c>
      <c r="L16" s="33" t="s">
        <v>5047</v>
      </c>
      <c r="M16" s="32">
        <v>0</v>
      </c>
      <c r="N16" s="32">
        <v>0</v>
      </c>
      <c r="O16" s="32">
        <v>0</v>
      </c>
    </row>
    <row r="17" spans="1:15" ht="84" x14ac:dyDescent="0.2">
      <c r="A17" s="32" t="s">
        <v>1368</v>
      </c>
      <c r="B17" s="33" t="s">
        <v>1369</v>
      </c>
      <c r="C17" s="33" t="s">
        <v>4423</v>
      </c>
      <c r="D17" s="33" t="s">
        <v>4424</v>
      </c>
      <c r="E17" s="33" t="s">
        <v>4425</v>
      </c>
      <c r="F17" s="32">
        <v>12900</v>
      </c>
      <c r="G17" s="32">
        <v>11366.5</v>
      </c>
      <c r="J17" s="34" t="s">
        <v>4031</v>
      </c>
      <c r="L17" s="33" t="s">
        <v>4744</v>
      </c>
      <c r="M17" s="32">
        <v>1724</v>
      </c>
      <c r="N17" s="32">
        <v>44.5</v>
      </c>
      <c r="O17" s="32">
        <v>30.8</v>
      </c>
    </row>
    <row r="18" spans="1:15" ht="96" x14ac:dyDescent="0.2">
      <c r="A18" s="32" t="s">
        <v>1484</v>
      </c>
      <c r="B18" s="33" t="s">
        <v>4426</v>
      </c>
      <c r="C18" s="33" t="s">
        <v>922</v>
      </c>
      <c r="D18" s="33" t="s">
        <v>4427</v>
      </c>
      <c r="E18" s="33" t="s">
        <v>4425</v>
      </c>
      <c r="F18" s="32">
        <v>2988</v>
      </c>
      <c r="G18" s="32">
        <v>7058</v>
      </c>
      <c r="J18" s="34" t="s">
        <v>4031</v>
      </c>
      <c r="L18" s="33" t="s">
        <v>4745</v>
      </c>
      <c r="M18" s="32">
        <v>3717.5</v>
      </c>
      <c r="N18" s="32">
        <v>124.6</v>
      </c>
      <c r="O18" s="32">
        <v>55.5</v>
      </c>
    </row>
    <row r="19" spans="1:15" ht="84" x14ac:dyDescent="0.2">
      <c r="A19" s="32" t="s">
        <v>1676</v>
      </c>
      <c r="B19" s="33" t="s">
        <v>1677</v>
      </c>
      <c r="C19" s="33" t="s">
        <v>4428</v>
      </c>
      <c r="D19" s="33" t="s">
        <v>4429</v>
      </c>
      <c r="E19" s="33" t="s">
        <v>4425</v>
      </c>
      <c r="F19" s="32">
        <v>28600</v>
      </c>
      <c r="G19" s="32">
        <v>4734.2</v>
      </c>
      <c r="J19" s="34" t="s">
        <v>4031</v>
      </c>
      <c r="L19" s="33" t="s">
        <v>4746</v>
      </c>
      <c r="M19" s="32">
        <v>1413.4</v>
      </c>
      <c r="N19" s="32">
        <v>58.1</v>
      </c>
      <c r="O19" s="32">
        <v>36.700000000000003</v>
      </c>
    </row>
    <row r="20" spans="1:15" ht="84" x14ac:dyDescent="0.2">
      <c r="A20" s="32" t="s">
        <v>1839</v>
      </c>
      <c r="B20" s="33" t="s">
        <v>1840</v>
      </c>
      <c r="C20" s="33" t="s">
        <v>4430</v>
      </c>
      <c r="D20" s="33" t="s">
        <v>4431</v>
      </c>
      <c r="E20" s="33" t="s">
        <v>4425</v>
      </c>
      <c r="F20" s="32">
        <v>3768</v>
      </c>
      <c r="G20" s="32">
        <v>3789.2</v>
      </c>
      <c r="J20" s="34" t="s">
        <v>4031</v>
      </c>
      <c r="L20" s="33" t="s">
        <v>4747</v>
      </c>
      <c r="M20" s="32">
        <v>1033.4000000000001</v>
      </c>
      <c r="N20" s="32">
        <v>86.4</v>
      </c>
      <c r="O20" s="32">
        <v>46.4</v>
      </c>
    </row>
    <row r="21" spans="1:15" ht="84" x14ac:dyDescent="0.2">
      <c r="A21" s="32" t="s">
        <v>1370</v>
      </c>
      <c r="B21" s="33" t="s">
        <v>4432</v>
      </c>
      <c r="C21" s="33" t="s">
        <v>902</v>
      </c>
      <c r="D21" s="33" t="s">
        <v>4433</v>
      </c>
      <c r="E21" s="33" t="s">
        <v>4425</v>
      </c>
      <c r="F21" s="32">
        <v>51000</v>
      </c>
      <c r="G21" s="32">
        <v>9607.7999999999993</v>
      </c>
      <c r="J21" s="34" t="s">
        <v>4031</v>
      </c>
      <c r="L21" s="33" t="s">
        <v>4748</v>
      </c>
      <c r="M21" s="32">
        <v>2157.6999999999998</v>
      </c>
      <c r="N21" s="32">
        <v>79.5</v>
      </c>
      <c r="O21" s="32">
        <v>44.3</v>
      </c>
    </row>
    <row r="22" spans="1:15" ht="72" x14ac:dyDescent="0.2">
      <c r="A22" s="32" t="s">
        <v>1797</v>
      </c>
      <c r="B22" s="33" t="s">
        <v>1798</v>
      </c>
      <c r="C22" s="33" t="s">
        <v>4434</v>
      </c>
      <c r="D22" s="33" t="s">
        <v>4435</v>
      </c>
      <c r="E22" s="33" t="s">
        <v>4436</v>
      </c>
      <c r="F22" s="32">
        <v>75000</v>
      </c>
      <c r="G22" s="32">
        <v>4109.1000000000004</v>
      </c>
      <c r="J22" s="34" t="s">
        <v>4031</v>
      </c>
      <c r="L22" s="33" t="s">
        <v>4749</v>
      </c>
      <c r="M22" s="32">
        <v>3512</v>
      </c>
      <c r="N22" s="32">
        <v>147.80000000000001</v>
      </c>
      <c r="O22" s="32">
        <v>59.6</v>
      </c>
    </row>
    <row r="23" spans="1:15" ht="84" x14ac:dyDescent="0.2">
      <c r="A23" s="32" t="s">
        <v>1915</v>
      </c>
      <c r="B23" s="33" t="s">
        <v>4437</v>
      </c>
      <c r="C23" s="33" t="s">
        <v>902</v>
      </c>
      <c r="D23" s="33" t="s">
        <v>4438</v>
      </c>
      <c r="E23" s="33" t="s">
        <v>4425</v>
      </c>
      <c r="F23" s="32">
        <v>8000</v>
      </c>
      <c r="G23" s="32">
        <v>3308.7</v>
      </c>
      <c r="J23" s="34" t="s">
        <v>4031</v>
      </c>
      <c r="L23" s="33" t="s">
        <v>4750</v>
      </c>
      <c r="M23" s="32">
        <v>6249.6</v>
      </c>
      <c r="N23" s="32">
        <v>278.3</v>
      </c>
      <c r="O23" s="32">
        <v>73.599999999999994</v>
      </c>
    </row>
    <row r="24" spans="1:15" ht="84" x14ac:dyDescent="0.2">
      <c r="A24" s="32" t="s">
        <v>1811</v>
      </c>
      <c r="B24" s="33" t="s">
        <v>1812</v>
      </c>
      <c r="C24" s="33" t="s">
        <v>4434</v>
      </c>
      <c r="D24" s="33" t="s">
        <v>4439</v>
      </c>
      <c r="E24" s="33" t="s">
        <v>4425</v>
      </c>
      <c r="F24" s="32">
        <v>6500</v>
      </c>
      <c r="G24" s="32">
        <v>3815.9</v>
      </c>
      <c r="J24" s="34" t="s">
        <v>4031</v>
      </c>
      <c r="L24" s="33" t="s">
        <v>4751</v>
      </c>
      <c r="M24" s="32">
        <v>336.2</v>
      </c>
      <c r="N24" s="32">
        <v>24.1</v>
      </c>
      <c r="O24" s="32">
        <v>19.399999999999999</v>
      </c>
    </row>
    <row r="25" spans="1:15" ht="84" x14ac:dyDescent="0.2">
      <c r="A25" s="32" t="s">
        <v>1354</v>
      </c>
      <c r="B25" s="33" t="s">
        <v>1355</v>
      </c>
      <c r="C25" s="33" t="s">
        <v>866</v>
      </c>
      <c r="D25" s="33" t="s">
        <v>4440</v>
      </c>
      <c r="E25" s="33" t="s">
        <v>4425</v>
      </c>
      <c r="F25" s="32">
        <v>7300</v>
      </c>
      <c r="G25" s="32">
        <v>10783.3</v>
      </c>
      <c r="J25" s="34" t="s">
        <v>4031</v>
      </c>
      <c r="L25" s="33" t="s">
        <v>4752</v>
      </c>
      <c r="M25" s="32">
        <v>1964</v>
      </c>
      <c r="N25" s="32">
        <v>37.5</v>
      </c>
      <c r="O25" s="32">
        <v>27.3</v>
      </c>
    </row>
    <row r="26" spans="1:15" ht="96" x14ac:dyDescent="0.2">
      <c r="A26" s="32" t="s">
        <v>1448</v>
      </c>
      <c r="B26" s="33" t="s">
        <v>4441</v>
      </c>
      <c r="C26" s="33" t="s">
        <v>902</v>
      </c>
      <c r="D26" s="33" t="s">
        <v>4442</v>
      </c>
      <c r="E26" s="33" t="s">
        <v>4425</v>
      </c>
      <c r="F26" s="32">
        <v>21400</v>
      </c>
      <c r="G26" s="32">
        <v>8708.5</v>
      </c>
      <c r="J26" s="34" t="s">
        <v>4031</v>
      </c>
      <c r="L26" s="33" t="s">
        <v>4753</v>
      </c>
      <c r="M26" s="32">
        <v>1319.1</v>
      </c>
      <c r="N26" s="32">
        <v>41.6</v>
      </c>
      <c r="O26" s="32">
        <v>29.4</v>
      </c>
    </row>
    <row r="27" spans="1:15" ht="72" x14ac:dyDescent="0.2">
      <c r="A27" s="32" t="s">
        <v>1455</v>
      </c>
      <c r="B27" s="33" t="s">
        <v>4443</v>
      </c>
      <c r="C27" s="33" t="s">
        <v>922</v>
      </c>
      <c r="D27" s="33" t="s">
        <v>4427</v>
      </c>
      <c r="E27" s="33" t="s">
        <v>4425</v>
      </c>
      <c r="F27" s="32">
        <v>900</v>
      </c>
      <c r="G27" s="32">
        <v>8097.3</v>
      </c>
      <c r="J27" s="34" t="s">
        <v>4031</v>
      </c>
      <c r="L27" s="33" t="s">
        <v>4754</v>
      </c>
      <c r="M27" s="32">
        <v>4236</v>
      </c>
      <c r="N27" s="32">
        <v>279.10000000000002</v>
      </c>
      <c r="O27" s="32">
        <v>73.599999999999994</v>
      </c>
    </row>
    <row r="28" spans="1:15" ht="72" x14ac:dyDescent="0.2">
      <c r="A28" s="32" t="s">
        <v>1894</v>
      </c>
      <c r="B28" s="33" t="s">
        <v>4444</v>
      </c>
      <c r="C28" s="33" t="s">
        <v>904</v>
      </c>
      <c r="D28" s="33" t="s">
        <v>4445</v>
      </c>
      <c r="E28" s="33" t="s">
        <v>4425</v>
      </c>
      <c r="F28" s="32">
        <v>1373</v>
      </c>
      <c r="G28" s="32">
        <v>3298.9</v>
      </c>
      <c r="J28" s="34" t="s">
        <v>4031</v>
      </c>
      <c r="L28" s="33" t="s">
        <v>4755</v>
      </c>
      <c r="M28" s="32">
        <v>1649.4</v>
      </c>
      <c r="N28" s="32">
        <v>70.5</v>
      </c>
      <c r="O28" s="32">
        <v>41.3</v>
      </c>
    </row>
    <row r="29" spans="1:15" ht="84" x14ac:dyDescent="0.2">
      <c r="A29" s="32" t="s">
        <v>1686</v>
      </c>
      <c r="B29" s="33" t="s">
        <v>1687</v>
      </c>
      <c r="C29" s="33" t="s">
        <v>4428</v>
      </c>
      <c r="D29" s="33" t="s">
        <v>4429</v>
      </c>
      <c r="E29" s="33" t="s">
        <v>4425</v>
      </c>
      <c r="F29" s="32">
        <v>21000</v>
      </c>
      <c r="G29" s="32">
        <v>4203.3999999999996</v>
      </c>
      <c r="J29" s="34" t="s">
        <v>4031</v>
      </c>
      <c r="L29" s="33" t="s">
        <v>4756</v>
      </c>
      <c r="M29" s="32">
        <v>434.8</v>
      </c>
      <c r="N29" s="32">
        <v>48</v>
      </c>
      <c r="O29" s="32">
        <v>32.4</v>
      </c>
    </row>
    <row r="30" spans="1:15" ht="84" x14ac:dyDescent="0.2">
      <c r="A30" s="32" t="s">
        <v>1573</v>
      </c>
      <c r="B30" s="33" t="s">
        <v>4446</v>
      </c>
      <c r="C30" s="33" t="s">
        <v>866</v>
      </c>
      <c r="D30" s="33" t="s">
        <v>4447</v>
      </c>
      <c r="E30" s="33" t="s">
        <v>4425</v>
      </c>
      <c r="F30" s="32">
        <v>3900</v>
      </c>
      <c r="G30" s="32">
        <v>5726.6</v>
      </c>
      <c r="J30" s="34" t="s">
        <v>4031</v>
      </c>
      <c r="L30" s="33" t="s">
        <v>4757</v>
      </c>
      <c r="M30" s="32">
        <v>2491.8000000000002</v>
      </c>
      <c r="N30" s="32">
        <v>94.5</v>
      </c>
      <c r="O30" s="32">
        <v>48.6</v>
      </c>
    </row>
    <row r="31" spans="1:15" ht="84" x14ac:dyDescent="0.2">
      <c r="A31" s="32" t="s">
        <v>1614</v>
      </c>
      <c r="B31" s="33" t="s">
        <v>4448</v>
      </c>
      <c r="C31" s="33" t="s">
        <v>4430</v>
      </c>
      <c r="D31" s="33" t="s">
        <v>4449</v>
      </c>
      <c r="E31" s="33" t="s">
        <v>4425</v>
      </c>
      <c r="F31" s="32">
        <v>29050</v>
      </c>
      <c r="G31" s="32">
        <v>5250</v>
      </c>
      <c r="J31" s="34" t="s">
        <v>4031</v>
      </c>
      <c r="L31" s="33" t="s">
        <v>4758</v>
      </c>
      <c r="M31" s="32">
        <v>884.2</v>
      </c>
      <c r="N31" s="32">
        <v>32.4</v>
      </c>
      <c r="O31" s="32">
        <v>24.5</v>
      </c>
    </row>
    <row r="32" spans="1:15" ht="96" x14ac:dyDescent="0.2">
      <c r="A32" s="32" t="s">
        <v>1505</v>
      </c>
      <c r="B32" s="33" t="s">
        <v>4450</v>
      </c>
      <c r="C32" s="33" t="s">
        <v>4434</v>
      </c>
      <c r="D32" s="33" t="s">
        <v>4451</v>
      </c>
      <c r="E32" s="33" t="s">
        <v>4425</v>
      </c>
      <c r="F32" s="32">
        <v>21600</v>
      </c>
      <c r="G32" s="32">
        <v>7042.7</v>
      </c>
      <c r="J32" s="34" t="s">
        <v>4031</v>
      </c>
      <c r="L32" s="33" t="s">
        <v>4759</v>
      </c>
      <c r="M32" s="32">
        <v>2673.1</v>
      </c>
      <c r="N32" s="32">
        <v>113.4</v>
      </c>
      <c r="O32" s="32">
        <v>53.1</v>
      </c>
    </row>
    <row r="33" spans="1:15" ht="84" x14ac:dyDescent="0.2">
      <c r="A33" s="32" t="s">
        <v>1609</v>
      </c>
      <c r="B33" s="33" t="s">
        <v>1610</v>
      </c>
      <c r="C33" s="33" t="s">
        <v>4430</v>
      </c>
      <c r="D33" s="33" t="s">
        <v>4452</v>
      </c>
      <c r="E33" s="33" t="s">
        <v>4425</v>
      </c>
      <c r="F33" s="32">
        <v>280</v>
      </c>
      <c r="G33" s="32">
        <v>3745.2</v>
      </c>
      <c r="J33" s="34" t="s">
        <v>4031</v>
      </c>
      <c r="L33" s="33" t="s">
        <v>4760</v>
      </c>
      <c r="M33" s="32">
        <v>244</v>
      </c>
      <c r="N33" s="32">
        <v>50.2</v>
      </c>
      <c r="O33" s="32">
        <v>33.4</v>
      </c>
    </row>
    <row r="34" spans="1:15" ht="84" x14ac:dyDescent="0.2">
      <c r="A34" s="32" t="s">
        <v>1550</v>
      </c>
      <c r="B34" s="33" t="s">
        <v>1551</v>
      </c>
      <c r="C34" s="33" t="s">
        <v>4428</v>
      </c>
      <c r="D34" s="33" t="s">
        <v>4453</v>
      </c>
      <c r="E34" s="33" t="s">
        <v>4425</v>
      </c>
      <c r="F34" s="32">
        <v>329</v>
      </c>
      <c r="G34" s="32">
        <v>5281.7</v>
      </c>
      <c r="J34" s="34" t="s">
        <v>4031</v>
      </c>
      <c r="L34" s="33" t="s">
        <v>4761</v>
      </c>
      <c r="M34" s="32">
        <v>0</v>
      </c>
      <c r="N34" s="32">
        <v>0</v>
      </c>
      <c r="O34" s="32">
        <v>0</v>
      </c>
    </row>
    <row r="35" spans="1:15" ht="84" x14ac:dyDescent="0.2">
      <c r="A35" s="32" t="s">
        <v>1903</v>
      </c>
      <c r="B35" s="33" t="s">
        <v>4454</v>
      </c>
      <c r="C35" s="33" t="s">
        <v>866</v>
      </c>
      <c r="D35" s="33" t="s">
        <v>4455</v>
      </c>
      <c r="E35" s="33" t="s">
        <v>4425</v>
      </c>
      <c r="F35" s="32">
        <v>4100</v>
      </c>
      <c r="G35" s="32">
        <v>3682.8</v>
      </c>
      <c r="J35" s="34" t="s">
        <v>4031</v>
      </c>
      <c r="L35" s="33" t="s">
        <v>4762</v>
      </c>
      <c r="M35" s="32">
        <v>249.2</v>
      </c>
      <c r="N35" s="32">
        <v>6.6</v>
      </c>
      <c r="O35" s="32">
        <v>5.9</v>
      </c>
    </row>
    <row r="36" spans="1:15" ht="84" x14ac:dyDescent="0.2">
      <c r="A36" s="32" t="s">
        <v>1612</v>
      </c>
      <c r="B36" s="33" t="s">
        <v>4456</v>
      </c>
      <c r="C36" s="33" t="s">
        <v>4423</v>
      </c>
      <c r="D36" s="33" t="s">
        <v>4457</v>
      </c>
      <c r="E36" s="33" t="s">
        <v>4425</v>
      </c>
      <c r="F36" s="32">
        <v>4100</v>
      </c>
      <c r="G36" s="32">
        <v>5434.2</v>
      </c>
      <c r="J36" s="34" t="s">
        <v>4031</v>
      </c>
      <c r="L36" s="33" t="s">
        <v>4763</v>
      </c>
      <c r="M36" s="32">
        <v>1596</v>
      </c>
      <c r="N36" s="32">
        <v>58</v>
      </c>
      <c r="O36" s="32">
        <v>36.700000000000003</v>
      </c>
    </row>
    <row r="37" spans="1:15" ht="96" x14ac:dyDescent="0.2">
      <c r="A37" s="32" t="s">
        <v>1480</v>
      </c>
      <c r="B37" s="33" t="s">
        <v>4458</v>
      </c>
      <c r="C37" s="33" t="s">
        <v>4423</v>
      </c>
      <c r="D37" s="33" t="s">
        <v>4459</v>
      </c>
      <c r="E37" s="33" t="s">
        <v>4425</v>
      </c>
      <c r="F37" s="32">
        <v>13000</v>
      </c>
      <c r="G37" s="32">
        <v>7582.6</v>
      </c>
      <c r="J37" s="34" t="s">
        <v>4031</v>
      </c>
      <c r="L37" s="33" t="s">
        <v>4764</v>
      </c>
      <c r="M37" s="32">
        <v>915.8</v>
      </c>
      <c r="N37" s="32">
        <v>46.8</v>
      </c>
      <c r="O37" s="32">
        <v>31.9</v>
      </c>
    </row>
    <row r="38" spans="1:15" ht="96" x14ac:dyDescent="0.2">
      <c r="A38" s="32" t="s">
        <v>1841</v>
      </c>
      <c r="B38" s="33" t="s">
        <v>4460</v>
      </c>
      <c r="C38" s="33" t="s">
        <v>4430</v>
      </c>
      <c r="D38" s="33" t="s">
        <v>4461</v>
      </c>
      <c r="E38" s="33" t="s">
        <v>4425</v>
      </c>
      <c r="F38" s="32">
        <v>14500</v>
      </c>
      <c r="G38" s="32">
        <v>3891.5</v>
      </c>
      <c r="J38" s="34" t="s">
        <v>4031</v>
      </c>
      <c r="L38" s="33" t="s">
        <v>4765</v>
      </c>
      <c r="M38" s="32">
        <v>1389.7</v>
      </c>
      <c r="N38" s="32">
        <v>33.5</v>
      </c>
      <c r="O38" s="32">
        <v>25.1</v>
      </c>
    </row>
    <row r="39" spans="1:15" ht="84" x14ac:dyDescent="0.2">
      <c r="A39" s="32" t="s">
        <v>1381</v>
      </c>
      <c r="B39" s="33" t="s">
        <v>4462</v>
      </c>
      <c r="C39" s="33" t="s">
        <v>902</v>
      </c>
      <c r="D39" s="33" t="s">
        <v>4463</v>
      </c>
      <c r="E39" s="33" t="s">
        <v>4425</v>
      </c>
      <c r="F39" s="32">
        <v>1710</v>
      </c>
      <c r="G39" s="32">
        <v>8776.9</v>
      </c>
      <c r="J39" s="34" t="s">
        <v>4031</v>
      </c>
      <c r="L39" s="33" t="s">
        <v>4766</v>
      </c>
      <c r="M39" s="32">
        <v>0</v>
      </c>
      <c r="N39" s="32">
        <v>0</v>
      </c>
      <c r="O39" s="32">
        <v>0</v>
      </c>
    </row>
    <row r="40" spans="1:15" ht="84" x14ac:dyDescent="0.2">
      <c r="A40" s="32" t="s">
        <v>1496</v>
      </c>
      <c r="B40" s="33" t="s">
        <v>4464</v>
      </c>
      <c r="C40" s="33" t="s">
        <v>4430</v>
      </c>
      <c r="D40" s="33" t="s">
        <v>4449</v>
      </c>
      <c r="E40" s="33" t="s">
        <v>4425</v>
      </c>
      <c r="F40" s="32">
        <v>2900</v>
      </c>
      <c r="G40" s="32">
        <v>6008</v>
      </c>
      <c r="J40" s="34" t="s">
        <v>4031</v>
      </c>
      <c r="L40" s="33" t="s">
        <v>4767</v>
      </c>
      <c r="M40" s="32">
        <v>49.7</v>
      </c>
      <c r="N40" s="32">
        <v>3.7</v>
      </c>
      <c r="O40" s="32">
        <v>3.6</v>
      </c>
    </row>
    <row r="41" spans="1:15" ht="84" x14ac:dyDescent="0.2">
      <c r="A41" s="32" t="s">
        <v>1501</v>
      </c>
      <c r="B41" s="33" t="s">
        <v>4465</v>
      </c>
      <c r="C41" s="33" t="s">
        <v>4434</v>
      </c>
      <c r="D41" s="33" t="s">
        <v>4466</v>
      </c>
      <c r="E41" s="33" t="s">
        <v>4425</v>
      </c>
      <c r="F41" s="32">
        <v>14382</v>
      </c>
      <c r="G41" s="32">
        <v>6712.7</v>
      </c>
      <c r="J41" s="34" t="s">
        <v>4031</v>
      </c>
      <c r="L41" s="33" t="s">
        <v>4768</v>
      </c>
      <c r="M41" s="32">
        <v>1787.7</v>
      </c>
      <c r="N41" s="32">
        <v>96.6</v>
      </c>
      <c r="O41" s="32">
        <v>49.1</v>
      </c>
    </row>
    <row r="42" spans="1:15" ht="84" x14ac:dyDescent="0.2">
      <c r="A42" s="32" t="s">
        <v>1925</v>
      </c>
      <c r="B42" s="33" t="s">
        <v>4467</v>
      </c>
      <c r="C42" s="33" t="s">
        <v>902</v>
      </c>
      <c r="D42" s="33" t="s">
        <v>4438</v>
      </c>
      <c r="E42" s="33" t="s">
        <v>4425</v>
      </c>
      <c r="F42" s="32">
        <v>73700</v>
      </c>
      <c r="G42" s="32">
        <v>3371</v>
      </c>
      <c r="J42" s="34" t="s">
        <v>4031</v>
      </c>
      <c r="L42" s="33" t="s">
        <v>4769</v>
      </c>
      <c r="M42" s="32">
        <v>2701.1</v>
      </c>
      <c r="O42" s="32">
        <v>95.7</v>
      </c>
    </row>
    <row r="43" spans="1:15" ht="96" x14ac:dyDescent="0.2">
      <c r="A43" s="32" t="s">
        <v>1977</v>
      </c>
      <c r="B43" s="33" t="s">
        <v>4468</v>
      </c>
      <c r="C43" s="33" t="s">
        <v>4430</v>
      </c>
      <c r="D43" s="33" t="s">
        <v>4469</v>
      </c>
      <c r="E43" s="33" t="s">
        <v>4425</v>
      </c>
      <c r="F43" s="32">
        <v>6200</v>
      </c>
      <c r="G43" s="32">
        <v>2458.6</v>
      </c>
      <c r="J43" s="40" t="s">
        <v>4031</v>
      </c>
      <c r="L43" s="33" t="s">
        <v>4770</v>
      </c>
      <c r="M43" s="32">
        <v>1492.6</v>
      </c>
      <c r="N43" s="32">
        <v>158.9</v>
      </c>
      <c r="O43" s="32">
        <v>61.4</v>
      </c>
    </row>
    <row r="44" spans="1:15" ht="84" x14ac:dyDescent="0.2">
      <c r="A44" s="32" t="s">
        <v>1829</v>
      </c>
      <c r="B44" s="33" t="s">
        <v>4470</v>
      </c>
      <c r="C44" s="33" t="s">
        <v>866</v>
      </c>
      <c r="D44" s="33" t="s">
        <v>4471</v>
      </c>
      <c r="E44" s="33" t="s">
        <v>4425</v>
      </c>
      <c r="F44" s="32">
        <v>1400</v>
      </c>
      <c r="G44" s="32">
        <v>4290.3</v>
      </c>
      <c r="J44" s="34" t="s">
        <v>4031</v>
      </c>
      <c r="L44" s="33" t="s">
        <v>4771</v>
      </c>
      <c r="M44" s="32">
        <v>3436</v>
      </c>
      <c r="N44" s="32">
        <v>21.4</v>
      </c>
      <c r="O44" s="32">
        <v>17.7</v>
      </c>
    </row>
    <row r="45" spans="1:15" ht="84" x14ac:dyDescent="0.2">
      <c r="A45" s="32" t="s">
        <v>1791</v>
      </c>
      <c r="B45" s="33" t="s">
        <v>1792</v>
      </c>
      <c r="C45" s="33" t="s">
        <v>904</v>
      </c>
      <c r="D45" s="33" t="s">
        <v>4472</v>
      </c>
      <c r="E45" s="33" t="s">
        <v>4425</v>
      </c>
      <c r="F45" s="32">
        <v>3011</v>
      </c>
      <c r="G45" s="32">
        <v>4263.2</v>
      </c>
      <c r="J45" s="34" t="s">
        <v>4031</v>
      </c>
      <c r="L45" s="33" t="s">
        <v>4772</v>
      </c>
      <c r="M45" s="32">
        <v>4125.6000000000004</v>
      </c>
      <c r="N45" s="32">
        <v>152.9</v>
      </c>
      <c r="O45" s="32">
        <v>60.5</v>
      </c>
    </row>
    <row r="46" spans="1:15" ht="72" x14ac:dyDescent="0.2">
      <c r="A46" s="32" t="s">
        <v>1868</v>
      </c>
      <c r="B46" s="33" t="s">
        <v>4473</v>
      </c>
      <c r="C46" s="33" t="s">
        <v>4430</v>
      </c>
      <c r="D46" s="33" t="s">
        <v>4452</v>
      </c>
      <c r="E46" s="33" t="s">
        <v>4425</v>
      </c>
      <c r="F46" s="32">
        <v>3100</v>
      </c>
      <c r="G46" s="32">
        <v>3115.6</v>
      </c>
      <c r="J46" s="40" t="s">
        <v>4031</v>
      </c>
      <c r="L46" s="33" t="s">
        <v>4773</v>
      </c>
      <c r="M46" s="32">
        <v>514.4</v>
      </c>
      <c r="N46" s="32">
        <v>129.6</v>
      </c>
      <c r="O46" s="32">
        <v>56.5</v>
      </c>
    </row>
    <row r="47" spans="1:15" ht="84" x14ac:dyDescent="0.2">
      <c r="A47" s="32" t="s">
        <v>1905</v>
      </c>
      <c r="B47" s="33" t="s">
        <v>4474</v>
      </c>
      <c r="C47" s="33" t="s">
        <v>866</v>
      </c>
      <c r="D47" s="33" t="s">
        <v>4455</v>
      </c>
      <c r="E47" s="33" t="s">
        <v>4425</v>
      </c>
      <c r="F47" s="32">
        <v>2049</v>
      </c>
      <c r="G47" s="32">
        <v>3487.1</v>
      </c>
      <c r="J47" s="34" t="s">
        <v>4031</v>
      </c>
      <c r="L47" s="33" t="s">
        <v>4774</v>
      </c>
      <c r="M47" s="32">
        <v>10.4</v>
      </c>
      <c r="N47" s="32">
        <v>0.7</v>
      </c>
      <c r="O47" s="32">
        <v>0.6</v>
      </c>
    </row>
    <row r="48" spans="1:15" ht="72" x14ac:dyDescent="0.2">
      <c r="A48" s="32" t="s">
        <v>1512</v>
      </c>
      <c r="B48" s="33" t="s">
        <v>1513</v>
      </c>
      <c r="C48" s="33" t="s">
        <v>922</v>
      </c>
      <c r="D48" s="33" t="s">
        <v>4477</v>
      </c>
      <c r="E48" s="33" t="s">
        <v>4425</v>
      </c>
      <c r="F48" s="32">
        <v>480</v>
      </c>
      <c r="G48" s="32">
        <v>7368.3</v>
      </c>
      <c r="J48" s="34" t="s">
        <v>4031</v>
      </c>
      <c r="L48" s="33" t="s">
        <v>4776</v>
      </c>
      <c r="M48" s="32">
        <v>5163.3999999999996</v>
      </c>
      <c r="N48" s="32">
        <v>191.8</v>
      </c>
      <c r="O48" s="32">
        <v>65.7</v>
      </c>
    </row>
    <row r="49" spans="1:15" ht="96" x14ac:dyDescent="0.2">
      <c r="A49" s="32" t="s">
        <v>1522</v>
      </c>
      <c r="B49" s="33" t="s">
        <v>4478</v>
      </c>
      <c r="C49" s="33" t="s">
        <v>4434</v>
      </c>
      <c r="D49" s="33" t="s">
        <v>4479</v>
      </c>
      <c r="E49" s="33" t="s">
        <v>4425</v>
      </c>
      <c r="F49" s="32">
        <v>14284</v>
      </c>
      <c r="G49" s="32">
        <v>6678.9</v>
      </c>
      <c r="J49" s="34" t="s">
        <v>4031</v>
      </c>
      <c r="L49" s="33" t="s">
        <v>4777</v>
      </c>
      <c r="M49" s="32">
        <v>3292.9</v>
      </c>
      <c r="N49" s="32">
        <v>218.4</v>
      </c>
      <c r="O49" s="32">
        <v>68.599999999999994</v>
      </c>
    </row>
    <row r="50" spans="1:15" ht="96" x14ac:dyDescent="0.2">
      <c r="A50" s="32" t="s">
        <v>1944</v>
      </c>
      <c r="B50" s="33" t="s">
        <v>4481</v>
      </c>
      <c r="C50" s="33" t="s">
        <v>866</v>
      </c>
      <c r="D50" s="33" t="s">
        <v>4455</v>
      </c>
      <c r="E50" s="33" t="s">
        <v>4425</v>
      </c>
      <c r="F50" s="32">
        <v>4596</v>
      </c>
      <c r="G50" s="32">
        <v>6107.6</v>
      </c>
      <c r="J50" s="34" t="s">
        <v>4031</v>
      </c>
      <c r="L50" s="33" t="s">
        <v>4779</v>
      </c>
      <c r="M50" s="32">
        <v>307.8</v>
      </c>
      <c r="N50" s="32">
        <v>10.8</v>
      </c>
      <c r="O50" s="32">
        <v>9.1999999999999993</v>
      </c>
    </row>
    <row r="51" spans="1:15" ht="84" x14ac:dyDescent="0.2">
      <c r="A51" s="32" t="s">
        <v>1917</v>
      </c>
      <c r="B51" s="33" t="s">
        <v>1918</v>
      </c>
      <c r="C51" s="33" t="s">
        <v>866</v>
      </c>
      <c r="D51" s="33" t="s">
        <v>4455</v>
      </c>
      <c r="E51" s="33" t="s">
        <v>4425</v>
      </c>
      <c r="F51" s="32">
        <v>1205</v>
      </c>
      <c r="G51" s="32">
        <v>3401.7</v>
      </c>
      <c r="J51" s="34" t="s">
        <v>4031</v>
      </c>
      <c r="L51" s="33" t="s">
        <v>4781</v>
      </c>
      <c r="M51" s="32">
        <v>142.30000000000001</v>
      </c>
      <c r="N51" s="32">
        <v>5.8</v>
      </c>
      <c r="O51" s="32">
        <v>5.5</v>
      </c>
    </row>
    <row r="52" spans="1:15" ht="84" x14ac:dyDescent="0.2">
      <c r="A52" s="32" t="s">
        <v>1949</v>
      </c>
      <c r="B52" s="33" t="s">
        <v>4484</v>
      </c>
      <c r="C52" s="33" t="s">
        <v>4434</v>
      </c>
      <c r="D52" s="33" t="s">
        <v>4485</v>
      </c>
      <c r="E52" s="33" t="s">
        <v>4425</v>
      </c>
      <c r="F52" s="32">
        <v>70000</v>
      </c>
      <c r="G52" s="32">
        <v>2737.5</v>
      </c>
      <c r="J52" s="40" t="s">
        <v>4031</v>
      </c>
      <c r="L52" s="33" t="s">
        <v>4782</v>
      </c>
      <c r="M52" s="32">
        <v>377</v>
      </c>
      <c r="N52" s="32">
        <v>59.9</v>
      </c>
      <c r="O52" s="32">
        <v>37.5</v>
      </c>
    </row>
    <row r="53" spans="1:15" ht="96" x14ac:dyDescent="0.2">
      <c r="A53" s="32" t="s">
        <v>1482</v>
      </c>
      <c r="B53" s="33" t="s">
        <v>4486</v>
      </c>
      <c r="C53" s="33" t="s">
        <v>866</v>
      </c>
      <c r="D53" s="33" t="s">
        <v>4455</v>
      </c>
      <c r="E53" s="33" t="s">
        <v>4425</v>
      </c>
      <c r="F53" s="32">
        <v>4582</v>
      </c>
      <c r="G53" s="32">
        <v>8322.7000000000007</v>
      </c>
      <c r="J53" s="34" t="s">
        <v>4031</v>
      </c>
      <c r="L53" s="33" t="s">
        <v>4783</v>
      </c>
      <c r="M53" s="32">
        <v>4</v>
      </c>
      <c r="N53" s="32">
        <v>0.1</v>
      </c>
      <c r="O53" s="32">
        <v>0.1</v>
      </c>
    </row>
    <row r="54" spans="1:15" ht="96" x14ac:dyDescent="0.2">
      <c r="A54" s="32" t="s">
        <v>1935</v>
      </c>
      <c r="B54" s="33" t="s">
        <v>1936</v>
      </c>
      <c r="C54" s="33" t="s">
        <v>4423</v>
      </c>
      <c r="D54" s="33" t="s">
        <v>4487</v>
      </c>
      <c r="E54" s="33" t="s">
        <v>4425</v>
      </c>
      <c r="F54" s="32">
        <v>4500</v>
      </c>
      <c r="G54" s="32">
        <v>3107.1</v>
      </c>
      <c r="J54" s="40" t="s">
        <v>4031</v>
      </c>
      <c r="L54" s="33" t="s">
        <v>4784</v>
      </c>
      <c r="M54" s="32">
        <v>717</v>
      </c>
      <c r="N54" s="32">
        <v>75.7</v>
      </c>
      <c r="O54" s="32">
        <v>43.1</v>
      </c>
    </row>
    <row r="55" spans="1:15" ht="84" x14ac:dyDescent="0.2">
      <c r="A55" s="32" t="s">
        <v>1678</v>
      </c>
      <c r="B55" s="33" t="s">
        <v>4488</v>
      </c>
      <c r="C55" s="33" t="s">
        <v>4423</v>
      </c>
      <c r="D55" s="33" t="s">
        <v>4489</v>
      </c>
      <c r="E55" s="33" t="s">
        <v>4425</v>
      </c>
      <c r="F55" s="32">
        <v>6500</v>
      </c>
      <c r="G55" s="32">
        <v>5314.2</v>
      </c>
      <c r="J55" s="34" t="s">
        <v>4031</v>
      </c>
      <c r="L55" s="33" t="s">
        <v>4785</v>
      </c>
      <c r="M55" s="32">
        <v>3829</v>
      </c>
      <c r="N55" s="32">
        <v>383.7</v>
      </c>
      <c r="O55" s="32">
        <v>79.3</v>
      </c>
    </row>
    <row r="56" spans="1:15" ht="84" x14ac:dyDescent="0.2">
      <c r="A56" s="32" t="s">
        <v>1745</v>
      </c>
      <c r="B56" s="33" t="s">
        <v>1746</v>
      </c>
      <c r="C56" s="33" t="s">
        <v>4430</v>
      </c>
      <c r="D56" s="33" t="s">
        <v>4452</v>
      </c>
      <c r="E56" s="33" t="s">
        <v>4425</v>
      </c>
      <c r="F56" s="32">
        <v>6500</v>
      </c>
      <c r="G56" s="32">
        <v>4950</v>
      </c>
      <c r="J56" s="34" t="s">
        <v>4031</v>
      </c>
      <c r="L56" s="33" t="s">
        <v>4786</v>
      </c>
      <c r="M56" s="32">
        <v>1586.1</v>
      </c>
      <c r="N56" s="32">
        <v>354.5</v>
      </c>
      <c r="O56" s="32">
        <v>78</v>
      </c>
    </row>
    <row r="57" spans="1:15" ht="84" x14ac:dyDescent="0.2">
      <c r="A57" s="32" t="s">
        <v>1474</v>
      </c>
      <c r="B57" s="33" t="s">
        <v>4490</v>
      </c>
      <c r="C57" s="33" t="s">
        <v>866</v>
      </c>
      <c r="D57" s="33" t="s">
        <v>4455</v>
      </c>
      <c r="E57" s="33" t="s">
        <v>4425</v>
      </c>
      <c r="F57" s="32">
        <v>4685</v>
      </c>
      <c r="G57" s="32">
        <v>8320.5</v>
      </c>
      <c r="J57" s="34" t="s">
        <v>4031</v>
      </c>
      <c r="L57" s="33" t="s">
        <v>4787</v>
      </c>
      <c r="M57" s="32">
        <v>235.5</v>
      </c>
      <c r="N57" s="32">
        <v>5.6</v>
      </c>
      <c r="O57" s="32">
        <v>5.0999999999999996</v>
      </c>
    </row>
    <row r="58" spans="1:15" ht="96" x14ac:dyDescent="0.2">
      <c r="A58" s="32" t="s">
        <v>1586</v>
      </c>
      <c r="B58" s="33" t="s">
        <v>1587</v>
      </c>
      <c r="C58" s="33" t="s">
        <v>902</v>
      </c>
      <c r="D58" s="33" t="s">
        <v>4491</v>
      </c>
      <c r="E58" s="33" t="s">
        <v>4425</v>
      </c>
      <c r="F58" s="32">
        <v>15400</v>
      </c>
      <c r="G58" s="32">
        <v>6406.8</v>
      </c>
      <c r="J58" s="34" t="s">
        <v>4031</v>
      </c>
      <c r="L58" s="33" t="s">
        <v>4788</v>
      </c>
      <c r="M58" s="32">
        <v>1611.7</v>
      </c>
      <c r="N58" s="32">
        <v>35.1</v>
      </c>
      <c r="O58" s="32">
        <v>26</v>
      </c>
    </row>
    <row r="59" spans="1:15" ht="84" x14ac:dyDescent="0.2">
      <c r="A59" s="32" t="s">
        <v>1316</v>
      </c>
      <c r="B59" s="33" t="s">
        <v>4492</v>
      </c>
      <c r="C59" s="33" t="s">
        <v>902</v>
      </c>
      <c r="D59" s="33" t="s">
        <v>4491</v>
      </c>
      <c r="E59" s="33" t="s">
        <v>4425</v>
      </c>
      <c r="F59" s="32">
        <v>2055</v>
      </c>
      <c r="G59" s="32">
        <v>11239.1</v>
      </c>
      <c r="J59" s="34" t="s">
        <v>4031</v>
      </c>
      <c r="L59" s="33" t="s">
        <v>4789</v>
      </c>
      <c r="M59" s="32">
        <v>0</v>
      </c>
      <c r="N59" s="32">
        <v>0</v>
      </c>
      <c r="O59" s="32">
        <v>0</v>
      </c>
    </row>
    <row r="60" spans="1:15" ht="84" x14ac:dyDescent="0.2">
      <c r="A60" s="32" t="s">
        <v>1424</v>
      </c>
      <c r="B60" s="33" t="s">
        <v>4493</v>
      </c>
      <c r="C60" s="33" t="s">
        <v>4434</v>
      </c>
      <c r="D60" s="33" t="s">
        <v>4479</v>
      </c>
      <c r="E60" s="33" t="s">
        <v>4425</v>
      </c>
      <c r="F60" s="32">
        <v>7000</v>
      </c>
      <c r="G60" s="32">
        <v>7703</v>
      </c>
      <c r="J60" s="34" t="s">
        <v>4031</v>
      </c>
      <c r="L60" s="33" t="s">
        <v>4790</v>
      </c>
      <c r="M60" s="32">
        <v>1962</v>
      </c>
      <c r="N60" s="32">
        <v>579.1</v>
      </c>
      <c r="O60" s="32">
        <v>85.3</v>
      </c>
    </row>
    <row r="61" spans="1:15" ht="84" x14ac:dyDescent="0.2">
      <c r="A61" s="32" t="s">
        <v>1845</v>
      </c>
      <c r="B61" s="33" t="s">
        <v>4496</v>
      </c>
      <c r="C61" s="33" t="s">
        <v>885</v>
      </c>
      <c r="D61" s="33" t="s">
        <v>4497</v>
      </c>
      <c r="E61" s="33" t="s">
        <v>4425</v>
      </c>
      <c r="F61" s="32">
        <v>6600</v>
      </c>
      <c r="G61" s="32">
        <v>4801.2</v>
      </c>
      <c r="J61" s="34" t="s">
        <v>4031</v>
      </c>
      <c r="L61" s="33" t="s">
        <v>4792</v>
      </c>
      <c r="M61" s="32">
        <v>743.6</v>
      </c>
      <c r="N61" s="32">
        <v>43.1</v>
      </c>
      <c r="O61" s="32">
        <v>30.1</v>
      </c>
    </row>
    <row r="62" spans="1:15" x14ac:dyDescent="0.2">
      <c r="A62" s="32" t="s">
        <v>1740</v>
      </c>
      <c r="J62" s="34" t="s">
        <v>4031</v>
      </c>
    </row>
    <row r="63" spans="1:15" ht="84" x14ac:dyDescent="0.2">
      <c r="A63" s="32" t="s">
        <v>1384</v>
      </c>
      <c r="B63" s="33" t="s">
        <v>4498</v>
      </c>
      <c r="C63" s="33" t="s">
        <v>4423</v>
      </c>
      <c r="D63" s="33" t="s">
        <v>4499</v>
      </c>
      <c r="E63" s="33" t="s">
        <v>4425</v>
      </c>
      <c r="F63" s="32">
        <v>25000</v>
      </c>
      <c r="G63" s="32">
        <v>8131.5</v>
      </c>
      <c r="J63" s="34" t="s">
        <v>4031</v>
      </c>
      <c r="L63" s="33" t="s">
        <v>4793</v>
      </c>
      <c r="M63" s="32">
        <v>5350</v>
      </c>
      <c r="N63" s="32">
        <v>133.9</v>
      </c>
      <c r="O63" s="32">
        <v>57.2</v>
      </c>
    </row>
    <row r="64" spans="1:15" ht="84" x14ac:dyDescent="0.2">
      <c r="A64" s="32" t="s">
        <v>1688</v>
      </c>
      <c r="B64" s="33" t="s">
        <v>1689</v>
      </c>
      <c r="C64" s="33" t="s">
        <v>902</v>
      </c>
      <c r="D64" s="33" t="s">
        <v>4500</v>
      </c>
      <c r="E64" s="33" t="s">
        <v>4425</v>
      </c>
      <c r="F64" s="32">
        <v>13500</v>
      </c>
      <c r="G64" s="32">
        <v>4954.8</v>
      </c>
      <c r="J64" s="34" t="s">
        <v>4031</v>
      </c>
      <c r="L64" s="33" t="s">
        <v>4794</v>
      </c>
      <c r="M64" s="32">
        <v>1546.3</v>
      </c>
      <c r="N64" s="32">
        <v>105.7</v>
      </c>
      <c r="O64" s="32">
        <v>51.4</v>
      </c>
    </row>
    <row r="65" spans="1:15" ht="72" x14ac:dyDescent="0.2">
      <c r="A65" s="32" t="s">
        <v>2015</v>
      </c>
      <c r="B65" s="33" t="s">
        <v>4501</v>
      </c>
      <c r="C65" s="33" t="s">
        <v>4423</v>
      </c>
      <c r="D65" s="33" t="s">
        <v>4502</v>
      </c>
      <c r="E65" s="33" t="s">
        <v>4425</v>
      </c>
      <c r="F65" s="32">
        <v>2223</v>
      </c>
      <c r="G65" s="32">
        <v>1750.6</v>
      </c>
      <c r="J65" s="40" t="s">
        <v>4031</v>
      </c>
      <c r="L65" s="33" t="s">
        <v>4795</v>
      </c>
      <c r="M65" s="32">
        <v>935.4</v>
      </c>
      <c r="N65" s="32">
        <v>319.10000000000002</v>
      </c>
      <c r="O65" s="32">
        <v>76.099999999999994</v>
      </c>
    </row>
    <row r="66" spans="1:15" ht="84" x14ac:dyDescent="0.2">
      <c r="A66" s="32" t="s">
        <v>1958</v>
      </c>
      <c r="B66" s="33" t="s">
        <v>1959</v>
      </c>
      <c r="C66" s="33" t="s">
        <v>866</v>
      </c>
      <c r="D66" s="33" t="s">
        <v>4503</v>
      </c>
      <c r="E66" s="33" t="s">
        <v>4425</v>
      </c>
      <c r="F66" s="32">
        <v>3400</v>
      </c>
      <c r="G66" s="32">
        <v>3111.2</v>
      </c>
      <c r="J66" s="40" t="s">
        <v>4031</v>
      </c>
      <c r="L66" s="33" t="s">
        <v>4796</v>
      </c>
      <c r="M66" s="32">
        <v>4029.5</v>
      </c>
      <c r="N66" s="32">
        <v>77</v>
      </c>
      <c r="O66" s="32">
        <v>43.5</v>
      </c>
    </row>
    <row r="67" spans="1:15" ht="84" x14ac:dyDescent="0.2">
      <c r="A67" s="32" t="s">
        <v>1960</v>
      </c>
      <c r="B67" s="33" t="s">
        <v>4504</v>
      </c>
      <c r="C67" s="33" t="s">
        <v>885</v>
      </c>
      <c r="D67" s="33" t="s">
        <v>4505</v>
      </c>
      <c r="E67" s="33" t="s">
        <v>4425</v>
      </c>
      <c r="F67" s="32">
        <v>451</v>
      </c>
      <c r="G67" s="32">
        <v>3062.4</v>
      </c>
      <c r="J67" s="40" t="s">
        <v>4031</v>
      </c>
      <c r="L67" s="33" t="s">
        <v>4797</v>
      </c>
      <c r="M67" s="32">
        <v>2204.8000000000002</v>
      </c>
      <c r="N67" s="32">
        <v>69.2</v>
      </c>
      <c r="O67" s="32">
        <v>40.9</v>
      </c>
    </row>
    <row r="68" spans="1:15" ht="84" x14ac:dyDescent="0.2">
      <c r="A68" s="32" t="s">
        <v>1415</v>
      </c>
      <c r="B68" s="33" t="s">
        <v>4506</v>
      </c>
      <c r="C68" s="33" t="s">
        <v>902</v>
      </c>
      <c r="D68" s="33" t="s">
        <v>4438</v>
      </c>
      <c r="E68" s="33" t="s">
        <v>4425</v>
      </c>
      <c r="F68" s="32">
        <v>270000</v>
      </c>
      <c r="G68" s="32">
        <v>9491.7999999999993</v>
      </c>
      <c r="J68" s="34" t="s">
        <v>4031</v>
      </c>
      <c r="L68" s="33" t="s">
        <v>4798</v>
      </c>
      <c r="M68" s="32">
        <v>865.8</v>
      </c>
      <c r="N68" s="32">
        <v>33.700000000000003</v>
      </c>
      <c r="O68" s="32">
        <v>25.2</v>
      </c>
    </row>
    <row r="69" spans="1:15" ht="84" x14ac:dyDescent="0.2">
      <c r="A69" s="32" t="s">
        <v>1582</v>
      </c>
      <c r="B69" s="33" t="s">
        <v>4507</v>
      </c>
      <c r="C69" s="33" t="s">
        <v>4430</v>
      </c>
      <c r="D69" s="33" t="s">
        <v>4461</v>
      </c>
      <c r="E69" s="33" t="s">
        <v>4425</v>
      </c>
      <c r="F69" s="32">
        <v>5085</v>
      </c>
      <c r="G69" s="32">
        <v>6156</v>
      </c>
      <c r="J69" s="34" t="s">
        <v>4031</v>
      </c>
      <c r="L69" s="33" t="s">
        <v>4799</v>
      </c>
      <c r="M69" s="32">
        <v>425.8</v>
      </c>
      <c r="N69" s="32">
        <v>49</v>
      </c>
      <c r="O69" s="32">
        <v>32.9</v>
      </c>
    </row>
    <row r="70" spans="1:15" ht="84" x14ac:dyDescent="0.2">
      <c r="A70" s="32" t="s">
        <v>1591</v>
      </c>
      <c r="B70" s="33" t="s">
        <v>4508</v>
      </c>
      <c r="C70" s="33" t="s">
        <v>4434</v>
      </c>
      <c r="D70" s="33" t="s">
        <v>4509</v>
      </c>
      <c r="E70" s="33" t="s">
        <v>4425</v>
      </c>
      <c r="F70" s="32">
        <v>7275</v>
      </c>
      <c r="G70" s="32">
        <v>5681.1</v>
      </c>
      <c r="J70" s="34" t="s">
        <v>4031</v>
      </c>
      <c r="L70" s="33" t="s">
        <v>4800</v>
      </c>
      <c r="M70" s="32">
        <v>0</v>
      </c>
      <c r="N70" s="32">
        <v>0</v>
      </c>
      <c r="O70" s="32">
        <v>0</v>
      </c>
    </row>
    <row r="71" spans="1:15" ht="84" x14ac:dyDescent="0.2">
      <c r="A71" s="32" t="s">
        <v>1361</v>
      </c>
      <c r="B71" s="33" t="s">
        <v>1362</v>
      </c>
      <c r="C71" s="33" t="s">
        <v>922</v>
      </c>
      <c r="D71" s="33" t="s">
        <v>4510</v>
      </c>
      <c r="E71" s="33" t="s">
        <v>4425</v>
      </c>
      <c r="F71" s="32">
        <v>441</v>
      </c>
      <c r="G71" s="32">
        <v>11588.7</v>
      </c>
      <c r="J71" s="34" t="s">
        <v>4031</v>
      </c>
      <c r="L71" s="33" t="s">
        <v>4801</v>
      </c>
      <c r="M71" s="32">
        <v>3672.3</v>
      </c>
      <c r="N71" s="32">
        <v>130.9</v>
      </c>
      <c r="O71" s="32">
        <v>56.7</v>
      </c>
    </row>
    <row r="72" spans="1:15" ht="84" x14ac:dyDescent="0.2">
      <c r="A72" s="32" t="s">
        <v>1457</v>
      </c>
      <c r="B72" s="33" t="s">
        <v>4511</v>
      </c>
      <c r="C72" s="33" t="s">
        <v>4512</v>
      </c>
      <c r="D72" s="33" t="s">
        <v>4513</v>
      </c>
      <c r="E72" s="33" t="s">
        <v>4425</v>
      </c>
      <c r="F72" s="32">
        <v>11430</v>
      </c>
      <c r="G72" s="32">
        <v>6809.7</v>
      </c>
      <c r="J72" s="34" t="s">
        <v>4031</v>
      </c>
      <c r="L72" s="33" t="s">
        <v>4802</v>
      </c>
      <c r="M72" s="32">
        <v>5703.7</v>
      </c>
      <c r="N72" s="32">
        <v>175.9</v>
      </c>
      <c r="O72" s="32">
        <v>63.7</v>
      </c>
    </row>
    <row r="73" spans="1:15" ht="84" x14ac:dyDescent="0.2">
      <c r="A73" s="32" t="s">
        <v>1402</v>
      </c>
      <c r="B73" s="33" t="s">
        <v>4514</v>
      </c>
      <c r="C73" s="33" t="s">
        <v>4434</v>
      </c>
      <c r="D73" s="33" t="s">
        <v>4439</v>
      </c>
      <c r="E73" s="33" t="s">
        <v>1709</v>
      </c>
      <c r="F73" s="32">
        <v>9300</v>
      </c>
      <c r="G73" s="32">
        <v>8227.1</v>
      </c>
      <c r="J73" s="34" t="s">
        <v>4031</v>
      </c>
      <c r="L73" s="33" t="s">
        <v>4803</v>
      </c>
      <c r="M73" s="32">
        <v>1104</v>
      </c>
      <c r="N73" s="32">
        <v>42.4</v>
      </c>
      <c r="O73" s="32">
        <v>29.8</v>
      </c>
    </row>
    <row r="74" spans="1:15" ht="84" x14ac:dyDescent="0.2">
      <c r="A74" s="32" t="s">
        <v>1305</v>
      </c>
      <c r="B74" s="33" t="s">
        <v>1306</v>
      </c>
      <c r="C74" s="33" t="s">
        <v>922</v>
      </c>
      <c r="D74" s="33" t="s">
        <v>4427</v>
      </c>
      <c r="E74" s="33" t="s">
        <v>4425</v>
      </c>
      <c r="F74" s="32">
        <v>1700</v>
      </c>
      <c r="G74" s="32">
        <v>15785.4</v>
      </c>
      <c r="J74" s="34" t="s">
        <v>4031</v>
      </c>
      <c r="L74" s="33" t="s">
        <v>4804</v>
      </c>
      <c r="M74" s="32">
        <v>3169.4</v>
      </c>
      <c r="N74" s="32">
        <v>81.5</v>
      </c>
      <c r="O74" s="32">
        <v>44.9</v>
      </c>
    </row>
    <row r="75" spans="1:15" ht="84" x14ac:dyDescent="0.2">
      <c r="A75" s="32" t="s">
        <v>1621</v>
      </c>
      <c r="B75" s="33" t="s">
        <v>4515</v>
      </c>
      <c r="C75" s="33" t="s">
        <v>902</v>
      </c>
      <c r="D75" s="33" t="s">
        <v>4491</v>
      </c>
      <c r="E75" s="33" t="s">
        <v>4425</v>
      </c>
      <c r="F75" s="32">
        <v>11000</v>
      </c>
      <c r="G75" s="32">
        <v>5974.3</v>
      </c>
      <c r="J75" s="34" t="s">
        <v>4031</v>
      </c>
      <c r="L75" s="33" t="s">
        <v>4805</v>
      </c>
      <c r="M75" s="32">
        <v>842.2</v>
      </c>
      <c r="N75" s="32">
        <v>46.6</v>
      </c>
      <c r="O75" s="32">
        <v>31.8</v>
      </c>
    </row>
    <row r="76" spans="1:15" ht="72" x14ac:dyDescent="0.2">
      <c r="A76" s="32" t="s">
        <v>1815</v>
      </c>
      <c r="B76" s="33" t="s">
        <v>4516</v>
      </c>
      <c r="C76" s="33" t="s">
        <v>4434</v>
      </c>
      <c r="D76" s="33" t="s">
        <v>4439</v>
      </c>
      <c r="E76" s="33" t="s">
        <v>4425</v>
      </c>
      <c r="F76" s="32">
        <v>18000</v>
      </c>
      <c r="G76" s="32">
        <v>3830.1</v>
      </c>
      <c r="J76" s="34" t="s">
        <v>4031</v>
      </c>
      <c r="L76" s="33" t="s">
        <v>4806</v>
      </c>
      <c r="M76" s="32">
        <v>990.9</v>
      </c>
      <c r="N76" s="32">
        <v>93.9</v>
      </c>
      <c r="O76" s="32">
        <v>48.4</v>
      </c>
    </row>
    <row r="77" spans="1:15" ht="84" x14ac:dyDescent="0.2">
      <c r="A77" s="32" t="s">
        <v>1616</v>
      </c>
      <c r="B77" s="33" t="s">
        <v>4519</v>
      </c>
      <c r="C77" s="33" t="s">
        <v>922</v>
      </c>
      <c r="D77" s="33" t="s">
        <v>4477</v>
      </c>
      <c r="E77" s="33" t="s">
        <v>4425</v>
      </c>
      <c r="F77" s="32">
        <v>316</v>
      </c>
      <c r="G77" s="32">
        <v>5666.5</v>
      </c>
      <c r="J77" s="34" t="s">
        <v>4031</v>
      </c>
      <c r="L77" s="33" t="s">
        <v>4808</v>
      </c>
      <c r="M77" s="32">
        <v>2047.6</v>
      </c>
      <c r="N77" s="32">
        <v>46.1</v>
      </c>
      <c r="O77" s="32">
        <v>31.5</v>
      </c>
    </row>
    <row r="78" spans="1:15" ht="84" x14ac:dyDescent="0.2">
      <c r="A78" s="32" t="s">
        <v>1933</v>
      </c>
      <c r="B78" s="33" t="s">
        <v>4520</v>
      </c>
      <c r="C78" s="33" t="s">
        <v>4430</v>
      </c>
      <c r="D78" s="33" t="s">
        <v>4452</v>
      </c>
      <c r="E78" s="33" t="s">
        <v>4425</v>
      </c>
      <c r="F78" s="32">
        <v>2671</v>
      </c>
      <c r="G78" s="32">
        <v>3052.3</v>
      </c>
      <c r="J78" s="40" t="s">
        <v>4031</v>
      </c>
      <c r="L78" s="33" t="s">
        <v>4809</v>
      </c>
      <c r="M78" s="32">
        <v>0</v>
      </c>
      <c r="N78" s="32">
        <v>0</v>
      </c>
      <c r="O78" s="32">
        <v>0</v>
      </c>
    </row>
    <row r="79" spans="1:15" ht="96" x14ac:dyDescent="0.2">
      <c r="A79" s="32" t="s">
        <v>1923</v>
      </c>
      <c r="B79" s="33" t="s">
        <v>4522</v>
      </c>
      <c r="C79" s="33" t="s">
        <v>4434</v>
      </c>
      <c r="D79" s="33" t="s">
        <v>4435</v>
      </c>
      <c r="E79" s="33" t="s">
        <v>4425</v>
      </c>
      <c r="F79" s="32">
        <v>39500</v>
      </c>
      <c r="G79" s="32">
        <v>3204.9</v>
      </c>
      <c r="J79" s="40" t="s">
        <v>4031</v>
      </c>
      <c r="L79" s="33" t="s">
        <v>4811</v>
      </c>
      <c r="M79" s="32">
        <v>2387</v>
      </c>
      <c r="N79" s="32">
        <v>128.6</v>
      </c>
      <c r="O79" s="32">
        <v>56.3</v>
      </c>
    </row>
    <row r="80" spans="1:15" ht="96" x14ac:dyDescent="0.2">
      <c r="A80" s="32" t="s">
        <v>1625</v>
      </c>
      <c r="B80" s="33" t="s">
        <v>4524</v>
      </c>
      <c r="C80" s="33" t="s">
        <v>922</v>
      </c>
      <c r="D80" s="33" t="s">
        <v>4477</v>
      </c>
      <c r="E80" s="33" t="s">
        <v>4425</v>
      </c>
      <c r="F80" s="32">
        <v>700</v>
      </c>
      <c r="G80" s="32">
        <v>5447.1</v>
      </c>
      <c r="J80" s="34" t="s">
        <v>4031</v>
      </c>
      <c r="L80" s="33" t="s">
        <v>4813</v>
      </c>
      <c r="M80" s="32">
        <v>5012.3</v>
      </c>
      <c r="N80" s="32">
        <v>208.5</v>
      </c>
      <c r="O80" s="32">
        <v>67.599999999999994</v>
      </c>
    </row>
    <row r="81" spans="1:15" ht="72" x14ac:dyDescent="0.2">
      <c r="A81" s="32" t="s">
        <v>1547</v>
      </c>
      <c r="B81" s="33" t="s">
        <v>4525</v>
      </c>
      <c r="C81" s="33" t="s">
        <v>4434</v>
      </c>
      <c r="D81" s="33" t="s">
        <v>4526</v>
      </c>
      <c r="E81" s="33" t="s">
        <v>4425</v>
      </c>
      <c r="F81" s="32">
        <v>16800</v>
      </c>
      <c r="G81" s="32">
        <v>9851.4</v>
      </c>
      <c r="J81" s="34" t="s">
        <v>4031</v>
      </c>
      <c r="L81" s="33" t="s">
        <v>4814</v>
      </c>
      <c r="M81" s="32">
        <v>441.2</v>
      </c>
      <c r="N81" s="32">
        <v>17.399999999999999</v>
      </c>
      <c r="O81" s="32">
        <v>14.8</v>
      </c>
    </row>
    <row r="82" spans="1:15" ht="72" x14ac:dyDescent="0.2">
      <c r="A82" s="32" t="s">
        <v>1827</v>
      </c>
      <c r="B82" s="33" t="s">
        <v>1828</v>
      </c>
      <c r="C82" s="33" t="s">
        <v>922</v>
      </c>
      <c r="D82" s="33" t="s">
        <v>4510</v>
      </c>
      <c r="E82" s="33" t="s">
        <v>4425</v>
      </c>
      <c r="F82" s="32">
        <v>81</v>
      </c>
      <c r="G82" s="32">
        <v>3923.4</v>
      </c>
      <c r="J82" s="34" t="s">
        <v>4031</v>
      </c>
      <c r="L82" s="33" t="s">
        <v>4815</v>
      </c>
      <c r="M82" s="32">
        <v>1420.9</v>
      </c>
      <c r="N82" s="32">
        <v>52.8</v>
      </c>
      <c r="O82" s="32">
        <v>34.5</v>
      </c>
    </row>
    <row r="83" spans="1:15" ht="84" x14ac:dyDescent="0.2">
      <c r="A83" s="32" t="s">
        <v>1780</v>
      </c>
      <c r="B83" s="33" t="s">
        <v>4527</v>
      </c>
      <c r="C83" s="33" t="s">
        <v>885</v>
      </c>
      <c r="D83" s="33" t="s">
        <v>4528</v>
      </c>
      <c r="E83" s="33" t="s">
        <v>4425</v>
      </c>
      <c r="G83" s="32">
        <v>4794.1000000000004</v>
      </c>
      <c r="J83" s="34" t="s">
        <v>4031</v>
      </c>
      <c r="L83" s="33" t="s">
        <v>4816</v>
      </c>
      <c r="M83" s="32">
        <v>3037</v>
      </c>
      <c r="N83" s="32">
        <v>79.099999999999994</v>
      </c>
      <c r="O83" s="32">
        <v>44.2</v>
      </c>
    </row>
    <row r="84" spans="1:15" ht="72" x14ac:dyDescent="0.2">
      <c r="A84" s="32" t="s">
        <v>1983</v>
      </c>
      <c r="B84" s="33" t="s">
        <v>4529</v>
      </c>
      <c r="C84" s="33" t="s">
        <v>902</v>
      </c>
      <c r="D84" s="33" t="s">
        <v>4433</v>
      </c>
      <c r="E84" s="33" t="s">
        <v>4425</v>
      </c>
      <c r="F84" s="32">
        <v>14276</v>
      </c>
      <c r="G84" s="32">
        <v>2505.3000000000002</v>
      </c>
      <c r="J84" s="40" t="s">
        <v>4031</v>
      </c>
      <c r="L84" s="33" t="s">
        <v>4817</v>
      </c>
      <c r="M84" s="32">
        <v>827.2</v>
      </c>
      <c r="N84" s="32">
        <v>102</v>
      </c>
      <c r="O84" s="32">
        <v>50.5</v>
      </c>
    </row>
    <row r="85" spans="1:15" ht="84" x14ac:dyDescent="0.2">
      <c r="A85" s="32" t="s">
        <v>1419</v>
      </c>
      <c r="B85" s="33" t="s">
        <v>4530</v>
      </c>
      <c r="C85" s="33" t="s">
        <v>922</v>
      </c>
      <c r="D85" s="33" t="s">
        <v>4477</v>
      </c>
      <c r="E85" s="33" t="s">
        <v>4425</v>
      </c>
      <c r="F85" s="32">
        <v>79</v>
      </c>
      <c r="G85" s="32">
        <v>7931</v>
      </c>
      <c r="J85" s="34" t="s">
        <v>4031</v>
      </c>
      <c r="L85" s="33" t="s">
        <v>4818</v>
      </c>
      <c r="M85" s="32">
        <v>1336.6</v>
      </c>
      <c r="N85" s="32">
        <v>94.2</v>
      </c>
      <c r="O85" s="32">
        <v>48.5</v>
      </c>
    </row>
    <row r="86" spans="1:15" ht="84" x14ac:dyDescent="0.2">
      <c r="A86" s="32" t="s">
        <v>1584</v>
      </c>
      <c r="B86" s="33" t="s">
        <v>1585</v>
      </c>
      <c r="C86" s="33" t="s">
        <v>4428</v>
      </c>
      <c r="D86" s="33" t="s">
        <v>4429</v>
      </c>
      <c r="E86" s="33" t="s">
        <v>4425</v>
      </c>
      <c r="F86" s="32">
        <v>43000</v>
      </c>
      <c r="G86" s="32">
        <v>6126.7</v>
      </c>
      <c r="J86" s="34" t="s">
        <v>4031</v>
      </c>
      <c r="L86" s="33" t="s">
        <v>4819</v>
      </c>
      <c r="M86" s="32">
        <v>3142</v>
      </c>
      <c r="N86" s="32">
        <v>170.5</v>
      </c>
      <c r="O86" s="32">
        <v>63</v>
      </c>
    </row>
    <row r="87" spans="1:15" ht="96" x14ac:dyDescent="0.2">
      <c r="A87" s="32" t="s">
        <v>1722</v>
      </c>
      <c r="B87" s="33" t="s">
        <v>4531</v>
      </c>
      <c r="C87" s="33" t="s">
        <v>4434</v>
      </c>
      <c r="D87" s="33" t="s">
        <v>4466</v>
      </c>
      <c r="E87" s="33" t="s">
        <v>4425</v>
      </c>
      <c r="F87" s="32">
        <v>4200</v>
      </c>
      <c r="G87" s="32">
        <v>4311.8</v>
      </c>
      <c r="J87" s="34" t="s">
        <v>4031</v>
      </c>
      <c r="K87" s="32" t="s">
        <v>4415</v>
      </c>
      <c r="L87" s="33" t="s">
        <v>4820</v>
      </c>
      <c r="M87" s="32">
        <v>1061.0999999999999</v>
      </c>
      <c r="N87" s="32">
        <v>28.5</v>
      </c>
      <c r="O87" s="32">
        <v>22.2</v>
      </c>
    </row>
    <row r="88" spans="1:15" ht="84" x14ac:dyDescent="0.2">
      <c r="A88" s="32" t="s">
        <v>1999</v>
      </c>
      <c r="B88" s="33" t="s">
        <v>2000</v>
      </c>
      <c r="C88" s="33" t="s">
        <v>902</v>
      </c>
      <c r="D88" s="33" t="s">
        <v>4532</v>
      </c>
      <c r="E88" s="33" t="s">
        <v>4425</v>
      </c>
      <c r="F88" s="32">
        <v>6000</v>
      </c>
      <c r="G88" s="32">
        <v>2502</v>
      </c>
      <c r="J88" s="40" t="s">
        <v>4031</v>
      </c>
      <c r="L88" s="33" t="s">
        <v>4821</v>
      </c>
      <c r="M88" s="32">
        <v>3333.4</v>
      </c>
      <c r="N88" s="32">
        <v>937.1</v>
      </c>
      <c r="O88" s="32">
        <v>90.4</v>
      </c>
    </row>
    <row r="89" spans="1:15" ht="84" x14ac:dyDescent="0.2">
      <c r="A89" s="32" t="s">
        <v>1805</v>
      </c>
      <c r="B89" s="33" t="s">
        <v>1806</v>
      </c>
      <c r="C89" s="33" t="s">
        <v>4430</v>
      </c>
      <c r="D89" s="33" t="s">
        <v>4452</v>
      </c>
      <c r="E89" s="33" t="s">
        <v>4425</v>
      </c>
      <c r="F89" s="32">
        <v>4250</v>
      </c>
      <c r="G89" s="32">
        <v>3789</v>
      </c>
      <c r="J89" s="34" t="s">
        <v>4031</v>
      </c>
      <c r="L89" s="33" t="s">
        <v>4823</v>
      </c>
      <c r="M89" s="32">
        <v>847.6</v>
      </c>
      <c r="N89" s="32">
        <v>89.8</v>
      </c>
      <c r="O89" s="32">
        <v>47.3</v>
      </c>
    </row>
    <row r="90" spans="1:15" ht="84" x14ac:dyDescent="0.2">
      <c r="A90" s="32" t="s">
        <v>1891</v>
      </c>
      <c r="B90" s="33" t="s">
        <v>1892</v>
      </c>
      <c r="C90" s="33" t="s">
        <v>922</v>
      </c>
      <c r="D90" s="33" t="s">
        <v>4477</v>
      </c>
      <c r="E90" s="33" t="s">
        <v>4425</v>
      </c>
      <c r="F90" s="32">
        <v>53</v>
      </c>
      <c r="G90" s="32">
        <v>3275</v>
      </c>
      <c r="J90" s="34" t="s">
        <v>4031</v>
      </c>
      <c r="L90" s="33" t="s">
        <v>4824</v>
      </c>
      <c r="M90" s="32">
        <v>2684.1</v>
      </c>
      <c r="N90" s="32">
        <v>102</v>
      </c>
      <c r="O90" s="32">
        <v>50.5</v>
      </c>
    </row>
    <row r="91" spans="1:15" ht="84" x14ac:dyDescent="0.2">
      <c r="A91" s="32" t="s">
        <v>1462</v>
      </c>
      <c r="B91" s="33" t="s">
        <v>1463</v>
      </c>
      <c r="C91" s="33" t="s">
        <v>885</v>
      </c>
      <c r="D91" s="33" t="s">
        <v>4505</v>
      </c>
      <c r="E91" s="33" t="s">
        <v>4425</v>
      </c>
      <c r="F91" s="32">
        <v>624</v>
      </c>
      <c r="G91" s="32">
        <v>7460.8</v>
      </c>
      <c r="J91" s="34" t="s">
        <v>4031</v>
      </c>
      <c r="L91" s="33" t="s">
        <v>4825</v>
      </c>
      <c r="M91" s="32">
        <v>6177.2</v>
      </c>
      <c r="N91" s="32">
        <v>74.900000000000006</v>
      </c>
      <c r="O91" s="32">
        <v>42.8</v>
      </c>
    </row>
    <row r="92" spans="1:15" ht="84" x14ac:dyDescent="0.2">
      <c r="A92" s="32" t="s">
        <v>1807</v>
      </c>
      <c r="B92" s="33" t="s">
        <v>4534</v>
      </c>
      <c r="C92" s="33" t="s">
        <v>885</v>
      </c>
      <c r="D92" s="33" t="s">
        <v>4528</v>
      </c>
      <c r="E92" s="33" t="s">
        <v>4425</v>
      </c>
      <c r="F92" s="32">
        <v>771</v>
      </c>
      <c r="G92" s="32">
        <v>3572.5</v>
      </c>
      <c r="J92" s="34" t="s">
        <v>4031</v>
      </c>
      <c r="L92" s="33" t="s">
        <v>4826</v>
      </c>
      <c r="M92" s="32">
        <v>7077.2</v>
      </c>
      <c r="N92" s="32">
        <v>222.6</v>
      </c>
      <c r="O92" s="32">
        <v>64.7</v>
      </c>
    </row>
    <row r="93" spans="1:15" ht="84" x14ac:dyDescent="0.2">
      <c r="A93" s="32" t="s">
        <v>1690</v>
      </c>
      <c r="B93" s="33" t="s">
        <v>4535</v>
      </c>
      <c r="C93" s="33" t="s">
        <v>866</v>
      </c>
      <c r="D93" s="33" t="s">
        <v>4536</v>
      </c>
      <c r="E93" s="33" t="s">
        <v>4425</v>
      </c>
      <c r="F93" s="32">
        <v>1800</v>
      </c>
      <c r="G93" s="32">
        <v>5236.6000000000004</v>
      </c>
      <c r="J93" s="34" t="s">
        <v>4031</v>
      </c>
      <c r="L93" s="33" t="s">
        <v>4827</v>
      </c>
      <c r="M93" s="32">
        <v>376</v>
      </c>
      <c r="N93" s="32">
        <v>30.8</v>
      </c>
      <c r="O93" s="32">
        <v>23.5</v>
      </c>
    </row>
    <row r="94" spans="1:15" ht="84" x14ac:dyDescent="0.2">
      <c r="A94" s="32" t="s">
        <v>1366</v>
      </c>
      <c r="B94" s="33" t="s">
        <v>4537</v>
      </c>
      <c r="C94" s="33" t="s">
        <v>866</v>
      </c>
      <c r="D94" s="33" t="s">
        <v>4455</v>
      </c>
      <c r="E94" s="33" t="s">
        <v>4425</v>
      </c>
      <c r="F94" s="32">
        <v>3200</v>
      </c>
      <c r="G94" s="32">
        <v>11869.1</v>
      </c>
      <c r="J94" s="34" t="s">
        <v>4031</v>
      </c>
      <c r="L94" s="33" t="s">
        <v>4828</v>
      </c>
      <c r="M94" s="32">
        <v>151.80000000000001</v>
      </c>
      <c r="N94" s="32">
        <v>2.7</v>
      </c>
      <c r="O94" s="32">
        <v>2.6</v>
      </c>
    </row>
    <row r="95" spans="1:15" ht="84" x14ac:dyDescent="0.2">
      <c r="A95" s="32" t="s">
        <v>1629</v>
      </c>
      <c r="B95" s="33" t="s">
        <v>4538</v>
      </c>
      <c r="C95" s="33" t="s">
        <v>4428</v>
      </c>
      <c r="D95" s="33" t="s">
        <v>4453</v>
      </c>
      <c r="E95" s="33" t="s">
        <v>4425</v>
      </c>
      <c r="F95" s="32">
        <v>773</v>
      </c>
      <c r="G95" s="32">
        <v>5669.8</v>
      </c>
      <c r="J95" s="34" t="s">
        <v>4031</v>
      </c>
      <c r="L95" s="33" t="s">
        <v>4829</v>
      </c>
      <c r="M95" s="32">
        <v>0</v>
      </c>
      <c r="N95" s="32">
        <v>0</v>
      </c>
      <c r="O95" s="32">
        <v>0</v>
      </c>
    </row>
    <row r="96" spans="1:15" ht="84" x14ac:dyDescent="0.2">
      <c r="A96" s="32" t="s">
        <v>1955</v>
      </c>
      <c r="B96" s="33" t="s">
        <v>4539</v>
      </c>
      <c r="C96" s="33" t="s">
        <v>866</v>
      </c>
      <c r="D96" s="33" t="s">
        <v>4540</v>
      </c>
      <c r="E96" s="33" t="s">
        <v>4425</v>
      </c>
      <c r="F96" s="32">
        <v>17000</v>
      </c>
      <c r="G96" s="32">
        <v>3416.8</v>
      </c>
      <c r="J96" s="34" t="s">
        <v>4031</v>
      </c>
      <c r="L96" s="33" t="s">
        <v>4830</v>
      </c>
      <c r="M96" s="32">
        <v>739.5</v>
      </c>
      <c r="N96" s="32">
        <v>57.2</v>
      </c>
      <c r="O96" s="32">
        <v>36.4</v>
      </c>
    </row>
    <row r="97" spans="1:15" ht="96" x14ac:dyDescent="0.2">
      <c r="A97" s="32" t="s">
        <v>1705</v>
      </c>
      <c r="B97" s="33" t="s">
        <v>4541</v>
      </c>
      <c r="C97" s="33" t="s">
        <v>902</v>
      </c>
      <c r="D97" s="33" t="s">
        <v>4438</v>
      </c>
      <c r="E97" s="33" t="s">
        <v>4425</v>
      </c>
      <c r="F97" s="32">
        <v>6690</v>
      </c>
      <c r="G97" s="32">
        <v>4924.2</v>
      </c>
      <c r="J97" s="34" t="s">
        <v>4031</v>
      </c>
      <c r="K97" s="32" t="s">
        <v>4411</v>
      </c>
      <c r="L97" s="33" t="s">
        <v>4831</v>
      </c>
      <c r="M97" s="32">
        <v>319.39999999999998</v>
      </c>
      <c r="N97" s="32">
        <v>20.7</v>
      </c>
      <c r="O97" s="32">
        <v>17.100000000000001</v>
      </c>
    </row>
    <row r="98" spans="1:15" ht="84" x14ac:dyDescent="0.2">
      <c r="A98" s="32" t="s">
        <v>1526</v>
      </c>
      <c r="B98" s="33" t="s">
        <v>1527</v>
      </c>
      <c r="C98" s="33" t="s">
        <v>866</v>
      </c>
      <c r="D98" s="33" t="s">
        <v>4455</v>
      </c>
      <c r="E98" s="33" t="s">
        <v>4425</v>
      </c>
      <c r="F98" s="32">
        <v>1400</v>
      </c>
      <c r="G98" s="32">
        <v>6862.9</v>
      </c>
      <c r="J98" s="34" t="s">
        <v>4031</v>
      </c>
      <c r="L98" s="33" t="s">
        <v>4832</v>
      </c>
      <c r="M98" s="32">
        <v>0</v>
      </c>
      <c r="N98" s="32">
        <v>0</v>
      </c>
      <c r="O98" s="32">
        <v>0</v>
      </c>
    </row>
    <row r="99" spans="1:15" ht="84" x14ac:dyDescent="0.2">
      <c r="A99" s="32" t="s">
        <v>1433</v>
      </c>
      <c r="B99" s="33" t="s">
        <v>4542</v>
      </c>
      <c r="C99" s="33" t="s">
        <v>866</v>
      </c>
      <c r="D99" s="33" t="s">
        <v>4455</v>
      </c>
      <c r="E99" s="33" t="s">
        <v>4425</v>
      </c>
      <c r="F99" s="32">
        <v>6697</v>
      </c>
      <c r="G99" s="32">
        <v>9436.1</v>
      </c>
      <c r="J99" s="34" t="s">
        <v>4031</v>
      </c>
      <c r="L99" s="33" t="s">
        <v>4833</v>
      </c>
      <c r="M99" s="32">
        <v>1584</v>
      </c>
      <c r="N99" s="32">
        <v>20.5</v>
      </c>
      <c r="O99" s="32">
        <v>16.100000000000001</v>
      </c>
    </row>
    <row r="100" spans="1:15" ht="84" x14ac:dyDescent="0.2">
      <c r="A100" s="32" t="s">
        <v>1799</v>
      </c>
      <c r="B100" s="33" t="s">
        <v>4544</v>
      </c>
      <c r="C100" s="33" t="s">
        <v>4434</v>
      </c>
      <c r="D100" s="33" t="s">
        <v>4439</v>
      </c>
      <c r="E100" s="33" t="s">
        <v>4425</v>
      </c>
      <c r="F100" s="32">
        <v>15791</v>
      </c>
      <c r="G100" s="32">
        <v>4472.3999999999996</v>
      </c>
      <c r="J100" s="34" t="s">
        <v>4031</v>
      </c>
      <c r="L100" s="33" t="s">
        <v>4835</v>
      </c>
      <c r="M100" s="32">
        <v>456</v>
      </c>
      <c r="N100" s="32">
        <v>13.7</v>
      </c>
      <c r="O100" s="32">
        <v>12</v>
      </c>
    </row>
    <row r="101" spans="1:15" ht="84" x14ac:dyDescent="0.2">
      <c r="A101" s="32" t="s">
        <v>1639</v>
      </c>
      <c r="B101" s="33" t="s">
        <v>4545</v>
      </c>
      <c r="C101" s="33" t="s">
        <v>4512</v>
      </c>
      <c r="D101" s="33" t="s">
        <v>4546</v>
      </c>
      <c r="E101" s="33" t="s">
        <v>4425</v>
      </c>
      <c r="F101" s="32">
        <v>9200</v>
      </c>
      <c r="G101" s="32">
        <v>5912.7</v>
      </c>
      <c r="J101" s="34" t="s">
        <v>4031</v>
      </c>
      <c r="L101" s="33" t="s">
        <v>4836</v>
      </c>
      <c r="M101" s="32">
        <v>892.4</v>
      </c>
      <c r="N101" s="32">
        <v>63.2</v>
      </c>
      <c r="O101" s="32">
        <v>38.700000000000003</v>
      </c>
    </row>
    <row r="102" spans="1:15" ht="96" x14ac:dyDescent="0.2">
      <c r="A102" s="32" t="s">
        <v>1896</v>
      </c>
      <c r="B102" s="33" t="s">
        <v>1897</v>
      </c>
      <c r="C102" s="33" t="s">
        <v>902</v>
      </c>
      <c r="D102" s="33" t="s">
        <v>4433</v>
      </c>
      <c r="E102" s="33" t="s">
        <v>4425</v>
      </c>
      <c r="F102" s="32">
        <v>43717</v>
      </c>
      <c r="G102" s="32">
        <v>2952.7</v>
      </c>
      <c r="J102" s="40" t="s">
        <v>4031</v>
      </c>
      <c r="L102" s="33" t="s">
        <v>4837</v>
      </c>
      <c r="M102" s="32">
        <v>1170.5</v>
      </c>
      <c r="N102" s="32">
        <v>73.3</v>
      </c>
      <c r="O102" s="32">
        <v>42.3</v>
      </c>
    </row>
    <row r="103" spans="1:15" ht="84" x14ac:dyDescent="0.2">
      <c r="A103" s="32" t="s">
        <v>1857</v>
      </c>
      <c r="B103" s="33" t="s">
        <v>1858</v>
      </c>
      <c r="C103" s="33" t="s">
        <v>902</v>
      </c>
      <c r="D103" s="33" t="s">
        <v>4491</v>
      </c>
      <c r="E103" s="33" t="s">
        <v>4425</v>
      </c>
      <c r="F103" s="32">
        <v>15000</v>
      </c>
      <c r="G103" s="32">
        <v>4182.8999999999996</v>
      </c>
      <c r="J103" s="34" t="s">
        <v>4031</v>
      </c>
      <c r="L103" s="33" t="s">
        <v>4838</v>
      </c>
      <c r="M103" s="32">
        <v>1272.2</v>
      </c>
      <c r="N103" s="32">
        <v>72.3</v>
      </c>
      <c r="O103" s="32">
        <v>42</v>
      </c>
    </row>
    <row r="104" spans="1:15" ht="96" x14ac:dyDescent="0.2">
      <c r="A104" s="32" t="s">
        <v>1866</v>
      </c>
      <c r="B104" s="33" t="s">
        <v>1867</v>
      </c>
      <c r="C104" s="33" t="s">
        <v>866</v>
      </c>
      <c r="D104" s="33" t="s">
        <v>4455</v>
      </c>
      <c r="E104" s="33" t="s">
        <v>4425</v>
      </c>
      <c r="F104" s="32">
        <v>3819</v>
      </c>
      <c r="G104" s="32">
        <v>4618.3</v>
      </c>
      <c r="J104" s="34" t="s">
        <v>4031</v>
      </c>
      <c r="L104" s="33" t="s">
        <v>4839</v>
      </c>
      <c r="M104" s="32">
        <v>686</v>
      </c>
      <c r="N104" s="32">
        <v>13.7</v>
      </c>
      <c r="O104" s="32">
        <v>11.9</v>
      </c>
    </row>
    <row r="105" spans="1:15" ht="84" x14ac:dyDescent="0.2">
      <c r="A105" s="32" t="s">
        <v>1453</v>
      </c>
      <c r="B105" s="33" t="s">
        <v>4547</v>
      </c>
      <c r="C105" s="33" t="s">
        <v>922</v>
      </c>
      <c r="D105" s="33" t="s">
        <v>4477</v>
      </c>
      <c r="E105" s="33" t="s">
        <v>4425</v>
      </c>
      <c r="F105" s="32">
        <v>153</v>
      </c>
      <c r="G105" s="32">
        <v>7745.7</v>
      </c>
      <c r="J105" s="34" t="s">
        <v>4031</v>
      </c>
      <c r="L105" s="33" t="s">
        <v>4840</v>
      </c>
      <c r="M105" s="32">
        <v>1607.9</v>
      </c>
      <c r="N105" s="32">
        <v>79.5</v>
      </c>
      <c r="O105" s="32">
        <v>44.3</v>
      </c>
    </row>
    <row r="106" spans="1:15" ht="84" x14ac:dyDescent="0.2">
      <c r="A106" s="32" t="s">
        <v>1987</v>
      </c>
      <c r="B106" s="33" t="s">
        <v>1988</v>
      </c>
      <c r="C106" s="33" t="s">
        <v>866</v>
      </c>
      <c r="D106" s="33" t="s">
        <v>4455</v>
      </c>
      <c r="E106" s="33" t="s">
        <v>4425</v>
      </c>
      <c r="F106" s="32">
        <v>3300</v>
      </c>
      <c r="G106" s="32">
        <v>2930.9</v>
      </c>
      <c r="J106" s="40" t="s">
        <v>4031</v>
      </c>
      <c r="L106" s="33" t="s">
        <v>4841</v>
      </c>
      <c r="M106" s="32">
        <v>627.4</v>
      </c>
      <c r="N106" s="32">
        <v>25</v>
      </c>
      <c r="O106" s="32">
        <v>18.899999999999999</v>
      </c>
    </row>
    <row r="107" spans="1:15" ht="84" x14ac:dyDescent="0.2">
      <c r="A107" s="32" t="s">
        <v>1882</v>
      </c>
      <c r="B107" s="33" t="s">
        <v>4548</v>
      </c>
      <c r="C107" s="33" t="s">
        <v>866</v>
      </c>
      <c r="D107" s="33" t="s">
        <v>4549</v>
      </c>
      <c r="E107" s="33" t="s">
        <v>4425</v>
      </c>
      <c r="F107" s="32">
        <v>1904</v>
      </c>
      <c r="G107" s="32">
        <v>3681</v>
      </c>
      <c r="J107" s="34" t="s">
        <v>4031</v>
      </c>
      <c r="L107" s="33" t="s">
        <v>4842</v>
      </c>
      <c r="M107" s="32">
        <v>6029.8</v>
      </c>
      <c r="N107" s="32">
        <v>305</v>
      </c>
      <c r="O107" s="32">
        <v>75.3</v>
      </c>
    </row>
    <row r="108" spans="1:15" ht="72" x14ac:dyDescent="0.2">
      <c r="A108" s="32" t="s">
        <v>1603</v>
      </c>
      <c r="B108" s="33" t="s">
        <v>4550</v>
      </c>
      <c r="C108" s="33" t="s">
        <v>866</v>
      </c>
      <c r="D108" s="33" t="s">
        <v>4455</v>
      </c>
      <c r="E108" s="33" t="s">
        <v>4425</v>
      </c>
      <c r="F108" s="32">
        <v>2978</v>
      </c>
      <c r="G108" s="32">
        <v>5960.5</v>
      </c>
      <c r="J108" s="34" t="s">
        <v>4031</v>
      </c>
      <c r="L108" s="33" t="s">
        <v>4843</v>
      </c>
      <c r="M108" s="32">
        <v>166.2</v>
      </c>
      <c r="N108" s="32">
        <v>7</v>
      </c>
      <c r="O108" s="32">
        <v>6.5</v>
      </c>
    </row>
    <row r="109" spans="1:15" ht="84" x14ac:dyDescent="0.2">
      <c r="A109" s="32" t="s">
        <v>1973</v>
      </c>
      <c r="B109" s="33" t="s">
        <v>4551</v>
      </c>
      <c r="C109" s="33" t="s">
        <v>4423</v>
      </c>
      <c r="D109" s="33" t="s">
        <v>4459</v>
      </c>
      <c r="E109" s="33" t="s">
        <v>4425</v>
      </c>
      <c r="F109" s="32">
        <v>16000</v>
      </c>
      <c r="G109" s="32">
        <v>2877.4</v>
      </c>
      <c r="J109" s="40" t="s">
        <v>4031</v>
      </c>
      <c r="L109" s="33" t="s">
        <v>4844</v>
      </c>
      <c r="M109" s="32">
        <v>2054.8000000000002</v>
      </c>
      <c r="N109" s="32">
        <v>135.69999999999999</v>
      </c>
      <c r="O109" s="32">
        <v>57.6</v>
      </c>
    </row>
    <row r="110" spans="1:15" ht="96" x14ac:dyDescent="0.2">
      <c r="A110" s="32" t="s">
        <v>1320</v>
      </c>
      <c r="B110" s="33" t="s">
        <v>4552</v>
      </c>
      <c r="C110" s="33" t="s">
        <v>902</v>
      </c>
      <c r="D110" s="33" t="s">
        <v>4491</v>
      </c>
      <c r="E110" s="33" t="s">
        <v>4425</v>
      </c>
      <c r="F110" s="32">
        <v>3700</v>
      </c>
      <c r="G110" s="32">
        <v>12030.2</v>
      </c>
      <c r="J110" s="34" t="s">
        <v>4031</v>
      </c>
      <c r="L110" s="33" t="s">
        <v>4845</v>
      </c>
      <c r="M110" s="32">
        <v>150</v>
      </c>
      <c r="N110" s="32">
        <v>9.6</v>
      </c>
      <c r="O110" s="32">
        <v>8.6999999999999993</v>
      </c>
    </row>
    <row r="111" spans="1:15" ht="84" x14ac:dyDescent="0.2">
      <c r="A111" s="32" t="s">
        <v>2004</v>
      </c>
      <c r="B111" s="33" t="s">
        <v>4553</v>
      </c>
      <c r="C111" s="33" t="s">
        <v>4554</v>
      </c>
      <c r="D111" s="33" t="s">
        <v>4555</v>
      </c>
      <c r="E111" s="33" t="s">
        <v>4425</v>
      </c>
      <c r="F111" s="32">
        <v>11261</v>
      </c>
      <c r="G111" s="32">
        <v>2882.5</v>
      </c>
      <c r="J111" s="40" t="s">
        <v>4031</v>
      </c>
      <c r="L111" s="33" t="s">
        <v>4846</v>
      </c>
      <c r="M111" s="32">
        <v>523.6</v>
      </c>
      <c r="N111" s="32">
        <v>13.2</v>
      </c>
      <c r="O111" s="32">
        <v>11.7</v>
      </c>
    </row>
    <row r="112" spans="1:15" ht="72" x14ac:dyDescent="0.2">
      <c r="A112" s="32" t="s">
        <v>1346</v>
      </c>
      <c r="B112" s="33" t="s">
        <v>4556</v>
      </c>
      <c r="C112" s="33" t="s">
        <v>4434</v>
      </c>
      <c r="D112" s="33" t="s">
        <v>4557</v>
      </c>
      <c r="E112" s="33" t="s">
        <v>4425</v>
      </c>
      <c r="F112" s="32">
        <v>12000</v>
      </c>
      <c r="G112" s="32">
        <v>7884</v>
      </c>
      <c r="J112" s="34" t="s">
        <v>4031</v>
      </c>
      <c r="L112" s="33" t="s">
        <v>4847</v>
      </c>
      <c r="M112" s="32">
        <v>44.8</v>
      </c>
      <c r="N112" s="32">
        <v>2.6</v>
      </c>
      <c r="O112" s="32">
        <v>2.5</v>
      </c>
    </row>
    <row r="113" spans="1:15" ht="84" x14ac:dyDescent="0.2">
      <c r="A113" s="32" t="s">
        <v>1524</v>
      </c>
      <c r="B113" s="33" t="s">
        <v>4558</v>
      </c>
      <c r="C113" s="33" t="s">
        <v>4428</v>
      </c>
      <c r="D113" s="33" t="s">
        <v>4559</v>
      </c>
      <c r="E113" s="33" t="s">
        <v>4425</v>
      </c>
      <c r="F113" s="32">
        <v>2200</v>
      </c>
      <c r="G113" s="32">
        <v>6614.9</v>
      </c>
      <c r="J113" s="34" t="s">
        <v>4031</v>
      </c>
      <c r="L113" s="33" t="s">
        <v>4848</v>
      </c>
      <c r="M113" s="32">
        <v>0</v>
      </c>
      <c r="N113" s="32">
        <v>0</v>
      </c>
      <c r="O113" s="32">
        <v>0</v>
      </c>
    </row>
    <row r="114" spans="1:15" ht="96" x14ac:dyDescent="0.2">
      <c r="A114" s="32" t="s">
        <v>1619</v>
      </c>
      <c r="B114" s="33" t="s">
        <v>4561</v>
      </c>
      <c r="C114" s="33" t="s">
        <v>4434</v>
      </c>
      <c r="D114" s="33" t="s">
        <v>4562</v>
      </c>
      <c r="E114" s="33" t="s">
        <v>4425</v>
      </c>
      <c r="F114" s="32">
        <v>62000</v>
      </c>
      <c r="G114" s="32">
        <v>5898.7</v>
      </c>
      <c r="J114" s="34" t="s">
        <v>4031</v>
      </c>
      <c r="L114" s="33" t="s">
        <v>4850</v>
      </c>
      <c r="M114" s="32">
        <v>7153</v>
      </c>
      <c r="N114" s="32">
        <v>165.8</v>
      </c>
      <c r="O114" s="32">
        <v>62.4</v>
      </c>
    </row>
    <row r="115" spans="1:15" ht="84" x14ac:dyDescent="0.2">
      <c r="A115" s="32" t="s">
        <v>1389</v>
      </c>
      <c r="B115" s="33" t="s">
        <v>4563</v>
      </c>
      <c r="C115" s="33" t="s">
        <v>902</v>
      </c>
      <c r="D115" s="33" t="s">
        <v>4564</v>
      </c>
      <c r="E115" s="33" t="s">
        <v>4425</v>
      </c>
      <c r="F115" s="32">
        <v>66000</v>
      </c>
      <c r="G115" s="32">
        <v>8828.6</v>
      </c>
      <c r="J115" s="34" t="s">
        <v>4031</v>
      </c>
      <c r="L115" s="33" t="s">
        <v>4851</v>
      </c>
      <c r="M115" s="32">
        <v>934</v>
      </c>
      <c r="N115" s="32">
        <v>40.700000000000003</v>
      </c>
      <c r="O115" s="32">
        <v>28.9</v>
      </c>
    </row>
    <row r="116" spans="1:15" ht="84" x14ac:dyDescent="0.2">
      <c r="A116" s="32" t="s">
        <v>1851</v>
      </c>
      <c r="B116" s="33" t="s">
        <v>1852</v>
      </c>
      <c r="C116" s="33" t="s">
        <v>4512</v>
      </c>
      <c r="D116" s="33" t="s">
        <v>4546</v>
      </c>
      <c r="E116" s="33" t="s">
        <v>4425</v>
      </c>
      <c r="F116" s="32">
        <v>3087</v>
      </c>
      <c r="G116" s="32">
        <v>3373.7</v>
      </c>
      <c r="J116" s="34" t="s">
        <v>4031</v>
      </c>
      <c r="L116" s="33" t="s">
        <v>4852</v>
      </c>
      <c r="M116" s="32">
        <v>345.4</v>
      </c>
      <c r="N116" s="32">
        <v>25.6</v>
      </c>
      <c r="O116" s="32">
        <v>20.399999999999999</v>
      </c>
    </row>
    <row r="117" spans="1:15" ht="84" x14ac:dyDescent="0.2">
      <c r="A117" s="32" t="s">
        <v>1633</v>
      </c>
      <c r="B117" s="33" t="s">
        <v>4565</v>
      </c>
      <c r="C117" s="33" t="s">
        <v>4434</v>
      </c>
      <c r="D117" s="33" t="s">
        <v>4509</v>
      </c>
      <c r="E117" s="33" t="s">
        <v>4425</v>
      </c>
      <c r="F117" s="32">
        <v>61000</v>
      </c>
      <c r="G117" s="32">
        <v>5440.6</v>
      </c>
      <c r="J117" s="34" t="s">
        <v>4031</v>
      </c>
      <c r="L117" s="33" t="s">
        <v>4853</v>
      </c>
      <c r="M117" s="32">
        <v>3626.5</v>
      </c>
      <c r="N117" s="32">
        <v>569.70000000000005</v>
      </c>
      <c r="O117" s="32">
        <v>85.1</v>
      </c>
    </row>
    <row r="118" spans="1:15" ht="84" x14ac:dyDescent="0.2">
      <c r="A118" s="32" t="s">
        <v>1784</v>
      </c>
      <c r="B118" s="33" t="s">
        <v>4566</v>
      </c>
      <c r="C118" s="33" t="s">
        <v>904</v>
      </c>
      <c r="D118" s="33" t="s">
        <v>4445</v>
      </c>
      <c r="E118" s="33" t="s">
        <v>4425</v>
      </c>
      <c r="F118" s="32">
        <v>3702</v>
      </c>
      <c r="G118" s="32">
        <v>4552</v>
      </c>
      <c r="J118" s="34" t="s">
        <v>4031</v>
      </c>
      <c r="L118" s="33" t="s">
        <v>4854</v>
      </c>
      <c r="M118" s="32">
        <v>2374.1</v>
      </c>
      <c r="N118" s="32">
        <v>99.6</v>
      </c>
      <c r="O118" s="32">
        <v>49.5</v>
      </c>
    </row>
    <row r="119" spans="1:15" ht="84" x14ac:dyDescent="0.2">
      <c r="A119" s="32" t="s">
        <v>1692</v>
      </c>
      <c r="B119" s="33" t="s">
        <v>1693</v>
      </c>
      <c r="C119" s="33" t="s">
        <v>885</v>
      </c>
      <c r="D119" s="33" t="s">
        <v>4567</v>
      </c>
      <c r="E119" s="33" t="s">
        <v>4425</v>
      </c>
      <c r="F119" s="32">
        <v>3891</v>
      </c>
      <c r="G119" s="32">
        <v>5573.6</v>
      </c>
      <c r="J119" s="34" t="s">
        <v>4031</v>
      </c>
      <c r="L119" s="33" t="s">
        <v>4855</v>
      </c>
      <c r="M119" s="32">
        <v>3072.4</v>
      </c>
      <c r="N119" s="32">
        <v>53.6</v>
      </c>
      <c r="O119" s="32">
        <v>34.9</v>
      </c>
    </row>
    <row r="120" spans="1:15" ht="72" x14ac:dyDescent="0.2">
      <c r="A120" s="32" t="s">
        <v>1773</v>
      </c>
      <c r="B120" s="33" t="s">
        <v>4568</v>
      </c>
      <c r="C120" s="33" t="s">
        <v>922</v>
      </c>
      <c r="D120" s="33" t="s">
        <v>4477</v>
      </c>
      <c r="E120" s="33" t="s">
        <v>4425</v>
      </c>
      <c r="F120" s="32">
        <v>359</v>
      </c>
      <c r="G120" s="32">
        <v>4459.2</v>
      </c>
      <c r="J120" s="34" t="s">
        <v>4031</v>
      </c>
      <c r="L120" s="33" t="s">
        <v>4856</v>
      </c>
      <c r="M120" s="32">
        <v>2942.9</v>
      </c>
      <c r="N120" s="32">
        <v>125.2</v>
      </c>
      <c r="O120" s="32">
        <v>55.3</v>
      </c>
    </row>
    <row r="121" spans="1:15" ht="84" x14ac:dyDescent="0.2">
      <c r="A121" s="32" t="s">
        <v>1641</v>
      </c>
      <c r="B121" s="33" t="s">
        <v>4569</v>
      </c>
      <c r="C121" s="33" t="s">
        <v>4434</v>
      </c>
      <c r="D121" s="33" t="s">
        <v>4570</v>
      </c>
      <c r="E121" s="33" t="s">
        <v>4425</v>
      </c>
      <c r="F121" s="32">
        <v>4600</v>
      </c>
      <c r="G121" s="32">
        <v>5238</v>
      </c>
      <c r="J121" s="34" t="s">
        <v>4031</v>
      </c>
      <c r="L121" s="33" t="s">
        <v>4857</v>
      </c>
      <c r="M121" s="32">
        <v>4876.3</v>
      </c>
      <c r="N121" s="32">
        <v>208.9</v>
      </c>
      <c r="O121" s="32">
        <v>67.599999999999994</v>
      </c>
    </row>
    <row r="122" spans="1:15" ht="72" x14ac:dyDescent="0.2">
      <c r="A122" s="32" t="s">
        <v>1855</v>
      </c>
      <c r="B122" s="33" t="s">
        <v>1856</v>
      </c>
      <c r="C122" s="33" t="s">
        <v>866</v>
      </c>
      <c r="D122" s="33" t="s">
        <v>4455</v>
      </c>
      <c r="E122" s="33" t="s">
        <v>4425</v>
      </c>
      <c r="F122" s="32">
        <v>2018</v>
      </c>
      <c r="G122" s="32">
        <v>3922.3</v>
      </c>
      <c r="J122" s="34" t="s">
        <v>4031</v>
      </c>
      <c r="L122" s="33" t="s">
        <v>4858</v>
      </c>
      <c r="M122" s="32">
        <v>370.9</v>
      </c>
      <c r="N122" s="32">
        <v>13.6</v>
      </c>
      <c r="O122" s="32">
        <v>11.9</v>
      </c>
    </row>
    <row r="123" spans="1:15" ht="72" x14ac:dyDescent="0.2">
      <c r="A123" s="32" t="s">
        <v>1870</v>
      </c>
      <c r="B123" s="33" t="s">
        <v>4571</v>
      </c>
      <c r="C123" s="33" t="s">
        <v>922</v>
      </c>
      <c r="D123" s="33" t="s">
        <v>4477</v>
      </c>
      <c r="E123" s="33" t="s">
        <v>4425</v>
      </c>
      <c r="F123" s="32">
        <v>369</v>
      </c>
      <c r="G123" s="32">
        <v>3514.6</v>
      </c>
      <c r="J123" s="34" t="s">
        <v>4031</v>
      </c>
      <c r="L123" s="33" t="s">
        <v>4859</v>
      </c>
      <c r="M123" s="32">
        <v>4105.6000000000004</v>
      </c>
      <c r="N123" s="32">
        <v>121.2</v>
      </c>
      <c r="O123" s="32">
        <v>54.8</v>
      </c>
    </row>
    <row r="124" spans="1:15" ht="96" x14ac:dyDescent="0.2">
      <c r="A124" s="32" t="s">
        <v>1880</v>
      </c>
      <c r="B124" s="33" t="s">
        <v>1881</v>
      </c>
      <c r="C124" s="33" t="s">
        <v>4430</v>
      </c>
      <c r="D124" s="33" t="s">
        <v>4452</v>
      </c>
      <c r="E124" s="33" t="s">
        <v>4425</v>
      </c>
      <c r="F124" s="32">
        <v>2931</v>
      </c>
      <c r="G124" s="32">
        <v>4301.3</v>
      </c>
      <c r="J124" s="34" t="s">
        <v>4031</v>
      </c>
      <c r="L124" s="33" t="s">
        <v>4860</v>
      </c>
      <c r="M124" s="32">
        <v>923.5</v>
      </c>
      <c r="N124" s="32">
        <v>49.3</v>
      </c>
      <c r="O124" s="32">
        <v>33</v>
      </c>
    </row>
    <row r="125" spans="1:15" ht="72" x14ac:dyDescent="0.2">
      <c r="A125" s="32" t="s">
        <v>1765</v>
      </c>
      <c r="B125" s="33" t="s">
        <v>4572</v>
      </c>
      <c r="C125" s="33" t="s">
        <v>922</v>
      </c>
      <c r="D125" s="33" t="s">
        <v>4510</v>
      </c>
      <c r="E125" s="33" t="s">
        <v>4425</v>
      </c>
      <c r="F125" s="32">
        <v>308</v>
      </c>
      <c r="G125" s="32">
        <v>4508.8999999999996</v>
      </c>
      <c r="J125" s="34" t="s">
        <v>4031</v>
      </c>
      <c r="L125" s="33" t="s">
        <v>4861</v>
      </c>
      <c r="M125" s="32">
        <v>1711.9</v>
      </c>
      <c r="N125" s="32">
        <v>80.900000000000006</v>
      </c>
      <c r="O125" s="32">
        <v>44.7</v>
      </c>
    </row>
    <row r="126" spans="1:15" ht="84" x14ac:dyDescent="0.2">
      <c r="A126" s="32" t="s">
        <v>1833</v>
      </c>
      <c r="B126" s="33" t="s">
        <v>4573</v>
      </c>
      <c r="C126" s="33" t="s">
        <v>4512</v>
      </c>
      <c r="D126" s="33" t="s">
        <v>4574</v>
      </c>
      <c r="E126" s="33" t="s">
        <v>4425</v>
      </c>
      <c r="F126" s="32">
        <v>3600</v>
      </c>
      <c r="G126" s="32">
        <v>3846.3</v>
      </c>
      <c r="J126" s="34" t="s">
        <v>4031</v>
      </c>
      <c r="L126" s="33" t="s">
        <v>4862</v>
      </c>
      <c r="M126" s="32">
        <v>1984.5</v>
      </c>
      <c r="O126" s="32">
        <v>99.2</v>
      </c>
    </row>
    <row r="127" spans="1:15" ht="84" x14ac:dyDescent="0.2">
      <c r="A127" s="32" t="s">
        <v>1364</v>
      </c>
      <c r="B127" s="33" t="s">
        <v>4575</v>
      </c>
      <c r="C127" s="33" t="s">
        <v>902</v>
      </c>
      <c r="D127" s="33" t="s">
        <v>4532</v>
      </c>
      <c r="E127" s="33" t="s">
        <v>4425</v>
      </c>
      <c r="F127" s="32">
        <v>19100</v>
      </c>
      <c r="G127" s="32">
        <v>10133.5</v>
      </c>
      <c r="J127" s="34" t="s">
        <v>4031</v>
      </c>
      <c r="L127" s="33" t="s">
        <v>4863</v>
      </c>
      <c r="M127" s="32">
        <v>1434.9</v>
      </c>
      <c r="N127" s="32">
        <v>66.2</v>
      </c>
      <c r="O127" s="32">
        <v>39.799999999999997</v>
      </c>
    </row>
    <row r="128" spans="1:15" ht="84" x14ac:dyDescent="0.2">
      <c r="A128" s="32" t="s">
        <v>1813</v>
      </c>
      <c r="B128" s="33" t="s">
        <v>1814</v>
      </c>
      <c r="C128" s="33" t="s">
        <v>866</v>
      </c>
      <c r="D128" s="33" t="s">
        <v>4455</v>
      </c>
      <c r="E128" s="33" t="s">
        <v>4425</v>
      </c>
      <c r="F128" s="32">
        <v>3986</v>
      </c>
      <c r="G128" s="32">
        <v>4668.7</v>
      </c>
      <c r="J128" s="34" t="s">
        <v>4031</v>
      </c>
      <c r="L128" s="33" t="s">
        <v>4864</v>
      </c>
      <c r="M128" s="32">
        <v>248</v>
      </c>
      <c r="N128" s="32">
        <v>6.8</v>
      </c>
      <c r="O128" s="32">
        <v>6.4</v>
      </c>
    </row>
    <row r="129" spans="1:15" ht="84" x14ac:dyDescent="0.2">
      <c r="A129" s="32" t="s">
        <v>1809</v>
      </c>
      <c r="B129" s="33" t="s">
        <v>4576</v>
      </c>
      <c r="C129" s="33" t="s">
        <v>902</v>
      </c>
      <c r="D129" s="33" t="s">
        <v>4463</v>
      </c>
      <c r="E129" s="33" t="s">
        <v>4425</v>
      </c>
      <c r="F129" s="32">
        <v>4647</v>
      </c>
      <c r="G129" s="32">
        <v>4309.7</v>
      </c>
      <c r="J129" s="34" t="s">
        <v>4031</v>
      </c>
      <c r="L129" s="33" t="s">
        <v>4865</v>
      </c>
      <c r="M129" s="32">
        <v>876.4</v>
      </c>
      <c r="N129" s="32">
        <v>58.6</v>
      </c>
      <c r="O129" s="32">
        <v>37</v>
      </c>
    </row>
    <row r="130" spans="1:15" ht="84" x14ac:dyDescent="0.2">
      <c r="A130" s="32" t="s">
        <v>1643</v>
      </c>
      <c r="B130" s="33" t="s">
        <v>4577</v>
      </c>
      <c r="C130" s="33" t="s">
        <v>4428</v>
      </c>
      <c r="D130" s="33" t="s">
        <v>4559</v>
      </c>
      <c r="E130" s="33" t="s">
        <v>4425</v>
      </c>
      <c r="F130" s="32">
        <v>3700</v>
      </c>
      <c r="G130" s="32">
        <v>5463.1</v>
      </c>
      <c r="J130" s="34" t="s">
        <v>4031</v>
      </c>
      <c r="L130" s="33" t="s">
        <v>4866</v>
      </c>
      <c r="M130" s="32">
        <v>1499.1</v>
      </c>
      <c r="N130" s="32">
        <v>91.9</v>
      </c>
      <c r="O130" s="32">
        <v>47.9</v>
      </c>
    </row>
    <row r="131" spans="1:15" ht="84" x14ac:dyDescent="0.2">
      <c r="A131" s="32" t="s">
        <v>1489</v>
      </c>
      <c r="B131" s="33" t="s">
        <v>4578</v>
      </c>
      <c r="C131" s="33" t="s">
        <v>866</v>
      </c>
      <c r="D131" s="33" t="s">
        <v>4536</v>
      </c>
      <c r="E131" s="33" t="s">
        <v>4425</v>
      </c>
      <c r="F131" s="32">
        <v>2471</v>
      </c>
      <c r="G131" s="32">
        <v>27591.5</v>
      </c>
      <c r="J131" s="34" t="s">
        <v>4031</v>
      </c>
      <c r="L131" s="33" t="s">
        <v>4867</v>
      </c>
      <c r="M131" s="32">
        <v>0</v>
      </c>
      <c r="N131" s="32">
        <v>0</v>
      </c>
      <c r="O131" s="32">
        <v>0</v>
      </c>
    </row>
    <row r="132" spans="1:15" ht="96" x14ac:dyDescent="0.2">
      <c r="A132" s="32" t="s">
        <v>1995</v>
      </c>
      <c r="B132" s="33" t="s">
        <v>1996</v>
      </c>
      <c r="C132" s="33" t="s">
        <v>866</v>
      </c>
      <c r="D132" s="33" t="s">
        <v>4455</v>
      </c>
      <c r="E132" s="33" t="s">
        <v>4425</v>
      </c>
      <c r="F132" s="32">
        <v>2254</v>
      </c>
      <c r="G132" s="32">
        <v>2757.7</v>
      </c>
      <c r="J132" s="40" t="s">
        <v>4031</v>
      </c>
      <c r="L132" s="33" t="s">
        <v>4868</v>
      </c>
      <c r="M132" s="32">
        <v>134.6</v>
      </c>
      <c r="N132" s="32">
        <v>5.9</v>
      </c>
      <c r="O132" s="32">
        <v>5.5</v>
      </c>
    </row>
    <row r="133" spans="1:15" ht="84" x14ac:dyDescent="0.2">
      <c r="A133" s="32" t="s">
        <v>1733</v>
      </c>
      <c r="B133" s="33" t="s">
        <v>1734</v>
      </c>
      <c r="C133" s="33" t="s">
        <v>4428</v>
      </c>
      <c r="D133" s="33" t="s">
        <v>4559</v>
      </c>
      <c r="E133" s="33" t="s">
        <v>4425</v>
      </c>
      <c r="F133" s="32">
        <v>7900</v>
      </c>
      <c r="G133" s="32">
        <v>4432.3999999999996</v>
      </c>
      <c r="J133" s="34" t="s">
        <v>4031</v>
      </c>
      <c r="L133" s="33" t="s">
        <v>4869</v>
      </c>
      <c r="M133" s="32">
        <v>2.1</v>
      </c>
      <c r="N133" s="32">
        <v>0.1</v>
      </c>
      <c r="O133" s="32">
        <v>0.1</v>
      </c>
    </row>
    <row r="134" spans="1:15" ht="72" x14ac:dyDescent="0.2">
      <c r="A134" s="32" t="s">
        <v>1651</v>
      </c>
      <c r="B134" s="33" t="s">
        <v>4579</v>
      </c>
      <c r="C134" s="33" t="s">
        <v>904</v>
      </c>
      <c r="D134" s="33" t="s">
        <v>4445</v>
      </c>
      <c r="E134" s="33" t="s">
        <v>4425</v>
      </c>
      <c r="F134" s="32">
        <v>1943</v>
      </c>
      <c r="G134" s="32">
        <v>5407.3</v>
      </c>
      <c r="J134" s="34" t="s">
        <v>4031</v>
      </c>
      <c r="L134" s="33" t="s">
        <v>4870</v>
      </c>
      <c r="M134" s="32">
        <v>2000.6</v>
      </c>
      <c r="N134" s="32">
        <v>74.900000000000006</v>
      </c>
      <c r="O134" s="32">
        <v>42.8</v>
      </c>
    </row>
    <row r="135" spans="1:15" ht="84" x14ac:dyDescent="0.2">
      <c r="A135" s="32" t="s">
        <v>428</v>
      </c>
      <c r="B135" s="33" t="s">
        <v>4580</v>
      </c>
      <c r="C135" s="33" t="s">
        <v>4430</v>
      </c>
      <c r="D135" s="33" t="s">
        <v>4461</v>
      </c>
      <c r="E135" s="33" t="s">
        <v>4425</v>
      </c>
      <c r="F135" s="32">
        <v>23000</v>
      </c>
      <c r="G135" s="32">
        <v>6458.6</v>
      </c>
      <c r="J135" s="34" t="s">
        <v>4031</v>
      </c>
      <c r="L135" s="33" t="s">
        <v>4871</v>
      </c>
      <c r="M135" s="32">
        <v>956.4</v>
      </c>
      <c r="N135" s="32">
        <v>31.7</v>
      </c>
      <c r="O135" s="32">
        <v>18.600000000000001</v>
      </c>
    </row>
    <row r="136" spans="1:15" ht="84" x14ac:dyDescent="0.2">
      <c r="A136" s="32" t="s">
        <v>1593</v>
      </c>
      <c r="B136" s="33" t="s">
        <v>1594</v>
      </c>
      <c r="C136" s="33" t="s">
        <v>4512</v>
      </c>
      <c r="D136" s="33" t="s">
        <v>4546</v>
      </c>
      <c r="E136" s="33" t="s">
        <v>4425</v>
      </c>
      <c r="F136" s="32">
        <v>12000</v>
      </c>
      <c r="G136" s="32">
        <v>6265</v>
      </c>
      <c r="J136" s="34" t="s">
        <v>4031</v>
      </c>
      <c r="L136" s="33" t="s">
        <v>4872</v>
      </c>
      <c r="M136" s="32">
        <v>1748</v>
      </c>
      <c r="N136" s="32">
        <v>56.7</v>
      </c>
      <c r="O136" s="32">
        <v>36.200000000000003</v>
      </c>
    </row>
    <row r="137" spans="1:15" ht="96" x14ac:dyDescent="0.2">
      <c r="A137" s="32" t="s">
        <v>1667</v>
      </c>
      <c r="B137" s="33" t="s">
        <v>1668</v>
      </c>
      <c r="C137" s="33" t="s">
        <v>4430</v>
      </c>
      <c r="D137" s="33" t="s">
        <v>4581</v>
      </c>
      <c r="E137" s="33" t="s">
        <v>4425</v>
      </c>
      <c r="F137" s="32">
        <v>516</v>
      </c>
      <c r="G137" s="32">
        <v>4498.8</v>
      </c>
      <c r="J137" s="34" t="s">
        <v>4031</v>
      </c>
      <c r="L137" s="33" t="s">
        <v>4873</v>
      </c>
      <c r="M137" s="32">
        <v>1584.5</v>
      </c>
      <c r="N137" s="32">
        <v>119.9</v>
      </c>
      <c r="O137" s="32">
        <v>54.5</v>
      </c>
    </row>
    <row r="138" spans="1:15" ht="96" x14ac:dyDescent="0.2">
      <c r="A138" s="32" t="s">
        <v>1442</v>
      </c>
      <c r="B138" s="33" t="s">
        <v>1443</v>
      </c>
      <c r="C138" s="33" t="s">
        <v>902</v>
      </c>
      <c r="D138" s="33" t="s">
        <v>4491</v>
      </c>
      <c r="E138" s="33" t="s">
        <v>4425</v>
      </c>
      <c r="F138" s="32">
        <v>9700</v>
      </c>
      <c r="G138" s="32">
        <v>7914.6</v>
      </c>
      <c r="J138" s="34" t="s">
        <v>4031</v>
      </c>
      <c r="L138" s="33" t="s">
        <v>4874</v>
      </c>
      <c r="M138" s="32">
        <v>11.3</v>
      </c>
      <c r="N138" s="32">
        <v>0.5</v>
      </c>
      <c r="O138" s="32">
        <v>0.5</v>
      </c>
    </row>
    <row r="139" spans="1:15" ht="84" x14ac:dyDescent="0.2">
      <c r="A139" s="32" t="s">
        <v>2012</v>
      </c>
      <c r="B139" s="33" t="s">
        <v>4582</v>
      </c>
      <c r="C139" s="33" t="s">
        <v>4434</v>
      </c>
      <c r="D139" s="33" t="s">
        <v>4485</v>
      </c>
      <c r="E139" s="33" t="s">
        <v>4425</v>
      </c>
      <c r="F139" s="32">
        <v>5300</v>
      </c>
      <c r="G139" s="32">
        <v>1884.7</v>
      </c>
      <c r="J139" s="40" t="s">
        <v>4031</v>
      </c>
      <c r="L139" s="33" t="s">
        <v>4875</v>
      </c>
      <c r="M139" s="32">
        <v>1273.4000000000001</v>
      </c>
      <c r="O139" s="32">
        <v>279.5</v>
      </c>
    </row>
    <row r="140" spans="1:15" ht="84" x14ac:dyDescent="0.2">
      <c r="A140" s="32" t="s">
        <v>1486</v>
      </c>
      <c r="B140" s="33" t="s">
        <v>4583</v>
      </c>
      <c r="C140" s="33" t="s">
        <v>4428</v>
      </c>
      <c r="D140" s="33" t="s">
        <v>4584</v>
      </c>
      <c r="E140" s="33" t="s">
        <v>4436</v>
      </c>
      <c r="F140" s="32">
        <v>1940</v>
      </c>
      <c r="G140" s="32">
        <v>8176.7</v>
      </c>
      <c r="J140" s="34" t="s">
        <v>4031</v>
      </c>
      <c r="L140" s="33" t="s">
        <v>4876</v>
      </c>
      <c r="M140" s="32">
        <v>6253.6</v>
      </c>
      <c r="N140" s="32">
        <v>158.80000000000001</v>
      </c>
      <c r="O140" s="32">
        <v>61.4</v>
      </c>
    </row>
    <row r="141" spans="1:15" ht="84" x14ac:dyDescent="0.2">
      <c r="A141" s="32" t="s">
        <v>1872</v>
      </c>
      <c r="B141" s="33" t="s">
        <v>4585</v>
      </c>
      <c r="C141" s="33" t="s">
        <v>922</v>
      </c>
      <c r="D141" s="33" t="s">
        <v>4477</v>
      </c>
      <c r="E141" s="33" t="s">
        <v>4425</v>
      </c>
      <c r="F141" s="32">
        <v>1050</v>
      </c>
      <c r="G141" s="32">
        <v>3466.3</v>
      </c>
      <c r="J141" s="34" t="s">
        <v>4031</v>
      </c>
      <c r="L141" s="33" t="s">
        <v>4877</v>
      </c>
      <c r="M141" s="32">
        <v>2113.5</v>
      </c>
      <c r="N141" s="32">
        <v>68.5</v>
      </c>
      <c r="O141" s="32">
        <v>40.6</v>
      </c>
    </row>
    <row r="142" spans="1:15" ht="84" x14ac:dyDescent="0.2">
      <c r="A142" s="32" t="s">
        <v>1788</v>
      </c>
      <c r="B142" s="33" t="s">
        <v>4586</v>
      </c>
      <c r="C142" s="33" t="s">
        <v>902</v>
      </c>
      <c r="D142" s="33" t="s">
        <v>4587</v>
      </c>
      <c r="E142" s="33" t="s">
        <v>4425</v>
      </c>
      <c r="F142" s="32">
        <v>16088</v>
      </c>
      <c r="G142" s="32">
        <v>4296.6000000000004</v>
      </c>
      <c r="J142" s="34" t="s">
        <v>4031</v>
      </c>
      <c r="L142" s="33" t="s">
        <v>4878</v>
      </c>
      <c r="M142" s="32">
        <v>3760</v>
      </c>
      <c r="N142" s="32">
        <v>95.2</v>
      </c>
      <c r="O142" s="32">
        <v>48.8</v>
      </c>
    </row>
    <row r="143" spans="1:15" ht="96" x14ac:dyDescent="0.2">
      <c r="A143" s="32" t="s">
        <v>1411</v>
      </c>
      <c r="B143" s="33" t="s">
        <v>1412</v>
      </c>
      <c r="C143" s="33" t="s">
        <v>866</v>
      </c>
      <c r="D143" s="33" t="s">
        <v>4588</v>
      </c>
      <c r="E143" s="33" t="s">
        <v>4425</v>
      </c>
      <c r="F143" s="32">
        <v>4945</v>
      </c>
      <c r="G143" s="32">
        <v>8587.2999999999993</v>
      </c>
      <c r="J143" s="34" t="s">
        <v>4031</v>
      </c>
      <c r="L143" s="33" t="s">
        <v>4879</v>
      </c>
      <c r="M143" s="32">
        <v>13137.1</v>
      </c>
      <c r="N143" s="32">
        <v>126.5</v>
      </c>
      <c r="O143" s="32">
        <v>55.9</v>
      </c>
    </row>
    <row r="144" spans="1:15" ht="60" x14ac:dyDescent="0.2">
      <c r="A144" s="32" t="s">
        <v>1539</v>
      </c>
      <c r="B144" s="33" t="s">
        <v>4589</v>
      </c>
      <c r="C144" s="33" t="s">
        <v>866</v>
      </c>
      <c r="D144" s="33" t="s">
        <v>4447</v>
      </c>
      <c r="E144" s="33" t="s">
        <v>1709</v>
      </c>
      <c r="F144" s="32">
        <v>2053</v>
      </c>
      <c r="G144" s="32">
        <v>6113.8</v>
      </c>
      <c r="J144" s="34" t="s">
        <v>4031</v>
      </c>
      <c r="L144" s="33" t="s">
        <v>4880</v>
      </c>
      <c r="M144" s="32">
        <v>311.10000000000002</v>
      </c>
      <c r="N144" s="32">
        <v>6.7</v>
      </c>
      <c r="O144" s="32">
        <v>6.3</v>
      </c>
    </row>
    <row r="145" spans="1:15" ht="84" x14ac:dyDescent="0.2">
      <c r="A145" s="32" t="s">
        <v>1318</v>
      </c>
      <c r="B145" s="33" t="s">
        <v>1319</v>
      </c>
      <c r="C145" s="33" t="s">
        <v>922</v>
      </c>
      <c r="D145" s="33" t="s">
        <v>4590</v>
      </c>
      <c r="E145" s="33" t="s">
        <v>4425</v>
      </c>
      <c r="F145" s="32">
        <v>90800</v>
      </c>
      <c r="G145" s="32">
        <v>12160.9</v>
      </c>
      <c r="J145" s="34" t="s">
        <v>4031</v>
      </c>
      <c r="L145" s="33" t="s">
        <v>4881</v>
      </c>
      <c r="M145" s="32">
        <v>890.8</v>
      </c>
      <c r="N145" s="32">
        <v>15.2</v>
      </c>
      <c r="O145" s="32">
        <v>13.2</v>
      </c>
    </row>
    <row r="146" spans="1:15" ht="96" x14ac:dyDescent="0.2">
      <c r="A146" s="32" t="s">
        <v>1931</v>
      </c>
      <c r="B146" s="33" t="s">
        <v>4591</v>
      </c>
      <c r="C146" s="33" t="s">
        <v>902</v>
      </c>
      <c r="D146" s="33" t="s">
        <v>4592</v>
      </c>
      <c r="E146" s="33" t="s">
        <v>4425</v>
      </c>
      <c r="F146" s="32">
        <v>7400</v>
      </c>
      <c r="G146" s="32">
        <v>2811.2</v>
      </c>
      <c r="J146" s="40" t="s">
        <v>4031</v>
      </c>
      <c r="L146" s="33" t="s">
        <v>4882</v>
      </c>
      <c r="M146" s="32">
        <v>1032.5</v>
      </c>
      <c r="N146" s="32">
        <v>93.3</v>
      </c>
      <c r="O146" s="32">
        <v>48.3</v>
      </c>
    </row>
    <row r="147" spans="1:15" ht="72" x14ac:dyDescent="0.2">
      <c r="A147" s="32" t="s">
        <v>1884</v>
      </c>
      <c r="B147" s="33" t="s">
        <v>4593</v>
      </c>
      <c r="C147" s="33" t="s">
        <v>4434</v>
      </c>
      <c r="D147" s="33" t="s">
        <v>4594</v>
      </c>
      <c r="E147" s="33" t="s">
        <v>4425</v>
      </c>
      <c r="F147" s="32">
        <v>62000</v>
      </c>
      <c r="G147" s="32">
        <v>3504.9</v>
      </c>
      <c r="J147" s="34" t="s">
        <v>4031</v>
      </c>
      <c r="L147" s="33" t="s">
        <v>4883</v>
      </c>
      <c r="M147" s="32">
        <v>2851</v>
      </c>
      <c r="N147" s="32">
        <v>794.2</v>
      </c>
      <c r="O147" s="32">
        <v>88.8</v>
      </c>
    </row>
    <row r="148" spans="1:15" ht="84" x14ac:dyDescent="0.2">
      <c r="A148" s="32" t="s">
        <v>1580</v>
      </c>
      <c r="B148" s="33" t="s">
        <v>1581</v>
      </c>
      <c r="C148" s="33" t="s">
        <v>4430</v>
      </c>
      <c r="D148" s="33" t="s">
        <v>4595</v>
      </c>
      <c r="E148" s="33" t="s">
        <v>4425</v>
      </c>
      <c r="F148" s="32">
        <v>29000</v>
      </c>
      <c r="G148" s="32">
        <v>6147.3</v>
      </c>
      <c r="J148" s="34" t="s">
        <v>4031</v>
      </c>
      <c r="L148" s="33" t="s">
        <v>4884</v>
      </c>
      <c r="M148" s="32">
        <v>1580</v>
      </c>
      <c r="N148" s="32">
        <v>106.3</v>
      </c>
      <c r="O148" s="32">
        <v>51.5</v>
      </c>
    </row>
    <row r="149" spans="1:15" ht="84" x14ac:dyDescent="0.2">
      <c r="A149" s="32" t="s">
        <v>1837</v>
      </c>
      <c r="B149" s="33" t="s">
        <v>4596</v>
      </c>
      <c r="C149" s="33" t="s">
        <v>4430</v>
      </c>
      <c r="D149" s="33" t="s">
        <v>4595</v>
      </c>
      <c r="E149" s="33" t="s">
        <v>4425</v>
      </c>
      <c r="F149" s="32">
        <v>90000</v>
      </c>
      <c r="G149" s="32">
        <v>3557</v>
      </c>
      <c r="J149" s="34" t="s">
        <v>4031</v>
      </c>
      <c r="L149" s="33" t="s">
        <v>4885</v>
      </c>
      <c r="M149" s="32">
        <v>280</v>
      </c>
      <c r="N149" s="32">
        <v>5.2</v>
      </c>
      <c r="O149" s="32">
        <v>4.9000000000000004</v>
      </c>
    </row>
    <row r="150" spans="1:15" ht="96" x14ac:dyDescent="0.2">
      <c r="A150" s="32" t="s">
        <v>1876</v>
      </c>
      <c r="B150" s="33" t="s">
        <v>1877</v>
      </c>
      <c r="C150" s="33" t="s">
        <v>866</v>
      </c>
      <c r="D150" s="33" t="s">
        <v>4471</v>
      </c>
      <c r="E150" s="33" t="s">
        <v>4425</v>
      </c>
      <c r="F150" s="32">
        <v>9500</v>
      </c>
      <c r="G150" s="32">
        <v>3796.9</v>
      </c>
      <c r="J150" s="34" t="s">
        <v>4031</v>
      </c>
      <c r="L150" s="33" t="s">
        <v>4886</v>
      </c>
      <c r="M150" s="32">
        <v>1122.0999999999999</v>
      </c>
      <c r="N150" s="32">
        <v>27</v>
      </c>
      <c r="O150" s="32">
        <v>21.3</v>
      </c>
    </row>
    <row r="151" spans="1:15" ht="96" x14ac:dyDescent="0.2">
      <c r="A151" s="32" t="s">
        <v>1953</v>
      </c>
      <c r="B151" s="33" t="s">
        <v>4597</v>
      </c>
      <c r="C151" s="33" t="s">
        <v>902</v>
      </c>
      <c r="D151" s="33" t="s">
        <v>4491</v>
      </c>
      <c r="E151" s="33" t="s">
        <v>4425</v>
      </c>
      <c r="F151" s="32">
        <v>8635</v>
      </c>
      <c r="G151" s="32">
        <v>2912.5</v>
      </c>
      <c r="J151" s="40" t="s">
        <v>4031</v>
      </c>
      <c r="L151" s="33" t="s">
        <v>4887</v>
      </c>
      <c r="M151" s="32">
        <v>592.5</v>
      </c>
      <c r="N151" s="32">
        <v>44.7</v>
      </c>
      <c r="O151" s="32">
        <v>30.9</v>
      </c>
    </row>
    <row r="152" spans="1:15" ht="72" x14ac:dyDescent="0.2">
      <c r="A152" s="32" t="s">
        <v>1682</v>
      </c>
      <c r="B152" s="33" t="s">
        <v>1683</v>
      </c>
      <c r="C152" s="33" t="s">
        <v>866</v>
      </c>
      <c r="D152" s="33" t="s">
        <v>4440</v>
      </c>
      <c r="E152" s="33" t="s">
        <v>4425</v>
      </c>
      <c r="F152" s="32">
        <v>323</v>
      </c>
      <c r="G152" s="32">
        <v>4208.7</v>
      </c>
      <c r="J152" s="34" t="s">
        <v>4031</v>
      </c>
      <c r="L152" s="33" t="s">
        <v>4888</v>
      </c>
      <c r="M152" s="32">
        <v>42.7</v>
      </c>
      <c r="N152" s="32">
        <v>6.5</v>
      </c>
      <c r="O152" s="32">
        <v>6.1</v>
      </c>
    </row>
    <row r="153" spans="1:15" ht="84" x14ac:dyDescent="0.2">
      <c r="A153" s="32" t="s">
        <v>1396</v>
      </c>
      <c r="B153" s="33" t="s">
        <v>4598</v>
      </c>
      <c r="C153" s="33" t="s">
        <v>902</v>
      </c>
      <c r="D153" s="33" t="s">
        <v>4599</v>
      </c>
      <c r="E153" s="33" t="s">
        <v>4425</v>
      </c>
      <c r="F153" s="32">
        <v>22900</v>
      </c>
      <c r="G153" s="32">
        <v>8986.6</v>
      </c>
      <c r="J153" s="34" t="s">
        <v>4031</v>
      </c>
      <c r="L153" s="33" t="s">
        <v>4889</v>
      </c>
      <c r="M153" s="32">
        <v>2025</v>
      </c>
      <c r="N153" s="32">
        <v>32.200000000000003</v>
      </c>
      <c r="O153" s="32">
        <v>24.3</v>
      </c>
    </row>
    <row r="154" spans="1:15" ht="84" x14ac:dyDescent="0.2">
      <c r="A154" s="32" t="s">
        <v>1494</v>
      </c>
      <c r="B154" s="33" t="s">
        <v>4600</v>
      </c>
      <c r="C154" s="33" t="s">
        <v>922</v>
      </c>
      <c r="D154" s="33" t="s">
        <v>4477</v>
      </c>
      <c r="E154" s="33" t="s">
        <v>4425</v>
      </c>
      <c r="F154" s="32">
        <v>252</v>
      </c>
      <c r="G154" s="32">
        <v>7302.1</v>
      </c>
      <c r="J154" s="34" t="s">
        <v>4031</v>
      </c>
      <c r="L154" s="33" t="s">
        <v>4890</v>
      </c>
      <c r="M154" s="32">
        <v>3922.9</v>
      </c>
      <c r="N154" s="32">
        <v>72.099999999999994</v>
      </c>
      <c r="O154" s="32">
        <v>41.9</v>
      </c>
    </row>
    <row r="155" spans="1:15" ht="72" x14ac:dyDescent="0.2">
      <c r="A155" s="32" t="s">
        <v>1760</v>
      </c>
      <c r="B155" s="33" t="s">
        <v>1761</v>
      </c>
      <c r="C155" s="33" t="s">
        <v>922</v>
      </c>
      <c r="D155" s="33" t="s">
        <v>4477</v>
      </c>
      <c r="E155" s="33" t="s">
        <v>4425</v>
      </c>
      <c r="F155" s="32">
        <v>113</v>
      </c>
      <c r="G155" s="32">
        <v>4583.8999999999996</v>
      </c>
      <c r="J155" s="34" t="s">
        <v>4031</v>
      </c>
      <c r="L155" s="33" t="s">
        <v>4891</v>
      </c>
      <c r="M155" s="32">
        <v>1289</v>
      </c>
      <c r="N155" s="32">
        <v>107.5</v>
      </c>
      <c r="O155" s="32">
        <v>51.8</v>
      </c>
    </row>
    <row r="156" spans="1:15" ht="72" x14ac:dyDescent="0.2">
      <c r="A156" s="32" t="s">
        <v>1554</v>
      </c>
      <c r="B156" s="33" t="s">
        <v>4601</v>
      </c>
      <c r="C156" s="33" t="s">
        <v>4434</v>
      </c>
      <c r="D156" s="33" t="s">
        <v>4594</v>
      </c>
      <c r="E156" s="33" t="s">
        <v>4425</v>
      </c>
      <c r="F156" s="32">
        <v>36000</v>
      </c>
      <c r="G156" s="32">
        <v>8385.7000000000007</v>
      </c>
      <c r="J156" s="34" t="s">
        <v>4031</v>
      </c>
      <c r="L156" s="33" t="s">
        <v>4892</v>
      </c>
      <c r="M156" s="32">
        <v>3981</v>
      </c>
      <c r="N156" s="32">
        <v>80.7</v>
      </c>
      <c r="O156" s="32">
        <v>44.7</v>
      </c>
    </row>
    <row r="157" spans="1:15" ht="96" x14ac:dyDescent="0.2">
      <c r="A157" s="32" t="s">
        <v>1386</v>
      </c>
      <c r="B157" s="33" t="s">
        <v>4602</v>
      </c>
      <c r="C157" s="33" t="s">
        <v>922</v>
      </c>
      <c r="D157" s="33" t="s">
        <v>4510</v>
      </c>
      <c r="E157" s="33" t="s">
        <v>4425</v>
      </c>
      <c r="F157" s="32">
        <v>3300</v>
      </c>
      <c r="G157" s="32">
        <v>10860</v>
      </c>
      <c r="J157" s="34" t="s">
        <v>4031</v>
      </c>
      <c r="L157" s="33" t="s">
        <v>4893</v>
      </c>
      <c r="M157" s="32">
        <v>2680.3</v>
      </c>
      <c r="N157" s="32">
        <v>215.8</v>
      </c>
      <c r="O157" s="32">
        <v>68.3</v>
      </c>
    </row>
    <row r="158" spans="1:15" ht="84" x14ac:dyDescent="0.2">
      <c r="A158" s="32" t="s">
        <v>1786</v>
      </c>
      <c r="B158" s="33" t="s">
        <v>4603</v>
      </c>
      <c r="C158" s="33" t="s">
        <v>4512</v>
      </c>
      <c r="D158" s="33" t="s">
        <v>4546</v>
      </c>
      <c r="E158" s="33" t="s">
        <v>4425</v>
      </c>
      <c r="F158" s="32">
        <v>3200</v>
      </c>
      <c r="G158" s="32">
        <v>4327.2</v>
      </c>
      <c r="J158" s="34" t="s">
        <v>4031</v>
      </c>
      <c r="L158" s="33" t="s">
        <v>4894</v>
      </c>
      <c r="M158" s="32">
        <v>0</v>
      </c>
      <c r="N158" s="32">
        <v>0</v>
      </c>
      <c r="O158" s="32">
        <v>0</v>
      </c>
    </row>
    <row r="159" spans="1:15" ht="96" x14ac:dyDescent="0.2">
      <c r="A159" s="32" t="s">
        <v>1375</v>
      </c>
      <c r="B159" s="33" t="s">
        <v>4604</v>
      </c>
      <c r="C159" s="33" t="s">
        <v>4434</v>
      </c>
      <c r="D159" s="33" t="s">
        <v>4435</v>
      </c>
      <c r="E159" s="33" t="s">
        <v>4425</v>
      </c>
      <c r="F159" s="32">
        <v>174600</v>
      </c>
      <c r="G159" s="32">
        <v>10209.299999999999</v>
      </c>
      <c r="J159" s="34" t="s">
        <v>4031</v>
      </c>
      <c r="L159" s="33" t="s">
        <v>4895</v>
      </c>
      <c r="M159" s="32">
        <v>2095.8000000000002</v>
      </c>
      <c r="N159" s="32">
        <v>45.3</v>
      </c>
      <c r="O159" s="32">
        <v>31.2</v>
      </c>
    </row>
    <row r="160" spans="1:15" ht="84" x14ac:dyDescent="0.2">
      <c r="A160" s="32" t="s">
        <v>1468</v>
      </c>
      <c r="B160" s="33" t="s">
        <v>4605</v>
      </c>
      <c r="C160" s="33" t="s">
        <v>902</v>
      </c>
      <c r="D160" s="33" t="s">
        <v>4491</v>
      </c>
      <c r="E160" s="33" t="s">
        <v>4425</v>
      </c>
      <c r="F160" s="32">
        <v>10700</v>
      </c>
      <c r="G160" s="32">
        <v>7518.6</v>
      </c>
      <c r="J160" s="34" t="s">
        <v>4031</v>
      </c>
      <c r="L160" s="33" t="s">
        <v>4896</v>
      </c>
      <c r="M160" s="32">
        <v>717.8</v>
      </c>
      <c r="N160" s="32">
        <v>83.7</v>
      </c>
      <c r="O160" s="32">
        <v>45.6</v>
      </c>
    </row>
    <row r="161" spans="1:15" ht="96" x14ac:dyDescent="0.2">
      <c r="A161" s="32" t="s">
        <v>1673</v>
      </c>
      <c r="B161" s="33" t="s">
        <v>4606</v>
      </c>
      <c r="C161" s="33" t="s">
        <v>4434</v>
      </c>
      <c r="D161" s="33" t="s">
        <v>4607</v>
      </c>
      <c r="E161" s="33" t="s">
        <v>4425</v>
      </c>
      <c r="F161" s="32">
        <v>20400</v>
      </c>
      <c r="G161" s="32">
        <v>5129.7</v>
      </c>
      <c r="J161" s="34" t="s">
        <v>4031</v>
      </c>
      <c r="L161" s="33" t="s">
        <v>4897</v>
      </c>
      <c r="M161" s="32">
        <v>1765.6</v>
      </c>
      <c r="N161" s="32">
        <v>112</v>
      </c>
      <c r="O161" s="32">
        <v>52.8</v>
      </c>
    </row>
    <row r="162" spans="1:15" ht="72" x14ac:dyDescent="0.2">
      <c r="A162" s="32" t="s">
        <v>1777</v>
      </c>
      <c r="B162" s="33" t="s">
        <v>4609</v>
      </c>
      <c r="C162" s="33" t="s">
        <v>4428</v>
      </c>
      <c r="D162" s="33" t="s">
        <v>4559</v>
      </c>
      <c r="E162" s="33" t="s">
        <v>1709</v>
      </c>
      <c r="F162" s="32">
        <v>4000</v>
      </c>
      <c r="G162" s="32">
        <v>3953.6</v>
      </c>
      <c r="J162" s="34" t="s">
        <v>4031</v>
      </c>
      <c r="L162" s="33" t="s">
        <v>4900</v>
      </c>
      <c r="M162" s="32">
        <v>10.8</v>
      </c>
      <c r="N162" s="32">
        <v>0.8</v>
      </c>
      <c r="O162" s="32">
        <v>0.8</v>
      </c>
    </row>
    <row r="163" spans="1:15" ht="84" x14ac:dyDescent="0.2">
      <c r="A163" s="32" t="s">
        <v>1565</v>
      </c>
      <c r="B163" s="33" t="s">
        <v>4610</v>
      </c>
      <c r="C163" s="33" t="s">
        <v>4423</v>
      </c>
      <c r="D163" s="33" t="s">
        <v>4611</v>
      </c>
      <c r="E163" s="33" t="s">
        <v>4425</v>
      </c>
      <c r="F163" s="32">
        <v>4500</v>
      </c>
      <c r="G163" s="32">
        <v>5672.7</v>
      </c>
      <c r="J163" s="34" t="s">
        <v>4031</v>
      </c>
      <c r="L163" s="33" t="s">
        <v>4901</v>
      </c>
      <c r="M163" s="32">
        <v>346</v>
      </c>
      <c r="N163" s="32">
        <v>25.3</v>
      </c>
      <c r="O163" s="32">
        <v>20.2</v>
      </c>
    </row>
    <row r="164" spans="1:15" ht="96" x14ac:dyDescent="0.2">
      <c r="A164" s="32" t="s">
        <v>1476</v>
      </c>
      <c r="B164" s="33" t="s">
        <v>4612</v>
      </c>
      <c r="C164" s="33" t="s">
        <v>4434</v>
      </c>
      <c r="D164" s="33" t="s">
        <v>4594</v>
      </c>
      <c r="E164" s="33" t="s">
        <v>4425</v>
      </c>
      <c r="F164" s="32">
        <v>75711</v>
      </c>
      <c r="G164" s="32">
        <v>7784</v>
      </c>
      <c r="J164" s="34" t="s">
        <v>4031</v>
      </c>
      <c r="L164" s="33" t="s">
        <v>4902</v>
      </c>
      <c r="M164" s="32">
        <v>3295</v>
      </c>
      <c r="N164" s="32">
        <v>109.5</v>
      </c>
      <c r="O164" s="32">
        <v>52.3</v>
      </c>
    </row>
    <row r="165" spans="1:15" ht="96" x14ac:dyDescent="0.2">
      <c r="A165" s="32" t="s">
        <v>1874</v>
      </c>
      <c r="B165" s="33" t="s">
        <v>4613</v>
      </c>
      <c r="C165" s="33" t="s">
        <v>922</v>
      </c>
      <c r="D165" s="33" t="s">
        <v>4477</v>
      </c>
      <c r="E165" s="33" t="s">
        <v>4425</v>
      </c>
      <c r="F165" s="32">
        <v>659</v>
      </c>
      <c r="G165" s="32">
        <v>3660</v>
      </c>
      <c r="J165" s="34" t="s">
        <v>4031</v>
      </c>
      <c r="L165" s="33" t="s">
        <v>4903</v>
      </c>
      <c r="M165" s="32">
        <v>4683.1000000000004</v>
      </c>
      <c r="N165" s="32">
        <v>152.30000000000001</v>
      </c>
      <c r="O165" s="32">
        <v>60.4</v>
      </c>
    </row>
    <row r="166" spans="1:15" ht="84" x14ac:dyDescent="0.2">
      <c r="A166" s="32" t="s">
        <v>1696</v>
      </c>
      <c r="B166" s="33" t="s">
        <v>4614</v>
      </c>
      <c r="C166" s="33" t="s">
        <v>902</v>
      </c>
      <c r="D166" s="33" t="s">
        <v>4615</v>
      </c>
      <c r="E166" s="33" t="s">
        <v>4425</v>
      </c>
      <c r="F166" s="32">
        <v>25000</v>
      </c>
      <c r="G166" s="32">
        <v>5574.8</v>
      </c>
      <c r="J166" s="34" t="s">
        <v>4031</v>
      </c>
      <c r="L166" s="33" t="s">
        <v>4904</v>
      </c>
      <c r="M166" s="32">
        <v>582.6</v>
      </c>
      <c r="N166" s="32">
        <v>23.6</v>
      </c>
      <c r="O166" s="32">
        <v>19.100000000000001</v>
      </c>
    </row>
    <row r="167" spans="1:15" ht="96" x14ac:dyDescent="0.2">
      <c r="A167" s="32" t="s">
        <v>1400</v>
      </c>
      <c r="B167" s="33" t="s">
        <v>4616</v>
      </c>
      <c r="C167" s="33" t="s">
        <v>4430</v>
      </c>
      <c r="D167" s="33" t="s">
        <v>4595</v>
      </c>
      <c r="E167" s="33" t="s">
        <v>4425</v>
      </c>
      <c r="F167" s="32">
        <v>3500</v>
      </c>
      <c r="G167" s="32">
        <v>7866.6</v>
      </c>
      <c r="J167" s="34" t="s">
        <v>4031</v>
      </c>
      <c r="L167" s="33" t="s">
        <v>4905</v>
      </c>
      <c r="M167" s="32">
        <v>0</v>
      </c>
      <c r="N167" s="32">
        <v>0</v>
      </c>
      <c r="O167" s="32">
        <v>0</v>
      </c>
    </row>
    <row r="168" spans="1:15" ht="84" x14ac:dyDescent="0.2">
      <c r="A168" s="32" t="s">
        <v>1514</v>
      </c>
      <c r="B168" s="33" t="s">
        <v>1515</v>
      </c>
      <c r="C168" s="33" t="s">
        <v>4434</v>
      </c>
      <c r="D168" s="33" t="s">
        <v>4617</v>
      </c>
      <c r="E168" s="33" t="s">
        <v>4425</v>
      </c>
      <c r="F168" s="32">
        <v>32100</v>
      </c>
      <c r="G168" s="32">
        <v>7168</v>
      </c>
      <c r="J168" s="34" t="s">
        <v>4031</v>
      </c>
      <c r="L168" s="33" t="s">
        <v>4906</v>
      </c>
      <c r="M168" s="32">
        <v>2569.8000000000002</v>
      </c>
      <c r="N168" s="32">
        <v>195.6</v>
      </c>
      <c r="O168" s="32">
        <v>66.2</v>
      </c>
    </row>
    <row r="169" spans="1:15" ht="84" x14ac:dyDescent="0.2">
      <c r="A169" s="32" t="s">
        <v>1969</v>
      </c>
      <c r="B169" s="33" t="s">
        <v>4618</v>
      </c>
      <c r="C169" s="33" t="s">
        <v>866</v>
      </c>
      <c r="D169" s="33" t="s">
        <v>4440</v>
      </c>
      <c r="E169" s="33" t="s">
        <v>4425</v>
      </c>
      <c r="F169" s="32">
        <v>4300</v>
      </c>
      <c r="G169" s="32">
        <v>3003.3</v>
      </c>
      <c r="J169" s="40" t="s">
        <v>4031</v>
      </c>
      <c r="L169" s="33" t="s">
        <v>4907</v>
      </c>
      <c r="M169" s="32">
        <v>372.8</v>
      </c>
      <c r="N169" s="32">
        <v>17.399999999999999</v>
      </c>
      <c r="O169" s="32">
        <v>14.8</v>
      </c>
    </row>
    <row r="170" spans="1:15" ht="84" x14ac:dyDescent="0.2">
      <c r="A170" s="32" t="s">
        <v>1605</v>
      </c>
      <c r="B170" s="33" t="s">
        <v>4619</v>
      </c>
      <c r="C170" s="33" t="s">
        <v>904</v>
      </c>
      <c r="D170" s="33" t="s">
        <v>4472</v>
      </c>
      <c r="E170" s="33" t="s">
        <v>4425</v>
      </c>
      <c r="F170" s="32">
        <v>12994</v>
      </c>
      <c r="G170" s="32">
        <v>5899.2</v>
      </c>
      <c r="J170" s="34" t="s">
        <v>4031</v>
      </c>
      <c r="L170" s="33" t="s">
        <v>4908</v>
      </c>
      <c r="M170" s="32">
        <v>2326.6999999999998</v>
      </c>
      <c r="N170" s="32">
        <v>69.8</v>
      </c>
      <c r="O170" s="32">
        <v>41.1</v>
      </c>
    </row>
    <row r="171" spans="1:15" ht="96" x14ac:dyDescent="0.2">
      <c r="A171" s="32" t="s">
        <v>1302</v>
      </c>
      <c r="B171" s="33" t="s">
        <v>4622</v>
      </c>
      <c r="C171" s="33" t="s">
        <v>4428</v>
      </c>
      <c r="D171" s="33" t="s">
        <v>4623</v>
      </c>
      <c r="E171" s="33" t="s">
        <v>4425</v>
      </c>
      <c r="F171" s="32">
        <v>10500</v>
      </c>
      <c r="G171" s="32">
        <v>15667.6</v>
      </c>
      <c r="J171" s="34" t="s">
        <v>4031</v>
      </c>
      <c r="L171" s="33" t="s">
        <v>4910</v>
      </c>
      <c r="M171" s="32">
        <v>2350</v>
      </c>
      <c r="N171" s="32">
        <v>93.3</v>
      </c>
      <c r="O171" s="32">
        <v>48.3</v>
      </c>
    </row>
    <row r="172" spans="1:15" ht="84" x14ac:dyDescent="0.2">
      <c r="A172" s="32" t="s">
        <v>1314</v>
      </c>
      <c r="B172" s="33" t="s">
        <v>4624</v>
      </c>
      <c r="C172" s="33" t="s">
        <v>922</v>
      </c>
      <c r="D172" s="33" t="s">
        <v>4510</v>
      </c>
      <c r="E172" s="33" t="s">
        <v>4425</v>
      </c>
      <c r="F172" s="32">
        <v>106</v>
      </c>
      <c r="G172" s="32">
        <v>13297.5</v>
      </c>
      <c r="J172" s="34" t="s">
        <v>4031</v>
      </c>
      <c r="L172" s="33" t="s">
        <v>4911</v>
      </c>
      <c r="M172" s="32">
        <v>10581</v>
      </c>
      <c r="N172" s="32">
        <v>126.7</v>
      </c>
      <c r="O172" s="32">
        <v>55.9</v>
      </c>
    </row>
    <row r="173" spans="1:15" ht="84" x14ac:dyDescent="0.2">
      <c r="A173" s="32" t="s">
        <v>1627</v>
      </c>
      <c r="B173" s="33" t="s">
        <v>1628</v>
      </c>
      <c r="C173" s="33" t="s">
        <v>902</v>
      </c>
      <c r="D173" s="33" t="s">
        <v>4625</v>
      </c>
      <c r="E173" s="33" t="s">
        <v>4425</v>
      </c>
      <c r="F173" s="32">
        <v>4800</v>
      </c>
      <c r="G173" s="32">
        <v>5275.9</v>
      </c>
      <c r="J173" s="34" t="s">
        <v>4031</v>
      </c>
      <c r="L173" s="33" t="s">
        <v>4912</v>
      </c>
      <c r="M173" s="32">
        <v>592.70000000000005</v>
      </c>
      <c r="N173" s="32">
        <v>72.2</v>
      </c>
      <c r="O173" s="32">
        <v>41.8</v>
      </c>
    </row>
    <row r="174" spans="1:15" ht="96" x14ac:dyDescent="0.2">
      <c r="A174" s="32" t="s">
        <v>1859</v>
      </c>
      <c r="B174" s="33" t="s">
        <v>4626</v>
      </c>
      <c r="C174" s="33" t="s">
        <v>902</v>
      </c>
      <c r="D174" s="33" t="s">
        <v>4491</v>
      </c>
      <c r="E174" s="33" t="s">
        <v>4425</v>
      </c>
      <c r="F174" s="32">
        <v>6571</v>
      </c>
      <c r="G174" s="32">
        <v>4577.6000000000004</v>
      </c>
      <c r="J174" s="34" t="s">
        <v>4031</v>
      </c>
      <c r="L174" s="33" t="s">
        <v>4913</v>
      </c>
      <c r="M174" s="32">
        <v>558.29999999999995</v>
      </c>
      <c r="N174" s="32">
        <v>47.2</v>
      </c>
      <c r="O174" s="32">
        <v>32.1</v>
      </c>
    </row>
    <row r="175" spans="1:15" ht="96" x14ac:dyDescent="0.2">
      <c r="A175" s="32" t="s">
        <v>1775</v>
      </c>
      <c r="B175" s="33" t="s">
        <v>4627</v>
      </c>
      <c r="C175" s="33" t="s">
        <v>866</v>
      </c>
      <c r="D175" s="33" t="s">
        <v>4440</v>
      </c>
      <c r="E175" s="33" t="s">
        <v>4425</v>
      </c>
      <c r="F175" s="32">
        <v>739</v>
      </c>
      <c r="G175" s="32">
        <v>4965.1000000000004</v>
      </c>
      <c r="J175" s="34" t="s">
        <v>4031</v>
      </c>
      <c r="L175" s="33" t="s">
        <v>4914</v>
      </c>
      <c r="M175" s="32">
        <v>1244.8</v>
      </c>
      <c r="N175" s="32">
        <v>25.5</v>
      </c>
      <c r="O175" s="32">
        <v>20.3</v>
      </c>
    </row>
    <row r="176" spans="1:15" ht="84" x14ac:dyDescent="0.2">
      <c r="A176" s="32" t="s">
        <v>1563</v>
      </c>
      <c r="B176" s="33" t="s">
        <v>4628</v>
      </c>
      <c r="C176" s="33" t="s">
        <v>902</v>
      </c>
      <c r="D176" s="33" t="s">
        <v>4433</v>
      </c>
      <c r="E176" s="33" t="s">
        <v>4425</v>
      </c>
      <c r="F176" s="32">
        <v>23000</v>
      </c>
      <c r="G176" s="32">
        <v>6439.5</v>
      </c>
      <c r="J176" s="34" t="s">
        <v>4031</v>
      </c>
      <c r="L176" s="33" t="s">
        <v>4915</v>
      </c>
      <c r="M176" s="32">
        <v>1347.1</v>
      </c>
      <c r="N176" s="32">
        <v>59.3</v>
      </c>
      <c r="O176" s="32">
        <v>37.200000000000003</v>
      </c>
    </row>
    <row r="177" spans="1:15" ht="72" x14ac:dyDescent="0.2">
      <c r="A177" s="32" t="s">
        <v>1849</v>
      </c>
      <c r="B177" s="33" t="s">
        <v>4629</v>
      </c>
      <c r="C177" s="33" t="s">
        <v>885</v>
      </c>
      <c r="D177" s="33" t="s">
        <v>4505</v>
      </c>
      <c r="E177" s="33" t="s">
        <v>4425</v>
      </c>
      <c r="F177" s="32">
        <v>675</v>
      </c>
      <c r="G177" s="32">
        <v>4752.7</v>
      </c>
      <c r="J177" s="34" t="s">
        <v>4031</v>
      </c>
      <c r="L177" s="33" t="s">
        <v>4916</v>
      </c>
      <c r="M177" s="32">
        <v>2613.6999999999998</v>
      </c>
      <c r="N177" s="32">
        <v>66.2</v>
      </c>
      <c r="O177" s="32">
        <v>39.799999999999997</v>
      </c>
    </row>
    <row r="178" spans="1:15" ht="84" x14ac:dyDescent="0.2">
      <c r="A178" s="32" t="s">
        <v>1731</v>
      </c>
      <c r="B178" s="33" t="s">
        <v>4630</v>
      </c>
      <c r="C178" s="33" t="s">
        <v>885</v>
      </c>
      <c r="D178" s="33" t="s">
        <v>4567</v>
      </c>
      <c r="E178" s="33" t="s">
        <v>4425</v>
      </c>
      <c r="F178" s="32">
        <v>4900</v>
      </c>
      <c r="G178" s="32">
        <v>4773.7</v>
      </c>
      <c r="J178" s="34" t="s">
        <v>4031</v>
      </c>
      <c r="L178" s="33" t="s">
        <v>4917</v>
      </c>
      <c r="M178" s="32">
        <v>1799.3</v>
      </c>
      <c r="N178" s="32">
        <v>218.1</v>
      </c>
      <c r="O178" s="32">
        <v>68.599999999999994</v>
      </c>
    </row>
    <row r="179" spans="1:15" ht="60" x14ac:dyDescent="0.2">
      <c r="A179" s="32" t="s">
        <v>1645</v>
      </c>
      <c r="B179" s="33" t="s">
        <v>1646</v>
      </c>
      <c r="C179" s="33" t="s">
        <v>4430</v>
      </c>
      <c r="D179" s="33" t="s">
        <v>4452</v>
      </c>
      <c r="E179" s="33" t="s">
        <v>4425</v>
      </c>
      <c r="F179" s="32">
        <v>7000</v>
      </c>
      <c r="G179" s="32">
        <v>5279.2</v>
      </c>
      <c r="J179" s="34" t="s">
        <v>4031</v>
      </c>
      <c r="L179" s="33" t="s">
        <v>4918</v>
      </c>
      <c r="M179" s="32">
        <v>100</v>
      </c>
      <c r="N179" s="32">
        <v>8.1999999999999993</v>
      </c>
      <c r="O179" s="32">
        <v>7.5</v>
      </c>
    </row>
    <row r="180" spans="1:15" ht="96" x14ac:dyDescent="0.2">
      <c r="A180" s="32" t="s">
        <v>1901</v>
      </c>
      <c r="B180" s="33" t="s">
        <v>1902</v>
      </c>
      <c r="C180" s="33" t="s">
        <v>866</v>
      </c>
      <c r="D180" s="33" t="s">
        <v>4540</v>
      </c>
      <c r="E180" s="33" t="s">
        <v>4425</v>
      </c>
      <c r="F180" s="32">
        <v>5560</v>
      </c>
      <c r="G180" s="32">
        <v>2605.4</v>
      </c>
      <c r="J180" s="40" t="s">
        <v>4031</v>
      </c>
      <c r="L180" s="33" t="s">
        <v>4919</v>
      </c>
      <c r="M180" s="32">
        <v>75629</v>
      </c>
      <c r="O180" s="32">
        <v>96.5</v>
      </c>
    </row>
    <row r="181" spans="1:15" ht="96" x14ac:dyDescent="0.2">
      <c r="A181" s="32" t="s">
        <v>1478</v>
      </c>
      <c r="B181" s="33" t="s">
        <v>4631</v>
      </c>
      <c r="C181" s="33" t="s">
        <v>4428</v>
      </c>
      <c r="D181" s="33" t="s">
        <v>4453</v>
      </c>
      <c r="E181" s="33" t="s">
        <v>4425</v>
      </c>
      <c r="F181" s="32">
        <v>845</v>
      </c>
      <c r="G181" s="32">
        <v>7163.4</v>
      </c>
      <c r="J181" s="34" t="s">
        <v>4031</v>
      </c>
      <c r="L181" s="33" t="s">
        <v>4920</v>
      </c>
      <c r="M181" s="32">
        <v>330.7</v>
      </c>
      <c r="N181" s="32">
        <v>24.6</v>
      </c>
      <c r="O181" s="32">
        <v>19.7</v>
      </c>
    </row>
    <row r="182" spans="1:15" ht="96" x14ac:dyDescent="0.2">
      <c r="A182" s="32" t="s">
        <v>1698</v>
      </c>
      <c r="B182" s="33" t="s">
        <v>4632</v>
      </c>
      <c r="C182" s="33" t="s">
        <v>4430</v>
      </c>
      <c r="D182" s="33" t="s">
        <v>4595</v>
      </c>
      <c r="E182" s="33" t="s">
        <v>4425</v>
      </c>
      <c r="F182" s="32">
        <v>36000</v>
      </c>
      <c r="G182" s="32">
        <v>5009.3999999999996</v>
      </c>
      <c r="J182" s="34" t="s">
        <v>4031</v>
      </c>
      <c r="L182" s="33" t="s">
        <v>4921</v>
      </c>
      <c r="M182" s="32">
        <v>5551</v>
      </c>
      <c r="N182" s="32">
        <v>469.2</v>
      </c>
      <c r="O182" s="32">
        <v>79.2</v>
      </c>
    </row>
    <row r="183" spans="1:15" ht="84" x14ac:dyDescent="0.2">
      <c r="A183" s="32" t="s">
        <v>1878</v>
      </c>
      <c r="B183" s="33" t="s">
        <v>4635</v>
      </c>
      <c r="C183" s="33" t="s">
        <v>4423</v>
      </c>
      <c r="D183" s="33" t="s">
        <v>4489</v>
      </c>
      <c r="E183" s="33" t="s">
        <v>4425</v>
      </c>
      <c r="F183" s="32">
        <v>2105</v>
      </c>
      <c r="G183" s="32">
        <v>3573.7</v>
      </c>
      <c r="J183" s="34" t="s">
        <v>4031</v>
      </c>
      <c r="L183" s="33" t="s">
        <v>4924</v>
      </c>
      <c r="M183" s="32">
        <v>991.9</v>
      </c>
      <c r="N183" s="32">
        <v>128.4</v>
      </c>
      <c r="O183" s="32">
        <v>56.2</v>
      </c>
    </row>
    <row r="184" spans="1:15" ht="72" x14ac:dyDescent="0.2">
      <c r="A184" s="32" t="s">
        <v>1636</v>
      </c>
      <c r="B184" s="33" t="s">
        <v>4636</v>
      </c>
      <c r="C184" s="33" t="s">
        <v>904</v>
      </c>
      <c r="D184" s="33" t="s">
        <v>4637</v>
      </c>
      <c r="E184" s="33" t="s">
        <v>4425</v>
      </c>
      <c r="F184" s="32">
        <v>2188</v>
      </c>
      <c r="G184" s="32">
        <v>5431.8</v>
      </c>
      <c r="J184" s="34" t="s">
        <v>4031</v>
      </c>
      <c r="L184" s="33" t="s">
        <v>4925</v>
      </c>
      <c r="M184" s="32">
        <v>2628.7</v>
      </c>
      <c r="N184" s="32">
        <v>147.19999999999999</v>
      </c>
      <c r="O184" s="32">
        <v>59.5</v>
      </c>
    </row>
    <row r="185" spans="1:15" ht="96" x14ac:dyDescent="0.2">
      <c r="A185" s="32" t="s">
        <v>1863</v>
      </c>
      <c r="B185" s="33" t="s">
        <v>1864</v>
      </c>
      <c r="C185" s="33" t="s">
        <v>904</v>
      </c>
      <c r="D185" s="33" t="s">
        <v>4637</v>
      </c>
      <c r="E185" s="33" t="s">
        <v>4425</v>
      </c>
      <c r="F185" s="32">
        <v>1251</v>
      </c>
      <c r="G185" s="32">
        <v>3750.9</v>
      </c>
      <c r="J185" s="34" t="s">
        <v>4031</v>
      </c>
      <c r="L185" s="33" t="s">
        <v>4927</v>
      </c>
      <c r="M185" s="32">
        <v>2162.1999999999998</v>
      </c>
      <c r="N185" s="32">
        <v>132.6</v>
      </c>
      <c r="O185" s="32">
        <v>57</v>
      </c>
    </row>
    <row r="186" spans="1:15" ht="84" x14ac:dyDescent="0.2">
      <c r="A186" s="32" t="s">
        <v>1459</v>
      </c>
      <c r="B186" s="33" t="s">
        <v>4638</v>
      </c>
      <c r="C186" s="33" t="s">
        <v>922</v>
      </c>
      <c r="D186" s="33" t="s">
        <v>4477</v>
      </c>
      <c r="E186" s="33" t="s">
        <v>4425</v>
      </c>
      <c r="F186" s="32">
        <v>68</v>
      </c>
      <c r="G186" s="32">
        <v>7618.3</v>
      </c>
      <c r="J186" s="34" t="s">
        <v>4031</v>
      </c>
      <c r="L186" s="33" t="s">
        <v>4928</v>
      </c>
      <c r="M186" s="32">
        <v>3745.6</v>
      </c>
      <c r="N186" s="32">
        <v>95.7</v>
      </c>
      <c r="O186" s="32">
        <v>46.8</v>
      </c>
    </row>
    <row r="187" spans="1:15" ht="84" x14ac:dyDescent="0.2">
      <c r="A187" s="32" t="s">
        <v>1703</v>
      </c>
      <c r="B187" s="33" t="s">
        <v>4639</v>
      </c>
      <c r="C187" s="33" t="s">
        <v>885</v>
      </c>
      <c r="D187" s="33" t="s">
        <v>4497</v>
      </c>
      <c r="E187" s="33" t="s">
        <v>4425</v>
      </c>
      <c r="F187" s="32">
        <v>27631</v>
      </c>
      <c r="G187" s="32">
        <v>6458.1</v>
      </c>
      <c r="J187" s="34" t="s">
        <v>4031</v>
      </c>
      <c r="L187" s="33" t="s">
        <v>4929</v>
      </c>
      <c r="M187" s="32">
        <v>1926</v>
      </c>
      <c r="N187" s="32">
        <v>38.4</v>
      </c>
      <c r="O187" s="32">
        <v>27.8</v>
      </c>
    </row>
    <row r="188" spans="1:15" ht="84" x14ac:dyDescent="0.2">
      <c r="A188" s="32" t="s">
        <v>1607</v>
      </c>
      <c r="B188" s="33" t="s">
        <v>4640</v>
      </c>
      <c r="C188" s="33" t="s">
        <v>922</v>
      </c>
      <c r="D188" s="33" t="s">
        <v>4510</v>
      </c>
      <c r="E188" s="33" t="s">
        <v>4425</v>
      </c>
      <c r="F188" s="32">
        <v>924</v>
      </c>
      <c r="G188" s="32">
        <v>5321.8</v>
      </c>
      <c r="J188" s="34" t="s">
        <v>4031</v>
      </c>
      <c r="L188" s="33" t="s">
        <v>4930</v>
      </c>
      <c r="M188" s="32">
        <v>2128.5</v>
      </c>
      <c r="N188" s="32">
        <v>153.1</v>
      </c>
      <c r="O188" s="32">
        <v>57</v>
      </c>
    </row>
    <row r="189" spans="1:15" ht="84" x14ac:dyDescent="0.2">
      <c r="A189" s="32" t="s">
        <v>2001</v>
      </c>
      <c r="B189" s="33" t="s">
        <v>4641</v>
      </c>
      <c r="C189" s="33" t="s">
        <v>4512</v>
      </c>
      <c r="D189" s="33" t="s">
        <v>4513</v>
      </c>
      <c r="E189" s="33" t="s">
        <v>4425</v>
      </c>
      <c r="F189" s="32">
        <v>5000</v>
      </c>
      <c r="G189" s="32">
        <v>2400</v>
      </c>
      <c r="J189" s="40" t="s">
        <v>4031</v>
      </c>
      <c r="L189" s="33" t="s">
        <v>4931</v>
      </c>
      <c r="M189" s="32">
        <v>278.60000000000002</v>
      </c>
      <c r="N189" s="32">
        <v>29.7</v>
      </c>
      <c r="O189" s="32">
        <v>22.9</v>
      </c>
    </row>
    <row r="190" spans="1:15" ht="84" x14ac:dyDescent="0.2">
      <c r="A190" s="32" t="s">
        <v>1993</v>
      </c>
      <c r="B190" s="33" t="s">
        <v>4642</v>
      </c>
      <c r="C190" s="33" t="s">
        <v>4428</v>
      </c>
      <c r="D190" s="33" t="s">
        <v>4559</v>
      </c>
      <c r="E190" s="33" t="s">
        <v>4425</v>
      </c>
      <c r="F190" s="32">
        <v>2700</v>
      </c>
      <c r="G190" s="32">
        <v>2674.8</v>
      </c>
      <c r="J190" s="40" t="s">
        <v>4031</v>
      </c>
      <c r="L190" s="33" t="s">
        <v>4932</v>
      </c>
      <c r="M190" s="32">
        <v>884.2</v>
      </c>
      <c r="N190" s="32">
        <v>107.3</v>
      </c>
      <c r="O190" s="32">
        <v>51.8</v>
      </c>
    </row>
    <row r="191" spans="1:15" ht="96" x14ac:dyDescent="0.2">
      <c r="A191" s="32" t="s">
        <v>1530</v>
      </c>
      <c r="B191" s="33" t="s">
        <v>4643</v>
      </c>
      <c r="C191" s="33" t="s">
        <v>4428</v>
      </c>
      <c r="D191" s="33" t="s">
        <v>4559</v>
      </c>
      <c r="E191" s="33" t="s">
        <v>4425</v>
      </c>
      <c r="F191" s="32">
        <v>12400</v>
      </c>
      <c r="G191" s="32">
        <v>6900.1</v>
      </c>
      <c r="J191" s="34" t="s">
        <v>4031</v>
      </c>
      <c r="L191" s="33" t="s">
        <v>4933</v>
      </c>
      <c r="M191" s="32">
        <v>887.8</v>
      </c>
      <c r="N191" s="32">
        <v>22.5</v>
      </c>
      <c r="O191" s="32">
        <v>18.399999999999999</v>
      </c>
    </row>
    <row r="192" spans="1:15" ht="84" x14ac:dyDescent="0.2">
      <c r="A192" s="32" t="s">
        <v>1597</v>
      </c>
      <c r="B192" s="33" t="s">
        <v>4644</v>
      </c>
      <c r="C192" s="33" t="s">
        <v>902</v>
      </c>
      <c r="D192" s="33" t="s">
        <v>4532</v>
      </c>
      <c r="E192" s="33" t="s">
        <v>1709</v>
      </c>
      <c r="F192" s="32">
        <v>8800</v>
      </c>
      <c r="G192" s="32">
        <v>5730.2</v>
      </c>
      <c r="J192" s="34" t="s">
        <v>4031</v>
      </c>
      <c r="L192" s="33" t="s">
        <v>4934</v>
      </c>
      <c r="M192" s="32">
        <v>971.5</v>
      </c>
      <c r="N192" s="32">
        <v>38.200000000000003</v>
      </c>
      <c r="O192" s="32">
        <v>27.7</v>
      </c>
    </row>
    <row r="193" spans="1:15" ht="84" x14ac:dyDescent="0.2">
      <c r="A193" s="32" t="s">
        <v>1951</v>
      </c>
      <c r="B193" s="33" t="s">
        <v>4645</v>
      </c>
      <c r="C193" s="33" t="s">
        <v>904</v>
      </c>
      <c r="D193" s="33" t="s">
        <v>4445</v>
      </c>
      <c r="E193" s="33" t="s">
        <v>4425</v>
      </c>
      <c r="F193" s="32">
        <v>1530</v>
      </c>
      <c r="G193" s="32">
        <v>3143.9</v>
      </c>
      <c r="J193" s="40" t="s">
        <v>4031</v>
      </c>
      <c r="L193" s="33" t="s">
        <v>4935</v>
      </c>
      <c r="M193" s="32">
        <v>2475.6999999999998</v>
      </c>
      <c r="N193" s="32">
        <v>110.2</v>
      </c>
      <c r="O193" s="32">
        <v>52.4</v>
      </c>
    </row>
    <row r="194" spans="1:15" ht="84" x14ac:dyDescent="0.2">
      <c r="A194" s="32" t="s">
        <v>1654</v>
      </c>
      <c r="B194" s="33" t="s">
        <v>4646</v>
      </c>
      <c r="C194" s="33" t="s">
        <v>866</v>
      </c>
      <c r="D194" s="33" t="s">
        <v>4455</v>
      </c>
      <c r="E194" s="33" t="s">
        <v>4425</v>
      </c>
      <c r="F194" s="32">
        <v>2948</v>
      </c>
      <c r="G194" s="32">
        <v>5584.9</v>
      </c>
      <c r="J194" s="34" t="s">
        <v>4031</v>
      </c>
      <c r="L194" s="33" t="s">
        <v>4936</v>
      </c>
      <c r="M194" s="32">
        <v>656</v>
      </c>
      <c r="N194" s="32">
        <v>10.1</v>
      </c>
      <c r="O194" s="32">
        <v>8.6</v>
      </c>
    </row>
    <row r="195" spans="1:15" ht="84" x14ac:dyDescent="0.2">
      <c r="A195" s="32" t="s">
        <v>1472</v>
      </c>
      <c r="B195" s="33" t="s">
        <v>4647</v>
      </c>
      <c r="C195" s="33" t="s">
        <v>4434</v>
      </c>
      <c r="D195" s="33" t="s">
        <v>4648</v>
      </c>
      <c r="E195" s="33" t="s">
        <v>4425</v>
      </c>
      <c r="F195" s="32">
        <v>4700</v>
      </c>
      <c r="G195" s="32">
        <v>6325.6</v>
      </c>
      <c r="J195" s="34" t="s">
        <v>4031</v>
      </c>
      <c r="L195" s="33" t="s">
        <v>4937</v>
      </c>
      <c r="M195" s="32">
        <v>0</v>
      </c>
      <c r="N195" s="32">
        <v>0</v>
      </c>
      <c r="O195" s="32">
        <v>0</v>
      </c>
    </row>
    <row r="196" spans="1:15" ht="96" x14ac:dyDescent="0.2">
      <c r="A196" s="32" t="s">
        <v>1428</v>
      </c>
      <c r="B196" s="33" t="s">
        <v>1429</v>
      </c>
      <c r="C196" s="33" t="s">
        <v>4434</v>
      </c>
      <c r="D196" s="33" t="s">
        <v>4518</v>
      </c>
      <c r="E196" s="33" t="s">
        <v>4425</v>
      </c>
      <c r="F196" s="32">
        <v>19000</v>
      </c>
      <c r="G196" s="32">
        <v>8826.7000000000007</v>
      </c>
      <c r="J196" s="34" t="s">
        <v>4031</v>
      </c>
      <c r="L196" s="33" t="s">
        <v>4938</v>
      </c>
      <c r="M196" s="32">
        <v>2958</v>
      </c>
      <c r="N196" s="32">
        <v>70.3</v>
      </c>
      <c r="O196" s="32">
        <v>41.3</v>
      </c>
    </row>
    <row r="197" spans="1:15" ht="84" x14ac:dyDescent="0.2">
      <c r="A197" s="32" t="s">
        <v>1929</v>
      </c>
      <c r="B197" s="33" t="s">
        <v>4649</v>
      </c>
      <c r="C197" s="33" t="s">
        <v>922</v>
      </c>
      <c r="D197" s="33" t="s">
        <v>4477</v>
      </c>
      <c r="E197" s="33" t="s">
        <v>4425</v>
      </c>
      <c r="F197" s="32">
        <v>406</v>
      </c>
      <c r="G197" s="32">
        <v>2812.6</v>
      </c>
      <c r="J197" s="40" t="s">
        <v>4031</v>
      </c>
      <c r="L197" s="33" t="s">
        <v>4939</v>
      </c>
      <c r="M197" s="32">
        <v>2159.6999999999998</v>
      </c>
      <c r="N197" s="32">
        <v>132</v>
      </c>
      <c r="O197" s="32">
        <v>56.9</v>
      </c>
    </row>
    <row r="198" spans="1:15" ht="84" x14ac:dyDescent="0.2">
      <c r="A198" s="32" t="s">
        <v>1503</v>
      </c>
      <c r="B198" s="33" t="s">
        <v>4650</v>
      </c>
      <c r="C198" s="33" t="s">
        <v>904</v>
      </c>
      <c r="D198" s="33" t="s">
        <v>4445</v>
      </c>
      <c r="E198" s="33" t="s">
        <v>4425</v>
      </c>
      <c r="F198" s="32">
        <v>2360</v>
      </c>
      <c r="G198" s="32">
        <v>7436.5</v>
      </c>
      <c r="J198" s="34" t="s">
        <v>4031</v>
      </c>
      <c r="L198" s="33" t="s">
        <v>4940</v>
      </c>
      <c r="M198" s="32">
        <v>4495.8</v>
      </c>
      <c r="N198" s="32">
        <v>117.8</v>
      </c>
      <c r="O198" s="32">
        <v>54.1</v>
      </c>
    </row>
    <row r="199" spans="1:15" ht="72" x14ac:dyDescent="0.2">
      <c r="A199" s="32" t="s">
        <v>1831</v>
      </c>
      <c r="B199" s="33" t="s">
        <v>4651</v>
      </c>
      <c r="C199" s="33" t="s">
        <v>904</v>
      </c>
      <c r="D199" s="33" t="s">
        <v>4637</v>
      </c>
      <c r="E199" s="33" t="s">
        <v>4425</v>
      </c>
      <c r="F199" s="32">
        <v>3700</v>
      </c>
      <c r="G199" s="32">
        <v>4086</v>
      </c>
      <c r="J199" s="34" t="s">
        <v>4031</v>
      </c>
      <c r="L199" s="33" t="s">
        <v>4941</v>
      </c>
      <c r="M199" s="32">
        <v>3683.1</v>
      </c>
      <c r="N199" s="32">
        <v>159.1</v>
      </c>
      <c r="O199" s="32">
        <v>61.4</v>
      </c>
    </row>
    <row r="200" spans="1:15" ht="84" x14ac:dyDescent="0.2">
      <c r="A200" s="32" t="s">
        <v>1542</v>
      </c>
      <c r="B200" s="33" t="s">
        <v>4652</v>
      </c>
      <c r="C200" s="33" t="s">
        <v>922</v>
      </c>
      <c r="D200" s="33" t="s">
        <v>4510</v>
      </c>
      <c r="E200" s="33" t="s">
        <v>4425</v>
      </c>
      <c r="F200" s="32">
        <v>68</v>
      </c>
      <c r="G200" s="32">
        <v>7169.2</v>
      </c>
      <c r="J200" s="34" t="s">
        <v>4031</v>
      </c>
      <c r="L200" s="33" t="s">
        <v>4942</v>
      </c>
      <c r="M200" s="32">
        <v>5273.1</v>
      </c>
      <c r="N200" s="32">
        <v>130.69999999999999</v>
      </c>
      <c r="O200" s="32">
        <v>56.6</v>
      </c>
    </row>
    <row r="201" spans="1:15" ht="84" x14ac:dyDescent="0.2">
      <c r="A201" s="32" t="s">
        <v>1421</v>
      </c>
      <c r="B201" s="33" t="s">
        <v>4655</v>
      </c>
      <c r="C201" s="33" t="s">
        <v>4423</v>
      </c>
      <c r="D201" s="33" t="s">
        <v>4489</v>
      </c>
      <c r="E201" s="33" t="s">
        <v>4425</v>
      </c>
      <c r="F201" s="32">
        <v>8000</v>
      </c>
      <c r="G201" s="32">
        <v>7903.5</v>
      </c>
      <c r="J201" s="34" t="s">
        <v>4031</v>
      </c>
      <c r="L201" s="33" t="s">
        <v>4944</v>
      </c>
      <c r="M201" s="32">
        <v>2823.5</v>
      </c>
      <c r="N201" s="32">
        <v>118.2</v>
      </c>
      <c r="O201" s="32">
        <v>54.2</v>
      </c>
    </row>
    <row r="202" spans="1:15" ht="84" x14ac:dyDescent="0.2">
      <c r="A202" s="32" t="s">
        <v>1724</v>
      </c>
      <c r="B202" s="33" t="s">
        <v>4656</v>
      </c>
      <c r="C202" s="33" t="s">
        <v>4428</v>
      </c>
      <c r="D202" s="33" t="s">
        <v>4429</v>
      </c>
      <c r="E202" s="33" t="s">
        <v>4425</v>
      </c>
      <c r="F202" s="32">
        <v>5146</v>
      </c>
      <c r="G202" s="32">
        <v>4058</v>
      </c>
      <c r="J202" s="34" t="s">
        <v>4031</v>
      </c>
      <c r="L202" s="33" t="s">
        <v>4945</v>
      </c>
      <c r="M202" s="32">
        <v>1117.8</v>
      </c>
      <c r="N202" s="32">
        <v>101.9</v>
      </c>
      <c r="O202" s="32">
        <v>50.5</v>
      </c>
    </row>
    <row r="203" spans="1:15" ht="84" x14ac:dyDescent="0.2">
      <c r="A203" s="32" t="s">
        <v>1510</v>
      </c>
      <c r="B203" s="33" t="s">
        <v>4657</v>
      </c>
      <c r="C203" s="33" t="s">
        <v>866</v>
      </c>
      <c r="D203" s="33" t="s">
        <v>4440</v>
      </c>
      <c r="E203" s="33" t="s">
        <v>4425</v>
      </c>
      <c r="F203" s="32">
        <v>9000</v>
      </c>
      <c r="G203" s="32">
        <v>7659.9</v>
      </c>
      <c r="J203" s="34" t="s">
        <v>4031</v>
      </c>
      <c r="L203" s="33" t="s">
        <v>4946</v>
      </c>
      <c r="M203" s="32">
        <v>1588.2</v>
      </c>
      <c r="N203" s="32">
        <v>25.1</v>
      </c>
      <c r="O203" s="32">
        <v>20.100000000000001</v>
      </c>
    </row>
    <row r="204" spans="1:15" ht="84" x14ac:dyDescent="0.2">
      <c r="A204" s="32" t="s">
        <v>1507</v>
      </c>
      <c r="B204" s="33" t="s">
        <v>1508</v>
      </c>
      <c r="C204" s="33" t="s">
        <v>902</v>
      </c>
      <c r="D204" s="33" t="s">
        <v>4442</v>
      </c>
      <c r="E204" s="33" t="s">
        <v>4425</v>
      </c>
      <c r="F204" s="32">
        <v>15000</v>
      </c>
      <c r="G204" s="32">
        <v>7829.2</v>
      </c>
      <c r="J204" s="34" t="s">
        <v>4031</v>
      </c>
      <c r="L204" s="33" t="s">
        <v>4947</v>
      </c>
      <c r="M204" s="32">
        <v>819</v>
      </c>
      <c r="N204" s="32">
        <v>26.6</v>
      </c>
      <c r="O204" s="32">
        <v>21</v>
      </c>
    </row>
    <row r="205" spans="1:15" ht="84" x14ac:dyDescent="0.2">
      <c r="A205" s="32" t="s">
        <v>1659</v>
      </c>
      <c r="B205" s="33" t="s">
        <v>4658</v>
      </c>
      <c r="C205" s="33" t="s">
        <v>866</v>
      </c>
      <c r="D205" s="33" t="s">
        <v>4455</v>
      </c>
      <c r="E205" s="33" t="s">
        <v>4425</v>
      </c>
      <c r="F205" s="32">
        <v>2652</v>
      </c>
      <c r="G205" s="32">
        <v>6129.3</v>
      </c>
      <c r="J205" s="34" t="s">
        <v>4031</v>
      </c>
      <c r="L205" s="33" t="s">
        <v>4948</v>
      </c>
      <c r="M205" s="32">
        <v>1217</v>
      </c>
      <c r="N205" s="32">
        <v>26.7</v>
      </c>
      <c r="O205" s="32">
        <v>21.1</v>
      </c>
    </row>
    <row r="206" spans="1:15" ht="96" x14ac:dyDescent="0.2">
      <c r="A206" s="32" t="s">
        <v>1694</v>
      </c>
      <c r="B206" s="33" t="s">
        <v>4659</v>
      </c>
      <c r="C206" s="33" t="s">
        <v>866</v>
      </c>
      <c r="D206" s="33" t="s">
        <v>4455</v>
      </c>
      <c r="E206" s="33" t="s">
        <v>4425</v>
      </c>
      <c r="F206" s="32">
        <v>1700</v>
      </c>
      <c r="G206" s="32">
        <v>5585</v>
      </c>
      <c r="J206" s="34" t="s">
        <v>4031</v>
      </c>
      <c r="L206" s="33" t="s">
        <v>4949</v>
      </c>
      <c r="M206" s="32">
        <v>862.4</v>
      </c>
      <c r="N206" s="32">
        <v>22</v>
      </c>
      <c r="O206" s="32">
        <v>18</v>
      </c>
    </row>
    <row r="207" spans="1:15" ht="84" x14ac:dyDescent="0.2">
      <c r="A207" s="32" t="s">
        <v>1577</v>
      </c>
      <c r="B207" s="33" t="s">
        <v>4660</v>
      </c>
      <c r="C207" s="33" t="s">
        <v>866</v>
      </c>
      <c r="D207" s="33" t="s">
        <v>4455</v>
      </c>
      <c r="E207" s="33" t="s">
        <v>4425</v>
      </c>
      <c r="F207" s="32">
        <v>3756</v>
      </c>
      <c r="G207" s="32">
        <v>6891.2</v>
      </c>
      <c r="J207" s="34" t="s">
        <v>4031</v>
      </c>
      <c r="L207" s="33" t="s">
        <v>4950</v>
      </c>
      <c r="M207" s="32">
        <v>0</v>
      </c>
      <c r="N207" s="32">
        <v>0</v>
      </c>
      <c r="O207" s="32">
        <v>0</v>
      </c>
    </row>
    <row r="208" spans="1:15" ht="84" x14ac:dyDescent="0.2">
      <c r="A208" s="32" t="s">
        <v>1853</v>
      </c>
      <c r="B208" s="33" t="s">
        <v>4661</v>
      </c>
      <c r="C208" s="33" t="s">
        <v>922</v>
      </c>
      <c r="D208" s="33" t="s">
        <v>4510</v>
      </c>
      <c r="E208" s="33" t="s">
        <v>4425</v>
      </c>
      <c r="F208" s="32">
        <v>1316</v>
      </c>
      <c r="G208" s="32">
        <v>3475.8</v>
      </c>
      <c r="J208" s="34" t="s">
        <v>4031</v>
      </c>
      <c r="L208" s="33" t="s">
        <v>4951</v>
      </c>
      <c r="M208" s="32">
        <v>721.2</v>
      </c>
      <c r="N208" s="32">
        <v>43.4</v>
      </c>
      <c r="O208" s="32">
        <v>30.3</v>
      </c>
    </row>
    <row r="209" spans="1:15" ht="84" x14ac:dyDescent="0.2">
      <c r="A209" s="32" t="s">
        <v>1324</v>
      </c>
      <c r="B209" s="33" t="s">
        <v>1325</v>
      </c>
      <c r="C209" s="33" t="s">
        <v>4430</v>
      </c>
      <c r="D209" s="33" t="s">
        <v>4452</v>
      </c>
      <c r="E209" s="33" t="s">
        <v>4425</v>
      </c>
      <c r="F209" s="32">
        <v>4150</v>
      </c>
      <c r="G209" s="32">
        <v>10124.299999999999</v>
      </c>
      <c r="J209" s="34" t="s">
        <v>4031</v>
      </c>
      <c r="L209" s="33" t="s">
        <v>4952</v>
      </c>
      <c r="M209" s="32">
        <v>0</v>
      </c>
      <c r="N209" s="32">
        <v>0</v>
      </c>
      <c r="O209" s="32">
        <v>0</v>
      </c>
    </row>
    <row r="210" spans="1:15" ht="84" x14ac:dyDescent="0.2">
      <c r="A210" s="32" t="s">
        <v>1971</v>
      </c>
      <c r="B210" s="33" t="s">
        <v>4662</v>
      </c>
      <c r="C210" s="33" t="s">
        <v>4428</v>
      </c>
      <c r="D210" s="33" t="s">
        <v>4559</v>
      </c>
      <c r="E210" s="33" t="s">
        <v>4425</v>
      </c>
      <c r="F210" s="32">
        <v>7800</v>
      </c>
      <c r="G210" s="32">
        <v>2690.9</v>
      </c>
      <c r="J210" s="40" t="s">
        <v>4031</v>
      </c>
      <c r="L210" s="33" t="s">
        <v>4953</v>
      </c>
      <c r="M210" s="32">
        <v>488.1</v>
      </c>
      <c r="N210" s="32">
        <v>48.3</v>
      </c>
      <c r="O210" s="32">
        <v>32.6</v>
      </c>
    </row>
    <row r="211" spans="1:15" ht="84" x14ac:dyDescent="0.2">
      <c r="A211" s="32" t="s">
        <v>1965</v>
      </c>
      <c r="B211" s="33" t="s">
        <v>1966</v>
      </c>
      <c r="C211" s="33" t="s">
        <v>922</v>
      </c>
      <c r="D211" s="33" t="s">
        <v>4510</v>
      </c>
      <c r="E211" s="33" t="s">
        <v>4425</v>
      </c>
      <c r="F211" s="32">
        <v>53</v>
      </c>
      <c r="G211" s="32">
        <v>2823.4</v>
      </c>
      <c r="J211" s="40" t="s">
        <v>4031</v>
      </c>
      <c r="L211" s="33" t="s">
        <v>4954</v>
      </c>
      <c r="M211" s="32">
        <v>2322.1999999999998</v>
      </c>
      <c r="N211" s="32">
        <v>72.7</v>
      </c>
      <c r="O211" s="32">
        <v>42.1</v>
      </c>
    </row>
    <row r="212" spans="1:15" ht="96" x14ac:dyDescent="0.2">
      <c r="A212" s="32" t="s">
        <v>1379</v>
      </c>
      <c r="B212" s="33" t="s">
        <v>1380</v>
      </c>
      <c r="C212" s="33" t="s">
        <v>4428</v>
      </c>
      <c r="D212" s="33" t="s">
        <v>4559</v>
      </c>
      <c r="E212" s="33" t="s">
        <v>4425</v>
      </c>
      <c r="F212" s="32">
        <v>3300</v>
      </c>
      <c r="G212" s="32">
        <v>7818.8</v>
      </c>
      <c r="J212" s="34" t="s">
        <v>4031</v>
      </c>
      <c r="L212" s="33" t="s">
        <v>4955</v>
      </c>
      <c r="M212" s="32">
        <v>26.8</v>
      </c>
      <c r="N212" s="32">
        <v>3.9</v>
      </c>
      <c r="O212" s="32">
        <v>3.7</v>
      </c>
    </row>
    <row r="213" spans="1:15" ht="84" x14ac:dyDescent="0.2">
      <c r="A213" s="32" t="s">
        <v>1793</v>
      </c>
      <c r="B213" s="33" t="s">
        <v>1794</v>
      </c>
      <c r="C213" s="33" t="s">
        <v>922</v>
      </c>
      <c r="D213" s="33" t="s">
        <v>4510</v>
      </c>
      <c r="E213" s="33" t="s">
        <v>4425</v>
      </c>
      <c r="F213" s="32">
        <v>182</v>
      </c>
      <c r="G213" s="32">
        <v>4237.7</v>
      </c>
      <c r="J213" s="34" t="s">
        <v>4031</v>
      </c>
      <c r="L213" s="33" t="s">
        <v>4956</v>
      </c>
      <c r="M213" s="32">
        <v>4670</v>
      </c>
      <c r="N213" s="32">
        <v>103.4</v>
      </c>
      <c r="O213" s="32">
        <v>50.8</v>
      </c>
    </row>
    <row r="214" spans="1:15" ht="84" x14ac:dyDescent="0.2">
      <c r="A214" s="32" t="s">
        <v>1528</v>
      </c>
      <c r="B214" s="33" t="s">
        <v>4663</v>
      </c>
      <c r="C214" s="33" t="s">
        <v>866</v>
      </c>
      <c r="D214" s="33" t="s">
        <v>4455</v>
      </c>
      <c r="E214" s="33" t="s">
        <v>4425</v>
      </c>
      <c r="F214" s="32">
        <v>2634</v>
      </c>
      <c r="G214" s="32">
        <v>7526.1</v>
      </c>
      <c r="J214" s="34" t="s">
        <v>4031</v>
      </c>
      <c r="L214" s="33" t="s">
        <v>4957</v>
      </c>
      <c r="M214" s="32">
        <v>542.70000000000005</v>
      </c>
      <c r="N214" s="32">
        <v>10.9</v>
      </c>
      <c r="O214" s="32">
        <v>9.5</v>
      </c>
    </row>
    <row r="215" spans="1:15" ht="84" x14ac:dyDescent="0.2">
      <c r="A215" s="32" t="s">
        <v>1861</v>
      </c>
      <c r="B215" s="33" t="s">
        <v>1862</v>
      </c>
      <c r="C215" s="33" t="s">
        <v>904</v>
      </c>
      <c r="D215" s="33" t="s">
        <v>4445</v>
      </c>
      <c r="E215" s="33" t="s">
        <v>4425</v>
      </c>
      <c r="F215" s="32">
        <v>1708</v>
      </c>
      <c r="G215" s="32">
        <v>3798.2</v>
      </c>
      <c r="J215" s="34" t="s">
        <v>4031</v>
      </c>
      <c r="L215" s="33" t="s">
        <v>4958</v>
      </c>
      <c r="M215" s="32">
        <v>3412.3</v>
      </c>
      <c r="N215" s="32">
        <v>159.1</v>
      </c>
      <c r="O215" s="32">
        <v>61.3</v>
      </c>
    </row>
    <row r="216" spans="1:15" ht="96" x14ac:dyDescent="0.2">
      <c r="A216" s="32" t="s">
        <v>1556</v>
      </c>
      <c r="B216" s="33" t="s">
        <v>1557</v>
      </c>
      <c r="C216" s="33" t="s">
        <v>4512</v>
      </c>
      <c r="D216" s="33" t="s">
        <v>4546</v>
      </c>
      <c r="E216" s="33" t="s">
        <v>4425</v>
      </c>
      <c r="F216" s="32">
        <v>10735</v>
      </c>
      <c r="G216" s="32">
        <v>6628.6</v>
      </c>
      <c r="J216" s="34" t="s">
        <v>4031</v>
      </c>
      <c r="L216" s="33" t="s">
        <v>4959</v>
      </c>
      <c r="M216" s="32">
        <v>6922.8</v>
      </c>
      <c r="N216" s="32">
        <v>252.4</v>
      </c>
      <c r="O216" s="32">
        <v>71.599999999999994</v>
      </c>
    </row>
    <row r="217" spans="1:15" ht="84" x14ac:dyDescent="0.2">
      <c r="A217" s="32" t="s">
        <v>1665</v>
      </c>
      <c r="B217" s="33" t="s">
        <v>1666</v>
      </c>
      <c r="C217" s="33" t="s">
        <v>4430</v>
      </c>
      <c r="D217" s="33" t="s">
        <v>4664</v>
      </c>
      <c r="E217" s="33" t="s">
        <v>4425</v>
      </c>
      <c r="F217" s="32">
        <v>725</v>
      </c>
      <c r="G217" s="32">
        <v>4772.8</v>
      </c>
      <c r="J217" s="34" t="s">
        <v>4031</v>
      </c>
      <c r="L217" s="33" t="s">
        <v>4960</v>
      </c>
      <c r="M217" s="32">
        <v>0</v>
      </c>
      <c r="N217" s="32">
        <v>0</v>
      </c>
      <c r="O217" s="32">
        <v>0</v>
      </c>
    </row>
    <row r="218" spans="1:15" ht="84" x14ac:dyDescent="0.2">
      <c r="A218" s="32" t="s">
        <v>1570</v>
      </c>
      <c r="B218" s="33" t="s">
        <v>4665</v>
      </c>
      <c r="C218" s="33" t="s">
        <v>4512</v>
      </c>
      <c r="D218" s="33" t="s">
        <v>4546</v>
      </c>
      <c r="E218" s="33" t="s">
        <v>4425</v>
      </c>
      <c r="F218" s="32">
        <v>58900</v>
      </c>
      <c r="G218" s="32">
        <v>6652.3</v>
      </c>
      <c r="J218" s="34" t="s">
        <v>4031</v>
      </c>
      <c r="L218" s="33" t="s">
        <v>4961</v>
      </c>
      <c r="M218" s="32">
        <v>3195.9</v>
      </c>
      <c r="N218" s="32">
        <v>122.7</v>
      </c>
      <c r="O218" s="32">
        <v>55.1</v>
      </c>
    </row>
    <row r="219" spans="1:15" ht="60" x14ac:dyDescent="0.2">
      <c r="A219" s="32" t="s">
        <v>1967</v>
      </c>
      <c r="B219" s="33" t="s">
        <v>4666</v>
      </c>
      <c r="C219" s="33" t="s">
        <v>4512</v>
      </c>
      <c r="D219" s="33" t="s">
        <v>4574</v>
      </c>
      <c r="E219" s="33" t="s">
        <v>4425</v>
      </c>
      <c r="F219" s="32">
        <v>1868</v>
      </c>
      <c r="G219" s="32">
        <v>2539.1</v>
      </c>
      <c r="J219" s="40" t="s">
        <v>4031</v>
      </c>
      <c r="L219" s="33" t="s">
        <v>4962</v>
      </c>
      <c r="M219" s="32">
        <v>50</v>
      </c>
      <c r="N219" s="32">
        <v>4.5999999999999996</v>
      </c>
      <c r="O219" s="32">
        <v>4.4000000000000004</v>
      </c>
    </row>
    <row r="220" spans="1:15" ht="84" x14ac:dyDescent="0.2">
      <c r="A220" s="32" t="s">
        <v>1727</v>
      </c>
      <c r="B220" s="33" t="s">
        <v>4667</v>
      </c>
      <c r="C220" s="33" t="s">
        <v>922</v>
      </c>
      <c r="D220" s="33" t="s">
        <v>4477</v>
      </c>
      <c r="E220" s="33" t="s">
        <v>4425</v>
      </c>
      <c r="F220" s="32">
        <v>155</v>
      </c>
      <c r="G220" s="32">
        <v>4484.7</v>
      </c>
      <c r="J220" s="34" t="s">
        <v>4031</v>
      </c>
      <c r="K220" s="32" t="s">
        <v>4053</v>
      </c>
      <c r="L220" s="33" t="s">
        <v>4963</v>
      </c>
      <c r="M220" s="32">
        <v>0</v>
      </c>
      <c r="N220" s="32">
        <v>0</v>
      </c>
      <c r="O220" s="32">
        <v>0</v>
      </c>
    </row>
    <row r="221" spans="1:15" ht="84" x14ac:dyDescent="0.2">
      <c r="A221" s="32" t="s">
        <v>1802</v>
      </c>
      <c r="B221" s="33" t="s">
        <v>4668</v>
      </c>
      <c r="C221" s="33" t="s">
        <v>902</v>
      </c>
      <c r="D221" s="33" t="s">
        <v>4599</v>
      </c>
      <c r="E221" s="33" t="s">
        <v>4425</v>
      </c>
      <c r="F221" s="32">
        <v>39000</v>
      </c>
      <c r="G221" s="32">
        <v>3871.3</v>
      </c>
      <c r="J221" s="34" t="s">
        <v>4031</v>
      </c>
      <c r="L221" s="33" t="s">
        <v>4964</v>
      </c>
      <c r="M221" s="32">
        <v>4632.3</v>
      </c>
      <c r="N221" s="32">
        <v>184.3</v>
      </c>
      <c r="O221" s="32">
        <v>64.8</v>
      </c>
    </row>
    <row r="222" spans="1:15" ht="84" x14ac:dyDescent="0.2">
      <c r="A222" s="32" t="s">
        <v>1913</v>
      </c>
      <c r="B222" s="33" t="s">
        <v>1914</v>
      </c>
      <c r="C222" s="33" t="s">
        <v>4430</v>
      </c>
      <c r="D222" s="33" t="s">
        <v>4595</v>
      </c>
      <c r="E222" s="33" t="s">
        <v>4425</v>
      </c>
      <c r="F222" s="32">
        <v>1200</v>
      </c>
      <c r="G222" s="32">
        <v>2855.1</v>
      </c>
      <c r="J222" s="40" t="s">
        <v>4031</v>
      </c>
      <c r="L222" s="33" t="s">
        <v>4965</v>
      </c>
      <c r="M222" s="32">
        <v>0</v>
      </c>
      <c r="N222" s="32">
        <v>0</v>
      </c>
      <c r="O222" s="32">
        <v>0</v>
      </c>
    </row>
    <row r="223" spans="1:15" ht="84" x14ac:dyDescent="0.2">
      <c r="A223" s="32" t="s">
        <v>1552</v>
      </c>
      <c r="B223" s="33" t="s">
        <v>4669</v>
      </c>
      <c r="C223" s="33" t="s">
        <v>4428</v>
      </c>
      <c r="D223" s="33" t="s">
        <v>4429</v>
      </c>
      <c r="E223" s="33" t="s">
        <v>4425</v>
      </c>
      <c r="F223" s="32">
        <v>19000</v>
      </c>
      <c r="G223" s="32">
        <v>6054.5</v>
      </c>
      <c r="J223" s="34" t="s">
        <v>4031</v>
      </c>
      <c r="L223" s="33" t="s">
        <v>4966</v>
      </c>
      <c r="M223" s="32">
        <v>779.1</v>
      </c>
      <c r="N223" s="32">
        <v>233.2</v>
      </c>
      <c r="O223" s="32">
        <v>70</v>
      </c>
    </row>
    <row r="224" spans="1:15" ht="84" x14ac:dyDescent="0.2">
      <c r="A224" s="32" t="s">
        <v>1517</v>
      </c>
      <c r="B224" s="33" t="s">
        <v>4671</v>
      </c>
      <c r="C224" s="33" t="s">
        <v>866</v>
      </c>
      <c r="D224" s="33" t="s">
        <v>4672</v>
      </c>
      <c r="E224" s="33" t="s">
        <v>4425</v>
      </c>
      <c r="F224" s="32">
        <v>3600</v>
      </c>
      <c r="G224" s="32">
        <v>7646.3</v>
      </c>
      <c r="J224" s="34" t="s">
        <v>4031</v>
      </c>
      <c r="L224" s="33" t="s">
        <v>4968</v>
      </c>
      <c r="M224" s="32">
        <v>3487</v>
      </c>
      <c r="N224" s="32">
        <v>27.1</v>
      </c>
      <c r="O224" s="32">
        <v>21.3</v>
      </c>
    </row>
    <row r="225" spans="1:15" ht="84" x14ac:dyDescent="0.2">
      <c r="A225" s="32" t="s">
        <v>1735</v>
      </c>
      <c r="B225" s="33" t="s">
        <v>1736</v>
      </c>
      <c r="C225" s="33" t="s">
        <v>866</v>
      </c>
      <c r="D225" s="33" t="s">
        <v>4440</v>
      </c>
      <c r="E225" s="33" t="s">
        <v>4425</v>
      </c>
      <c r="F225" s="32">
        <v>863</v>
      </c>
      <c r="G225" s="32">
        <v>4594.6000000000004</v>
      </c>
      <c r="J225" s="34" t="s">
        <v>4031</v>
      </c>
      <c r="K225" s="32" t="s">
        <v>4417</v>
      </c>
      <c r="L225" s="33" t="s">
        <v>4970</v>
      </c>
      <c r="M225" s="32">
        <v>149.6</v>
      </c>
      <c r="N225" s="32">
        <v>12</v>
      </c>
      <c r="O225" s="32">
        <v>10.7</v>
      </c>
    </row>
    <row r="226" spans="1:15" ht="84" x14ac:dyDescent="0.2">
      <c r="A226" s="32" t="s">
        <v>1491</v>
      </c>
      <c r="B226" s="33" t="s">
        <v>4674</v>
      </c>
      <c r="C226" s="33" t="s">
        <v>866</v>
      </c>
      <c r="D226" s="33" t="s">
        <v>4672</v>
      </c>
      <c r="E226" s="33" t="s">
        <v>4675</v>
      </c>
      <c r="F226" s="32">
        <v>604</v>
      </c>
      <c r="G226" s="32">
        <v>7349.8</v>
      </c>
      <c r="J226" s="34" t="s">
        <v>4031</v>
      </c>
      <c r="L226" s="33" t="s">
        <v>4971</v>
      </c>
      <c r="M226" s="32">
        <v>1137.8</v>
      </c>
      <c r="N226" s="32">
        <v>19</v>
      </c>
      <c r="O226" s="32">
        <v>14.4</v>
      </c>
    </row>
    <row r="227" spans="1:15" ht="72" x14ac:dyDescent="0.2">
      <c r="A227" s="32" t="s">
        <v>1545</v>
      </c>
      <c r="B227" s="33" t="s">
        <v>1546</v>
      </c>
      <c r="C227" s="33" t="s">
        <v>885</v>
      </c>
      <c r="D227" s="33" t="s">
        <v>4678</v>
      </c>
      <c r="E227" s="33" t="s">
        <v>4425</v>
      </c>
      <c r="F227" s="32">
        <v>3800</v>
      </c>
      <c r="G227" s="32">
        <v>5137.8999999999996</v>
      </c>
      <c r="J227" s="34" t="s">
        <v>4031</v>
      </c>
      <c r="L227" s="33" t="s">
        <v>4974</v>
      </c>
      <c r="M227" s="32">
        <v>5746.1</v>
      </c>
      <c r="N227" s="32">
        <v>92.3</v>
      </c>
      <c r="O227" s="32">
        <v>48</v>
      </c>
    </row>
    <row r="228" spans="1:15" ht="84" x14ac:dyDescent="0.2">
      <c r="A228" s="32" t="s">
        <v>1649</v>
      </c>
      <c r="B228" s="33" t="s">
        <v>4679</v>
      </c>
      <c r="C228" s="33" t="s">
        <v>922</v>
      </c>
      <c r="D228" s="33" t="s">
        <v>4510</v>
      </c>
      <c r="E228" s="33" t="s">
        <v>4425</v>
      </c>
      <c r="F228" s="32">
        <v>413</v>
      </c>
      <c r="G228" s="32">
        <v>5081.8999999999996</v>
      </c>
      <c r="J228" s="34" t="s">
        <v>4031</v>
      </c>
      <c r="L228" s="33" t="s">
        <v>4975</v>
      </c>
      <c r="M228" s="32">
        <v>1168</v>
      </c>
      <c r="N228" s="32">
        <v>68.3</v>
      </c>
      <c r="O228" s="32">
        <v>40.6</v>
      </c>
    </row>
    <row r="229" spans="1:15" ht="84" x14ac:dyDescent="0.2">
      <c r="A229" s="32" t="s">
        <v>1985</v>
      </c>
      <c r="B229" s="33" t="s">
        <v>1986</v>
      </c>
      <c r="C229" s="33" t="s">
        <v>4430</v>
      </c>
      <c r="D229" s="33" t="s">
        <v>4452</v>
      </c>
      <c r="E229" s="33" t="s">
        <v>4425</v>
      </c>
      <c r="F229" s="32">
        <v>7531</v>
      </c>
      <c r="G229" s="32">
        <v>2830.1</v>
      </c>
      <c r="J229" s="40" t="s">
        <v>4031</v>
      </c>
      <c r="L229" s="33" t="s">
        <v>4976</v>
      </c>
      <c r="M229" s="32">
        <v>4727.8</v>
      </c>
      <c r="O229" s="32">
        <v>108.3</v>
      </c>
    </row>
    <row r="230" spans="1:15" ht="84" x14ac:dyDescent="0.2">
      <c r="A230" s="32" t="s">
        <v>1819</v>
      </c>
      <c r="B230" s="33" t="s">
        <v>4680</v>
      </c>
      <c r="C230" s="33" t="s">
        <v>4512</v>
      </c>
      <c r="D230" s="33" t="s">
        <v>4546</v>
      </c>
      <c r="E230" s="33" t="s">
        <v>4425</v>
      </c>
      <c r="F230" s="32">
        <v>2021</v>
      </c>
      <c r="G230" s="32">
        <v>4142.3</v>
      </c>
      <c r="J230" s="34" t="s">
        <v>4031</v>
      </c>
      <c r="L230" s="33" t="s">
        <v>4977</v>
      </c>
      <c r="M230" s="32">
        <v>0</v>
      </c>
      <c r="N230" s="32">
        <v>0</v>
      </c>
      <c r="O230" s="32">
        <v>0</v>
      </c>
    </row>
    <row r="231" spans="1:15" ht="84" x14ac:dyDescent="0.2">
      <c r="A231" s="32" t="s">
        <v>1756</v>
      </c>
      <c r="B231" s="33" t="s">
        <v>4681</v>
      </c>
      <c r="C231" s="33" t="s">
        <v>4430</v>
      </c>
      <c r="D231" s="33" t="s">
        <v>4595</v>
      </c>
      <c r="E231" s="33" t="s">
        <v>4425</v>
      </c>
      <c r="F231" s="32">
        <v>26000</v>
      </c>
      <c r="G231" s="32">
        <v>4785.3999999999996</v>
      </c>
      <c r="J231" s="34" t="s">
        <v>4031</v>
      </c>
      <c r="K231" s="35" t="s">
        <v>4419</v>
      </c>
      <c r="L231" s="33" t="s">
        <v>4978</v>
      </c>
      <c r="M231" s="32">
        <v>2433</v>
      </c>
      <c r="N231" s="32">
        <v>148.80000000000001</v>
      </c>
      <c r="O231" s="32">
        <v>59.8</v>
      </c>
    </row>
    <row r="232" spans="1:15" ht="84" x14ac:dyDescent="0.2">
      <c r="A232" s="32" t="s">
        <v>1782</v>
      </c>
      <c r="B232" s="33" t="s">
        <v>1783</v>
      </c>
      <c r="C232" s="33" t="s">
        <v>4430</v>
      </c>
      <c r="D232" s="33" t="s">
        <v>4452</v>
      </c>
      <c r="E232" s="33" t="s">
        <v>4425</v>
      </c>
      <c r="F232" s="32">
        <v>1394</v>
      </c>
      <c r="G232" s="32">
        <v>3402.3</v>
      </c>
      <c r="J232" s="34" t="s">
        <v>4031</v>
      </c>
      <c r="L232" s="33" t="s">
        <v>4979</v>
      </c>
      <c r="M232" s="32">
        <v>0</v>
      </c>
      <c r="N232" s="32">
        <v>0</v>
      </c>
      <c r="O232" s="32">
        <v>0</v>
      </c>
    </row>
    <row r="233" spans="1:15" ht="84" x14ac:dyDescent="0.2">
      <c r="A233" s="32" t="s">
        <v>1940</v>
      </c>
      <c r="B233" s="33" t="s">
        <v>4682</v>
      </c>
      <c r="C233" s="33" t="s">
        <v>922</v>
      </c>
      <c r="D233" s="33" t="s">
        <v>4510</v>
      </c>
      <c r="E233" s="33" t="s">
        <v>4425</v>
      </c>
      <c r="F233" s="32">
        <v>38</v>
      </c>
      <c r="G233" s="32">
        <v>2986.5</v>
      </c>
      <c r="J233" s="40" t="s">
        <v>4031</v>
      </c>
      <c r="L233" s="33" t="s">
        <v>4980</v>
      </c>
      <c r="M233" s="32">
        <v>2702.1</v>
      </c>
      <c r="N233" s="32">
        <v>81.2</v>
      </c>
      <c r="O233" s="32">
        <v>44.8</v>
      </c>
    </row>
    <row r="234" spans="1:15" ht="84" x14ac:dyDescent="0.2">
      <c r="A234" s="32" t="s">
        <v>1348</v>
      </c>
      <c r="B234" s="33" t="s">
        <v>4683</v>
      </c>
      <c r="C234" s="33" t="s">
        <v>4512</v>
      </c>
      <c r="D234" s="33" t="s">
        <v>4574</v>
      </c>
      <c r="E234" s="33" t="s">
        <v>4425</v>
      </c>
      <c r="F234" s="32">
        <v>16503</v>
      </c>
      <c r="G234" s="32">
        <v>9907.9</v>
      </c>
      <c r="J234" s="34" t="s">
        <v>4031</v>
      </c>
      <c r="L234" s="33" t="s">
        <v>4981</v>
      </c>
      <c r="M234" s="32">
        <v>3760</v>
      </c>
      <c r="N234" s="32">
        <v>193.6</v>
      </c>
      <c r="O234" s="32">
        <v>65.900000000000006</v>
      </c>
    </row>
    <row r="235" spans="1:15" ht="96" x14ac:dyDescent="0.2">
      <c r="A235" s="32" t="s">
        <v>1451</v>
      </c>
      <c r="B235" s="33" t="s">
        <v>4684</v>
      </c>
      <c r="C235" s="33" t="s">
        <v>866</v>
      </c>
      <c r="D235" s="33" t="s">
        <v>4447</v>
      </c>
      <c r="E235" s="33" t="s">
        <v>4425</v>
      </c>
      <c r="F235" s="32">
        <v>3963</v>
      </c>
      <c r="G235" s="32">
        <v>8011.5</v>
      </c>
      <c r="J235" s="34" t="s">
        <v>4031</v>
      </c>
      <c r="L235" s="33" t="s">
        <v>4982</v>
      </c>
      <c r="M235" s="32">
        <v>0</v>
      </c>
      <c r="N235" s="32">
        <v>0</v>
      </c>
      <c r="O235" s="32">
        <v>0</v>
      </c>
    </row>
    <row r="236" spans="1:15" ht="72" x14ac:dyDescent="0.2">
      <c r="A236" s="32" t="s">
        <v>1911</v>
      </c>
      <c r="B236" s="33" t="s">
        <v>1912</v>
      </c>
      <c r="C236" s="33" t="s">
        <v>4512</v>
      </c>
      <c r="D236" s="33" t="s">
        <v>4685</v>
      </c>
      <c r="E236" s="33" t="s">
        <v>4425</v>
      </c>
      <c r="F236" s="32">
        <v>33000</v>
      </c>
      <c r="G236" s="32">
        <v>3106.2</v>
      </c>
      <c r="J236" s="40" t="s">
        <v>4031</v>
      </c>
      <c r="L236" s="33" t="s">
        <v>4984</v>
      </c>
      <c r="M236" s="32">
        <v>259.89999999999998</v>
      </c>
      <c r="N236" s="32">
        <v>26.8</v>
      </c>
      <c r="O236" s="32">
        <v>21.2</v>
      </c>
    </row>
    <row r="237" spans="1:15" ht="84" x14ac:dyDescent="0.2">
      <c r="A237" s="32" t="s">
        <v>1588</v>
      </c>
      <c r="B237" s="33" t="s">
        <v>1589</v>
      </c>
      <c r="C237" s="33" t="s">
        <v>4434</v>
      </c>
      <c r="D237" s="33" t="s">
        <v>4479</v>
      </c>
      <c r="E237" s="33" t="s">
        <v>4425</v>
      </c>
      <c r="F237" s="32">
        <v>9000</v>
      </c>
      <c r="G237" s="32">
        <v>5480.9</v>
      </c>
      <c r="J237" s="34" t="s">
        <v>4031</v>
      </c>
      <c r="L237" s="33" t="s">
        <v>4985</v>
      </c>
      <c r="M237" s="32">
        <v>8802</v>
      </c>
      <c r="O237" s="32">
        <v>136.1</v>
      </c>
    </row>
    <row r="238" spans="1:15" ht="84" x14ac:dyDescent="0.2">
      <c r="A238" s="32" t="s">
        <v>1752</v>
      </c>
      <c r="B238" s="33" t="s">
        <v>1753</v>
      </c>
      <c r="C238" s="33" t="s">
        <v>866</v>
      </c>
      <c r="D238" s="33" t="s">
        <v>4440</v>
      </c>
      <c r="E238" s="33" t="s">
        <v>4425</v>
      </c>
      <c r="F238" s="32">
        <v>2400</v>
      </c>
      <c r="G238" s="32">
        <v>4639.1000000000004</v>
      </c>
      <c r="J238" s="34" t="s">
        <v>4031</v>
      </c>
      <c r="K238" s="32" t="s">
        <v>4417</v>
      </c>
      <c r="L238" s="33" t="s">
        <v>4986</v>
      </c>
      <c r="M238" s="32">
        <v>500.9</v>
      </c>
      <c r="N238" s="32">
        <v>18.399999999999999</v>
      </c>
      <c r="O238" s="32">
        <v>14.6</v>
      </c>
    </row>
    <row r="239" spans="1:15" ht="84" x14ac:dyDescent="0.2">
      <c r="A239" s="32" t="s">
        <v>1887</v>
      </c>
      <c r="B239" s="33" t="s">
        <v>1888</v>
      </c>
      <c r="C239" s="33" t="s">
        <v>4434</v>
      </c>
      <c r="D239" s="33" t="s">
        <v>4687</v>
      </c>
      <c r="E239" s="33" t="s">
        <v>4425</v>
      </c>
      <c r="F239" s="32">
        <v>1950</v>
      </c>
      <c r="G239" s="32">
        <v>3266.5</v>
      </c>
      <c r="J239" s="40" t="s">
        <v>4031</v>
      </c>
      <c r="L239" s="33" t="s">
        <v>4988</v>
      </c>
      <c r="M239" s="32">
        <v>2627.8</v>
      </c>
      <c r="O239" s="32">
        <v>160.9</v>
      </c>
    </row>
    <row r="240" spans="1:15" ht="96" x14ac:dyDescent="0.2">
      <c r="A240" s="32" t="s">
        <v>1631</v>
      </c>
      <c r="B240" s="33" t="s">
        <v>1632</v>
      </c>
      <c r="C240" s="33" t="s">
        <v>4434</v>
      </c>
      <c r="D240" s="33" t="s">
        <v>4688</v>
      </c>
      <c r="E240" s="33" t="s">
        <v>4425</v>
      </c>
      <c r="F240" s="32">
        <v>5900</v>
      </c>
      <c r="G240" s="32">
        <v>6436.2</v>
      </c>
      <c r="J240" s="34" t="s">
        <v>4031</v>
      </c>
      <c r="L240" s="33" t="s">
        <v>4989</v>
      </c>
      <c r="M240" s="32">
        <v>282.8</v>
      </c>
      <c r="N240" s="32">
        <v>10</v>
      </c>
      <c r="O240" s="32">
        <v>9.1</v>
      </c>
    </row>
    <row r="241" spans="1:15" ht="84" x14ac:dyDescent="0.2">
      <c r="A241" s="32" t="s">
        <v>1464</v>
      </c>
      <c r="B241" s="33" t="s">
        <v>1465</v>
      </c>
      <c r="C241" s="33" t="s">
        <v>4430</v>
      </c>
      <c r="D241" s="33" t="s">
        <v>4664</v>
      </c>
      <c r="E241" s="33" t="s">
        <v>4425</v>
      </c>
      <c r="F241" s="32">
        <v>1838</v>
      </c>
      <c r="G241" s="32">
        <v>6362.4</v>
      </c>
      <c r="J241" s="34" t="s">
        <v>4031</v>
      </c>
      <c r="L241" s="33" t="s">
        <v>4990</v>
      </c>
      <c r="M241" s="32">
        <v>445.1</v>
      </c>
      <c r="N241" s="32">
        <v>16.8</v>
      </c>
      <c r="O241" s="32">
        <v>14.4</v>
      </c>
    </row>
    <row r="242" spans="1:15" ht="84" x14ac:dyDescent="0.2">
      <c r="A242" s="32" t="s">
        <v>1754</v>
      </c>
      <c r="B242" s="33" t="s">
        <v>1755</v>
      </c>
      <c r="C242" s="33" t="s">
        <v>922</v>
      </c>
      <c r="D242" s="33" t="s">
        <v>4477</v>
      </c>
      <c r="E242" s="33" t="s">
        <v>4425</v>
      </c>
      <c r="F242" s="32">
        <v>794</v>
      </c>
      <c r="G242" s="32">
        <v>4844.3999999999996</v>
      </c>
      <c r="J242" s="34" t="s">
        <v>4031</v>
      </c>
      <c r="L242" s="33" t="s">
        <v>4991</v>
      </c>
      <c r="M242" s="32">
        <v>4260.1000000000004</v>
      </c>
      <c r="N242" s="32">
        <v>87.9</v>
      </c>
      <c r="O242" s="32">
        <v>44.7</v>
      </c>
    </row>
    <row r="243" spans="1:15" ht="84" x14ac:dyDescent="0.2">
      <c r="A243" s="32" t="s">
        <v>1647</v>
      </c>
      <c r="B243" s="33" t="s">
        <v>4689</v>
      </c>
      <c r="C243" s="33" t="s">
        <v>866</v>
      </c>
      <c r="D243" s="33" t="s">
        <v>4540</v>
      </c>
      <c r="E243" s="33" t="s">
        <v>4425</v>
      </c>
      <c r="F243" s="32">
        <v>1600</v>
      </c>
      <c r="G243" s="32">
        <v>5019.2</v>
      </c>
      <c r="J243" s="34" t="s">
        <v>4031</v>
      </c>
      <c r="L243" s="33" t="s">
        <v>4992</v>
      </c>
      <c r="M243" s="32">
        <v>5219.7</v>
      </c>
      <c r="N243" s="32">
        <v>277.60000000000002</v>
      </c>
      <c r="O243" s="32">
        <v>71</v>
      </c>
    </row>
    <row r="244" spans="1:15" ht="96" x14ac:dyDescent="0.2">
      <c r="A244" s="32" t="s">
        <v>1437</v>
      </c>
      <c r="B244" s="33" t="s">
        <v>4690</v>
      </c>
      <c r="C244" s="33" t="s">
        <v>4423</v>
      </c>
      <c r="D244" s="33" t="s">
        <v>4502</v>
      </c>
      <c r="E244" s="33" t="s">
        <v>4425</v>
      </c>
      <c r="F244" s="32">
        <v>2400</v>
      </c>
      <c r="G244" s="32">
        <v>8187.4</v>
      </c>
      <c r="J244" s="34" t="s">
        <v>4031</v>
      </c>
      <c r="L244" s="33" t="s">
        <v>4993</v>
      </c>
      <c r="M244" s="32">
        <v>2236.6999999999998</v>
      </c>
      <c r="N244" s="32">
        <v>220.7</v>
      </c>
      <c r="O244" s="32">
        <v>68.8</v>
      </c>
    </row>
    <row r="245" spans="1:15" ht="84" x14ac:dyDescent="0.2">
      <c r="A245" s="32" t="s">
        <v>436</v>
      </c>
      <c r="B245" s="33" t="s">
        <v>4691</v>
      </c>
      <c r="C245" s="33" t="s">
        <v>4430</v>
      </c>
      <c r="D245" s="33" t="s">
        <v>4664</v>
      </c>
      <c r="E245" s="33" t="s">
        <v>4425</v>
      </c>
      <c r="F245" s="32">
        <v>1394</v>
      </c>
      <c r="G245" s="32">
        <v>4581.5</v>
      </c>
      <c r="J245" s="34" t="s">
        <v>4031</v>
      </c>
      <c r="L245" s="33" t="s">
        <v>4994</v>
      </c>
      <c r="M245" s="32">
        <v>175.6</v>
      </c>
      <c r="N245" s="32">
        <v>24.4</v>
      </c>
      <c r="O245" s="32">
        <v>19.600000000000001</v>
      </c>
    </row>
    <row r="246" spans="1:15" ht="84" x14ac:dyDescent="0.2">
      <c r="A246" s="32" t="s">
        <v>1558</v>
      </c>
      <c r="B246" s="33" t="s">
        <v>4692</v>
      </c>
      <c r="C246" s="33" t="s">
        <v>866</v>
      </c>
      <c r="D246" s="33" t="s">
        <v>4455</v>
      </c>
      <c r="E246" s="33" t="s">
        <v>4425</v>
      </c>
      <c r="F246" s="32">
        <v>4953</v>
      </c>
      <c r="G246" s="32">
        <v>7314.8</v>
      </c>
      <c r="J246" s="34" t="s">
        <v>4031</v>
      </c>
      <c r="L246" s="33" t="s">
        <v>4995</v>
      </c>
      <c r="M246" s="32">
        <v>1203.8</v>
      </c>
      <c r="N246" s="32">
        <v>25.5</v>
      </c>
      <c r="O246" s="32">
        <v>18.600000000000001</v>
      </c>
    </row>
    <row r="247" spans="1:15" ht="72" x14ac:dyDescent="0.2">
      <c r="A247" s="32" t="s">
        <v>1657</v>
      </c>
      <c r="B247" s="33" t="s">
        <v>4693</v>
      </c>
      <c r="C247" s="33" t="s">
        <v>4423</v>
      </c>
      <c r="D247" s="33" t="s">
        <v>4694</v>
      </c>
      <c r="E247" s="33" t="s">
        <v>4425</v>
      </c>
      <c r="F247" s="32">
        <v>20000</v>
      </c>
      <c r="G247" s="32">
        <v>5513.2</v>
      </c>
      <c r="J247" s="34" t="s">
        <v>4031</v>
      </c>
      <c r="L247" s="33" t="s">
        <v>4996</v>
      </c>
      <c r="M247" s="32">
        <v>1192.7</v>
      </c>
      <c r="N247" s="32">
        <v>64.5</v>
      </c>
      <c r="O247" s="32">
        <v>39.200000000000003</v>
      </c>
    </row>
    <row r="248" spans="1:15" ht="84" x14ac:dyDescent="0.2">
      <c r="A248" s="32" t="s">
        <v>1889</v>
      </c>
      <c r="B248" s="33" t="s">
        <v>4695</v>
      </c>
      <c r="C248" s="33" t="s">
        <v>885</v>
      </c>
      <c r="D248" s="33" t="s">
        <v>4678</v>
      </c>
      <c r="E248" s="33" t="s">
        <v>4425</v>
      </c>
      <c r="F248" s="32">
        <v>2200</v>
      </c>
      <c r="G248" s="32">
        <v>2766.1</v>
      </c>
      <c r="J248" s="40" t="s">
        <v>4031</v>
      </c>
      <c r="L248" s="33" t="s">
        <v>4997</v>
      </c>
      <c r="M248" s="32">
        <v>465.5</v>
      </c>
      <c r="N248" s="32">
        <v>127.1</v>
      </c>
      <c r="O248" s="32">
        <v>56</v>
      </c>
    </row>
    <row r="249" spans="1:15" ht="72" x14ac:dyDescent="0.2">
      <c r="A249" s="32" t="s">
        <v>1909</v>
      </c>
      <c r="B249" s="33" t="s">
        <v>1910</v>
      </c>
      <c r="C249" s="33" t="s">
        <v>904</v>
      </c>
      <c r="D249" s="33" t="s">
        <v>4637</v>
      </c>
      <c r="E249" s="33" t="s">
        <v>4425</v>
      </c>
      <c r="F249" s="32">
        <v>3710</v>
      </c>
      <c r="G249" s="32">
        <v>3292.9</v>
      </c>
      <c r="J249" s="34" t="s">
        <v>4031</v>
      </c>
      <c r="L249" s="33" t="s">
        <v>4998</v>
      </c>
      <c r="M249" s="32">
        <v>2939.1</v>
      </c>
      <c r="N249" s="32">
        <v>121.6</v>
      </c>
      <c r="O249" s="32">
        <v>52.5</v>
      </c>
    </row>
    <row r="250" spans="1:15" ht="72" x14ac:dyDescent="0.2">
      <c r="A250" s="32" t="s">
        <v>1623</v>
      </c>
      <c r="B250" s="33" t="s">
        <v>4696</v>
      </c>
      <c r="C250" s="33" t="s">
        <v>922</v>
      </c>
      <c r="D250" s="33" t="s">
        <v>4477</v>
      </c>
      <c r="E250" s="33" t="s">
        <v>4425</v>
      </c>
      <c r="F250" s="32">
        <v>82</v>
      </c>
      <c r="G250" s="32">
        <v>5821.8</v>
      </c>
      <c r="J250" s="34" t="s">
        <v>4031</v>
      </c>
      <c r="L250" s="33" t="s">
        <v>4999</v>
      </c>
      <c r="M250" s="32">
        <v>2772.7</v>
      </c>
      <c r="N250" s="32">
        <v>75.5</v>
      </c>
      <c r="O250" s="32">
        <v>41.9</v>
      </c>
    </row>
    <row r="251" spans="1:15" ht="96" x14ac:dyDescent="0.2">
      <c r="A251" s="32" t="s">
        <v>1670</v>
      </c>
      <c r="B251" s="33" t="s">
        <v>1671</v>
      </c>
      <c r="C251" s="33" t="s">
        <v>902</v>
      </c>
      <c r="D251" s="33" t="s">
        <v>4500</v>
      </c>
      <c r="E251" s="33" t="s">
        <v>4425</v>
      </c>
      <c r="F251" s="32">
        <v>15000</v>
      </c>
      <c r="G251" s="32">
        <v>5124.1000000000004</v>
      </c>
      <c r="J251" s="34" t="s">
        <v>4031</v>
      </c>
      <c r="L251" s="33" t="s">
        <v>5000</v>
      </c>
      <c r="M251" s="32">
        <v>1621</v>
      </c>
      <c r="N251" s="32">
        <v>67</v>
      </c>
      <c r="O251" s="32">
        <v>40.1</v>
      </c>
    </row>
    <row r="252" spans="1:15" ht="84" x14ac:dyDescent="0.2">
      <c r="A252" s="32" t="s">
        <v>1742</v>
      </c>
      <c r="B252" s="33" t="s">
        <v>1743</v>
      </c>
      <c r="C252" s="33" t="s">
        <v>866</v>
      </c>
      <c r="D252" s="33" t="s">
        <v>4455</v>
      </c>
      <c r="E252" s="33" t="s">
        <v>4425</v>
      </c>
      <c r="F252" s="32">
        <v>1460</v>
      </c>
      <c r="G252" s="32">
        <v>5324.3</v>
      </c>
      <c r="J252" s="34" t="s">
        <v>4031</v>
      </c>
      <c r="K252" s="32" t="s">
        <v>4047</v>
      </c>
      <c r="L252" s="33" t="s">
        <v>5002</v>
      </c>
      <c r="M252" s="32">
        <v>492.4</v>
      </c>
      <c r="N252" s="32">
        <v>10.6</v>
      </c>
      <c r="O252" s="32">
        <v>9.3000000000000007</v>
      </c>
    </row>
    <row r="253" spans="1:15" ht="84" x14ac:dyDescent="0.2">
      <c r="A253" s="32" t="s">
        <v>1413</v>
      </c>
      <c r="B253" s="33" t="s">
        <v>4699</v>
      </c>
      <c r="C253" s="33" t="s">
        <v>922</v>
      </c>
      <c r="D253" s="33" t="s">
        <v>4477</v>
      </c>
      <c r="E253" s="33" t="s">
        <v>4425</v>
      </c>
      <c r="F253" s="32">
        <v>117</v>
      </c>
      <c r="G253" s="32">
        <v>8264.7999999999993</v>
      </c>
      <c r="J253" s="34" t="s">
        <v>4031</v>
      </c>
      <c r="L253" s="33" t="s">
        <v>5004</v>
      </c>
      <c r="M253" s="32">
        <v>4037.4</v>
      </c>
      <c r="N253" s="32">
        <v>79</v>
      </c>
      <c r="O253" s="32">
        <v>44.1</v>
      </c>
    </row>
    <row r="254" spans="1:15" ht="84" x14ac:dyDescent="0.2">
      <c r="A254" s="32" t="s">
        <v>1821</v>
      </c>
      <c r="B254" s="33" t="s">
        <v>1822</v>
      </c>
      <c r="C254" s="33" t="s">
        <v>904</v>
      </c>
      <c r="D254" s="33" t="s">
        <v>4637</v>
      </c>
      <c r="E254" s="33" t="s">
        <v>4425</v>
      </c>
      <c r="F254" s="32">
        <v>2272</v>
      </c>
      <c r="G254" s="32">
        <v>4004.7</v>
      </c>
      <c r="J254" s="34" t="s">
        <v>4031</v>
      </c>
      <c r="L254" s="33" t="s">
        <v>5005</v>
      </c>
      <c r="M254" s="32">
        <v>3573.8</v>
      </c>
      <c r="N254" s="32">
        <v>122.8</v>
      </c>
      <c r="O254" s="32">
        <v>55.1</v>
      </c>
    </row>
    <row r="255" spans="1:15" ht="84" x14ac:dyDescent="0.2">
      <c r="A255" s="32" t="s">
        <v>1825</v>
      </c>
      <c r="B255" s="33" t="s">
        <v>4700</v>
      </c>
      <c r="C255" s="33" t="s">
        <v>4423</v>
      </c>
      <c r="D255" s="33" t="s">
        <v>4487</v>
      </c>
      <c r="E255" s="33" t="s">
        <v>4425</v>
      </c>
      <c r="F255" s="32">
        <v>3948</v>
      </c>
      <c r="G255" s="32">
        <v>3584.8</v>
      </c>
      <c r="J255" s="34" t="s">
        <v>4031</v>
      </c>
      <c r="L255" s="33" t="s">
        <v>5006</v>
      </c>
      <c r="M255" s="32">
        <v>490.9</v>
      </c>
      <c r="N255" s="32">
        <v>52.3</v>
      </c>
      <c r="O255" s="32">
        <v>34.299999999999997</v>
      </c>
    </row>
    <row r="256" spans="1:15" ht="84" x14ac:dyDescent="0.2">
      <c r="A256" s="32" t="s">
        <v>1769</v>
      </c>
      <c r="B256" s="33" t="s">
        <v>4701</v>
      </c>
      <c r="C256" s="33" t="s">
        <v>4430</v>
      </c>
      <c r="D256" s="33" t="s">
        <v>4595</v>
      </c>
      <c r="E256" s="33" t="s">
        <v>4425</v>
      </c>
      <c r="F256" s="32">
        <v>7543</v>
      </c>
      <c r="G256" s="32">
        <v>4292.3</v>
      </c>
      <c r="J256" s="34" t="s">
        <v>4031</v>
      </c>
      <c r="L256" s="33" t="s">
        <v>5007</v>
      </c>
      <c r="M256" s="32">
        <v>407</v>
      </c>
      <c r="N256" s="32">
        <v>89.1</v>
      </c>
      <c r="O256" s="32">
        <v>47.1</v>
      </c>
    </row>
    <row r="257" spans="1:15" ht="84" x14ac:dyDescent="0.2">
      <c r="A257" s="32" t="s">
        <v>1946</v>
      </c>
      <c r="B257" s="33" t="s">
        <v>4702</v>
      </c>
      <c r="C257" s="33" t="s">
        <v>902</v>
      </c>
      <c r="D257" s="33" t="s">
        <v>4442</v>
      </c>
      <c r="E257" s="33" t="s">
        <v>4425</v>
      </c>
      <c r="F257" s="32">
        <v>8200</v>
      </c>
      <c r="G257" s="32">
        <v>2967.9</v>
      </c>
      <c r="J257" s="40" t="s">
        <v>4031</v>
      </c>
      <c r="L257" s="33" t="s">
        <v>5008</v>
      </c>
      <c r="M257" s="32">
        <v>887.7</v>
      </c>
      <c r="N257" s="32">
        <v>84.5</v>
      </c>
      <c r="O257" s="32">
        <v>45.8</v>
      </c>
    </row>
    <row r="258" spans="1:15" ht="84" x14ac:dyDescent="0.2">
      <c r="A258" s="32" t="s">
        <v>1835</v>
      </c>
      <c r="B258" s="33" t="s">
        <v>1836</v>
      </c>
      <c r="C258" s="33" t="s">
        <v>4434</v>
      </c>
      <c r="D258" s="33" t="s">
        <v>4703</v>
      </c>
      <c r="E258" s="33" t="s">
        <v>4425</v>
      </c>
      <c r="F258" s="32">
        <v>6430</v>
      </c>
      <c r="G258" s="32">
        <v>4266.3</v>
      </c>
      <c r="J258" s="34" t="s">
        <v>4031</v>
      </c>
      <c r="L258" s="33" t="s">
        <v>5009</v>
      </c>
      <c r="M258" s="32">
        <v>3336.9</v>
      </c>
      <c r="N258" s="32">
        <v>137.9</v>
      </c>
      <c r="O258" s="32">
        <v>58</v>
      </c>
    </row>
    <row r="259" spans="1:15" ht="72" x14ac:dyDescent="0.2">
      <c r="A259" s="32" t="s">
        <v>1435</v>
      </c>
      <c r="B259" s="33" t="s">
        <v>1436</v>
      </c>
      <c r="C259" s="33" t="s">
        <v>4428</v>
      </c>
      <c r="D259" s="33" t="s">
        <v>4429</v>
      </c>
      <c r="E259" s="33" t="s">
        <v>4425</v>
      </c>
      <c r="F259" s="32">
        <v>85800</v>
      </c>
      <c r="G259" s="32">
        <v>8125.5</v>
      </c>
      <c r="J259" s="34" t="s">
        <v>4031</v>
      </c>
      <c r="L259" s="33" t="s">
        <v>5010</v>
      </c>
      <c r="M259" s="32">
        <v>14009</v>
      </c>
      <c r="O259" s="32">
        <v>95.1</v>
      </c>
    </row>
    <row r="260" spans="1:15" ht="84" x14ac:dyDescent="0.2">
      <c r="A260" s="32" t="s">
        <v>1771</v>
      </c>
      <c r="B260" s="33" t="s">
        <v>1772</v>
      </c>
      <c r="C260" s="33" t="s">
        <v>866</v>
      </c>
      <c r="D260" s="33" t="s">
        <v>4440</v>
      </c>
      <c r="E260" s="33" t="s">
        <v>4425</v>
      </c>
      <c r="F260" s="32">
        <v>4300</v>
      </c>
      <c r="G260" s="32">
        <v>4776.3</v>
      </c>
      <c r="J260" s="34" t="s">
        <v>4031</v>
      </c>
      <c r="L260" s="33" t="s">
        <v>5011</v>
      </c>
      <c r="M260" s="32">
        <v>781.4</v>
      </c>
      <c r="N260" s="32">
        <v>25.2</v>
      </c>
      <c r="O260" s="32">
        <v>20.100000000000001</v>
      </c>
    </row>
    <row r="261" spans="1:15" ht="84" x14ac:dyDescent="0.2">
      <c r="A261" s="32" t="s">
        <v>1817</v>
      </c>
      <c r="B261" s="33" t="s">
        <v>4704</v>
      </c>
      <c r="C261" s="33" t="s">
        <v>4434</v>
      </c>
      <c r="D261" s="33" t="s">
        <v>4705</v>
      </c>
      <c r="E261" s="33" t="s">
        <v>4425</v>
      </c>
      <c r="F261" s="32">
        <v>2700</v>
      </c>
      <c r="G261" s="32">
        <v>3603.2</v>
      </c>
      <c r="J261" s="34" t="s">
        <v>4031</v>
      </c>
      <c r="L261" s="33" t="s">
        <v>5012</v>
      </c>
      <c r="M261" s="32">
        <v>3221.6</v>
      </c>
      <c r="N261" s="32">
        <v>87.4</v>
      </c>
      <c r="O261" s="32">
        <v>46.6</v>
      </c>
    </row>
    <row r="262" spans="1:15" ht="84" x14ac:dyDescent="0.2">
      <c r="A262" s="32" t="s">
        <v>1407</v>
      </c>
      <c r="B262" s="33" t="s">
        <v>1408</v>
      </c>
      <c r="C262" s="33" t="s">
        <v>4428</v>
      </c>
      <c r="D262" s="33" t="s">
        <v>4559</v>
      </c>
      <c r="E262" s="33" t="s">
        <v>4425</v>
      </c>
      <c r="F262" s="32">
        <v>1500</v>
      </c>
      <c r="G262" s="32">
        <v>7286.6</v>
      </c>
      <c r="J262" s="34" t="s">
        <v>4031</v>
      </c>
      <c r="L262" s="33" t="s">
        <v>5013</v>
      </c>
      <c r="M262" s="32">
        <v>281</v>
      </c>
      <c r="N262" s="32">
        <v>72.099999999999994</v>
      </c>
      <c r="O262" s="32">
        <v>41.9</v>
      </c>
    </row>
    <row r="263" spans="1:15" ht="84" x14ac:dyDescent="0.2">
      <c r="A263" s="32" t="s">
        <v>1762</v>
      </c>
      <c r="B263" s="33" t="s">
        <v>4706</v>
      </c>
      <c r="C263" s="33" t="s">
        <v>4434</v>
      </c>
      <c r="D263" s="33" t="s">
        <v>4495</v>
      </c>
      <c r="E263" s="33" t="s">
        <v>4425</v>
      </c>
      <c r="F263" s="32">
        <v>15500</v>
      </c>
      <c r="G263" s="32">
        <v>4766</v>
      </c>
      <c r="J263" s="34" t="s">
        <v>4031</v>
      </c>
      <c r="L263" s="33" t="s">
        <v>5014</v>
      </c>
      <c r="M263" s="32">
        <v>5343</v>
      </c>
      <c r="O263" s="32">
        <v>119.1</v>
      </c>
    </row>
    <row r="264" spans="1:15" ht="84" x14ac:dyDescent="0.2">
      <c r="A264" s="32" t="s">
        <v>1444</v>
      </c>
      <c r="B264" s="33" t="s">
        <v>1445</v>
      </c>
      <c r="C264" s="33" t="s">
        <v>4434</v>
      </c>
      <c r="D264" s="33" t="s">
        <v>4705</v>
      </c>
      <c r="E264" s="33" t="s">
        <v>4425</v>
      </c>
      <c r="F264" s="32">
        <v>5100</v>
      </c>
      <c r="G264" s="32">
        <v>6760.6</v>
      </c>
      <c r="J264" s="34" t="s">
        <v>4031</v>
      </c>
      <c r="L264" s="33" t="s">
        <v>5015</v>
      </c>
      <c r="M264" s="32">
        <v>3563</v>
      </c>
      <c r="N264" s="32">
        <v>67.3</v>
      </c>
      <c r="O264" s="32">
        <v>40.200000000000003</v>
      </c>
    </row>
    <row r="265" spans="1:15" ht="84" x14ac:dyDescent="0.2">
      <c r="A265" s="32" t="s">
        <v>1352</v>
      </c>
      <c r="B265" s="33" t="s">
        <v>1353</v>
      </c>
      <c r="C265" s="33" t="s">
        <v>885</v>
      </c>
      <c r="D265" s="33" t="s">
        <v>4528</v>
      </c>
      <c r="E265" s="33" t="s">
        <v>4425</v>
      </c>
      <c r="F265" s="32">
        <v>2372</v>
      </c>
      <c r="G265" s="32">
        <v>13133.8</v>
      </c>
      <c r="J265" s="34" t="s">
        <v>4031</v>
      </c>
      <c r="L265" s="33" t="s">
        <v>5017</v>
      </c>
      <c r="M265" s="32">
        <v>6434.1</v>
      </c>
      <c r="N265" s="32">
        <v>294.5</v>
      </c>
      <c r="O265" s="32">
        <v>68.7</v>
      </c>
    </row>
    <row r="266" spans="1:15" ht="84" x14ac:dyDescent="0.2">
      <c r="A266" s="32" t="s">
        <v>1898</v>
      </c>
      <c r="B266" s="33" t="s">
        <v>4708</v>
      </c>
      <c r="C266" s="33" t="s">
        <v>4434</v>
      </c>
      <c r="D266" s="33" t="s">
        <v>4687</v>
      </c>
      <c r="E266" s="33" t="s">
        <v>4425</v>
      </c>
      <c r="F266" s="32">
        <v>2738</v>
      </c>
      <c r="G266" s="32">
        <v>3599.6</v>
      </c>
      <c r="J266" s="34" t="s">
        <v>4031</v>
      </c>
      <c r="L266" s="33" t="s">
        <v>5018</v>
      </c>
      <c r="M266" s="32">
        <v>898</v>
      </c>
      <c r="N266" s="32">
        <v>113.1</v>
      </c>
      <c r="O266" s="32">
        <v>53.1</v>
      </c>
    </row>
    <row r="267" spans="1:15" ht="84" x14ac:dyDescent="0.2">
      <c r="A267" s="32" t="s">
        <v>1979</v>
      </c>
      <c r="B267" s="33" t="s">
        <v>1980</v>
      </c>
      <c r="C267" s="33" t="s">
        <v>902</v>
      </c>
      <c r="D267" s="33" t="s">
        <v>4442</v>
      </c>
      <c r="E267" s="33" t="s">
        <v>4425</v>
      </c>
      <c r="F267" s="32">
        <v>6375</v>
      </c>
      <c r="G267" s="32">
        <v>2801.4</v>
      </c>
      <c r="J267" s="40" t="s">
        <v>4031</v>
      </c>
      <c r="L267" s="33" t="s">
        <v>5019</v>
      </c>
      <c r="M267" s="32">
        <v>5176.5</v>
      </c>
      <c r="N267" s="32">
        <v>388.9</v>
      </c>
      <c r="O267" s="32">
        <v>79.5</v>
      </c>
    </row>
    <row r="268" spans="1:15" ht="96" x14ac:dyDescent="0.2">
      <c r="A268" s="32" t="s">
        <v>1767</v>
      </c>
      <c r="B268" s="33" t="s">
        <v>4710</v>
      </c>
      <c r="C268" s="33" t="s">
        <v>866</v>
      </c>
      <c r="D268" s="33" t="s">
        <v>4455</v>
      </c>
      <c r="E268" s="33" t="s">
        <v>4425</v>
      </c>
      <c r="F268" s="32">
        <v>3051</v>
      </c>
      <c r="G268" s="32">
        <v>4973.3999999999996</v>
      </c>
      <c r="J268" s="34" t="s">
        <v>4031</v>
      </c>
      <c r="L268" s="33" t="s">
        <v>5021</v>
      </c>
      <c r="M268" s="32">
        <v>281.10000000000002</v>
      </c>
      <c r="N268" s="32">
        <v>6.3</v>
      </c>
      <c r="O268" s="32">
        <v>6</v>
      </c>
    </row>
    <row r="269" spans="1:15" ht="84" x14ac:dyDescent="0.2">
      <c r="A269" s="32" t="s">
        <v>2006</v>
      </c>
      <c r="B269" s="33" t="s">
        <v>2007</v>
      </c>
      <c r="C269" s="33" t="s">
        <v>922</v>
      </c>
      <c r="D269" s="33" t="s">
        <v>4477</v>
      </c>
      <c r="E269" s="33" t="s">
        <v>4425</v>
      </c>
      <c r="F269" s="32">
        <v>106</v>
      </c>
      <c r="G269" s="32">
        <v>2127.1999999999998</v>
      </c>
      <c r="J269" s="40" t="s">
        <v>4031</v>
      </c>
      <c r="L269" s="33" t="s">
        <v>5022</v>
      </c>
      <c r="M269" s="32">
        <v>1576.7</v>
      </c>
      <c r="N269" s="32">
        <v>163.19999999999999</v>
      </c>
      <c r="O269" s="32">
        <v>62</v>
      </c>
    </row>
    <row r="270" spans="1:15" ht="84" x14ac:dyDescent="0.2">
      <c r="A270" s="32" t="s">
        <v>1409</v>
      </c>
      <c r="B270" s="33" t="s">
        <v>1410</v>
      </c>
      <c r="C270" s="33" t="s">
        <v>904</v>
      </c>
      <c r="D270" s="33" t="s">
        <v>4637</v>
      </c>
      <c r="E270" s="33" t="s">
        <v>4425</v>
      </c>
      <c r="F270" s="32">
        <v>5800</v>
      </c>
      <c r="G270" s="32">
        <v>9350.6</v>
      </c>
      <c r="J270" s="34" t="s">
        <v>4031</v>
      </c>
      <c r="L270" s="33" t="s">
        <v>5023</v>
      </c>
      <c r="M270" s="32">
        <v>6339</v>
      </c>
      <c r="N270" s="32">
        <v>119.4</v>
      </c>
      <c r="O270" s="32">
        <v>53.4</v>
      </c>
    </row>
    <row r="271" spans="1:15" ht="96" x14ac:dyDescent="0.2">
      <c r="A271" s="32" t="s">
        <v>1720</v>
      </c>
      <c r="B271" s="33" t="s">
        <v>1721</v>
      </c>
      <c r="C271" s="33" t="s">
        <v>866</v>
      </c>
      <c r="D271" s="33" t="s">
        <v>4455</v>
      </c>
      <c r="E271" s="33" t="s">
        <v>4425</v>
      </c>
      <c r="F271" s="32">
        <v>3591</v>
      </c>
      <c r="G271" s="32">
        <v>4651.6000000000004</v>
      </c>
      <c r="J271" s="34" t="s">
        <v>4031</v>
      </c>
      <c r="K271" s="32" t="s">
        <v>4414</v>
      </c>
      <c r="L271" s="33" t="s">
        <v>5024</v>
      </c>
      <c r="M271" s="32">
        <v>271</v>
      </c>
      <c r="N271" s="32">
        <v>8.6999999999999993</v>
      </c>
      <c r="O271" s="32">
        <v>8</v>
      </c>
    </row>
    <row r="272" spans="1:15" ht="72" x14ac:dyDescent="0.2">
      <c r="A272" s="32" t="s">
        <v>1823</v>
      </c>
      <c r="B272" s="33" t="s">
        <v>1824</v>
      </c>
      <c r="C272" s="33" t="s">
        <v>866</v>
      </c>
      <c r="D272" s="33" t="s">
        <v>4455</v>
      </c>
      <c r="E272" s="33" t="s">
        <v>4425</v>
      </c>
      <c r="F272" s="32">
        <v>3920</v>
      </c>
      <c r="G272" s="32">
        <v>4466.8</v>
      </c>
      <c r="J272" s="34" t="s">
        <v>4031</v>
      </c>
      <c r="L272" s="33" t="s">
        <v>5025</v>
      </c>
      <c r="M272" s="32">
        <v>394</v>
      </c>
      <c r="N272" s="32">
        <v>14.5</v>
      </c>
      <c r="O272" s="32">
        <v>12.6</v>
      </c>
    </row>
    <row r="273" spans="1:15" ht="84" x14ac:dyDescent="0.2">
      <c r="A273" s="32" t="s">
        <v>1737</v>
      </c>
      <c r="B273" s="33" t="s">
        <v>1738</v>
      </c>
      <c r="C273" s="33" t="s">
        <v>866</v>
      </c>
      <c r="D273" s="33" t="s">
        <v>4503</v>
      </c>
      <c r="E273" s="33" t="s">
        <v>4425</v>
      </c>
      <c r="F273" s="32">
        <v>10300</v>
      </c>
      <c r="G273" s="32">
        <v>5368.9</v>
      </c>
      <c r="J273" s="34" t="s">
        <v>4031</v>
      </c>
      <c r="L273" s="33" t="s">
        <v>5026</v>
      </c>
      <c r="M273" s="32">
        <v>3441.4</v>
      </c>
      <c r="N273" s="32">
        <v>31</v>
      </c>
      <c r="O273" s="32">
        <v>23.6</v>
      </c>
    </row>
    <row r="274" spans="1:15" ht="84" x14ac:dyDescent="0.2">
      <c r="A274" s="32" t="s">
        <v>1758</v>
      </c>
      <c r="B274" s="33" t="s">
        <v>4711</v>
      </c>
      <c r="C274" s="33" t="s">
        <v>4423</v>
      </c>
      <c r="D274" s="33" t="s">
        <v>4489</v>
      </c>
      <c r="E274" s="33" t="s">
        <v>4425</v>
      </c>
      <c r="F274" s="32">
        <v>9457</v>
      </c>
      <c r="G274" s="32">
        <v>4663.7</v>
      </c>
      <c r="J274" s="34" t="s">
        <v>4031</v>
      </c>
      <c r="L274" s="33" t="s">
        <v>5027</v>
      </c>
      <c r="M274" s="32">
        <v>2198.8000000000002</v>
      </c>
      <c r="N274" s="32">
        <v>101.6</v>
      </c>
      <c r="O274" s="32">
        <v>50.4</v>
      </c>
    </row>
    <row r="275" spans="1:15" ht="84" x14ac:dyDescent="0.2">
      <c r="A275" s="32" t="s">
        <v>1963</v>
      </c>
      <c r="B275" s="33" t="s">
        <v>4712</v>
      </c>
      <c r="C275" s="33" t="s">
        <v>4434</v>
      </c>
      <c r="D275" s="33" t="s">
        <v>4439</v>
      </c>
      <c r="E275" s="33" t="s">
        <v>4425</v>
      </c>
      <c r="F275" s="32">
        <v>9500</v>
      </c>
      <c r="G275" s="32">
        <v>2773.1</v>
      </c>
      <c r="J275" s="40" t="s">
        <v>4031</v>
      </c>
      <c r="L275" s="33" t="s">
        <v>5028</v>
      </c>
      <c r="M275" s="32">
        <v>0</v>
      </c>
      <c r="N275" s="32">
        <v>0</v>
      </c>
      <c r="O275" s="32">
        <v>0</v>
      </c>
    </row>
    <row r="276" spans="1:15" ht="84" x14ac:dyDescent="0.2">
      <c r="A276" s="32" t="s">
        <v>1405</v>
      </c>
      <c r="B276" s="33" t="s">
        <v>4713</v>
      </c>
      <c r="C276" s="33" t="s">
        <v>4428</v>
      </c>
      <c r="D276" s="33" t="s">
        <v>4453</v>
      </c>
      <c r="E276" s="33" t="s">
        <v>4425</v>
      </c>
      <c r="F276" s="32">
        <v>950</v>
      </c>
      <c r="G276" s="32">
        <v>8942.9</v>
      </c>
      <c r="J276" s="34" t="s">
        <v>4031</v>
      </c>
      <c r="L276" s="33" t="s">
        <v>5029</v>
      </c>
      <c r="M276" s="32">
        <v>800</v>
      </c>
      <c r="N276" s="32">
        <v>20.9</v>
      </c>
      <c r="O276" s="32">
        <v>17.3</v>
      </c>
    </row>
    <row r="277" spans="1:15" ht="84" x14ac:dyDescent="0.2">
      <c r="A277" s="32" t="s">
        <v>1942</v>
      </c>
      <c r="B277" s="33" t="s">
        <v>1943</v>
      </c>
      <c r="C277" s="33" t="s">
        <v>4434</v>
      </c>
      <c r="D277" s="33" t="s">
        <v>4435</v>
      </c>
      <c r="E277" s="33" t="s">
        <v>4425</v>
      </c>
      <c r="F277" s="32">
        <v>10000</v>
      </c>
      <c r="G277" s="32">
        <v>2800.8</v>
      </c>
      <c r="J277" s="40" t="s">
        <v>4031</v>
      </c>
      <c r="L277" s="33" t="s">
        <v>5030</v>
      </c>
      <c r="M277" s="32">
        <v>349</v>
      </c>
      <c r="N277" s="32">
        <v>87.5</v>
      </c>
      <c r="O277" s="32">
        <v>46.7</v>
      </c>
    </row>
    <row r="278" spans="1:15" ht="96" x14ac:dyDescent="0.2">
      <c r="A278" s="32" t="s">
        <v>1663</v>
      </c>
      <c r="B278" s="33" t="s">
        <v>4714</v>
      </c>
      <c r="C278" s="33" t="s">
        <v>866</v>
      </c>
      <c r="D278" s="33" t="s">
        <v>4455</v>
      </c>
      <c r="E278" s="33" t="s">
        <v>4425</v>
      </c>
      <c r="F278" s="32">
        <v>3155</v>
      </c>
      <c r="G278" s="32">
        <v>6125.5</v>
      </c>
      <c r="J278" s="34" t="s">
        <v>4031</v>
      </c>
      <c r="L278" s="33" t="s">
        <v>5032</v>
      </c>
      <c r="M278" s="32">
        <v>694.6</v>
      </c>
      <c r="N278" s="32">
        <v>15.1</v>
      </c>
      <c r="O278" s="32">
        <v>12.6</v>
      </c>
    </row>
    <row r="279" spans="1:15" ht="84" x14ac:dyDescent="0.2">
      <c r="A279" s="32" t="s">
        <v>1921</v>
      </c>
      <c r="B279" s="33" t="s">
        <v>4717</v>
      </c>
      <c r="C279" s="33" t="s">
        <v>4430</v>
      </c>
      <c r="D279" s="33" t="s">
        <v>4469</v>
      </c>
      <c r="E279" s="33" t="s">
        <v>4425</v>
      </c>
      <c r="F279" s="32">
        <v>5800</v>
      </c>
      <c r="G279" s="32">
        <v>3377.7</v>
      </c>
      <c r="J279" s="34" t="s">
        <v>4031</v>
      </c>
      <c r="L279" s="33" t="s">
        <v>5035</v>
      </c>
      <c r="M279" s="32">
        <v>2110.6</v>
      </c>
      <c r="N279" s="32">
        <v>80.099999999999994</v>
      </c>
      <c r="O279" s="32">
        <v>44.5</v>
      </c>
    </row>
    <row r="280" spans="1:15" ht="72" x14ac:dyDescent="0.2">
      <c r="A280" s="32" t="s">
        <v>1749</v>
      </c>
      <c r="B280" s="33" t="s">
        <v>4718</v>
      </c>
      <c r="C280" s="33" t="s">
        <v>4434</v>
      </c>
      <c r="D280" s="33" t="s">
        <v>4439</v>
      </c>
      <c r="E280" s="33" t="s">
        <v>4425</v>
      </c>
      <c r="G280" s="32">
        <v>4737.1000000000004</v>
      </c>
      <c r="J280" s="34" t="s">
        <v>4031</v>
      </c>
      <c r="L280" s="33" t="s">
        <v>5036</v>
      </c>
      <c r="M280" s="32">
        <v>978</v>
      </c>
      <c r="N280" s="32">
        <v>388.1</v>
      </c>
      <c r="O280" s="32">
        <v>79.5</v>
      </c>
    </row>
    <row r="281" spans="1:15" ht="84" x14ac:dyDescent="0.2">
      <c r="A281" s="32" t="s">
        <v>1975</v>
      </c>
      <c r="B281" s="33" t="s">
        <v>1976</v>
      </c>
      <c r="C281" s="33" t="s">
        <v>4430</v>
      </c>
      <c r="D281" s="33" t="s">
        <v>4664</v>
      </c>
      <c r="E281" s="33" t="s">
        <v>4425</v>
      </c>
      <c r="F281" s="32">
        <v>21600</v>
      </c>
      <c r="G281" s="32">
        <v>2945.4</v>
      </c>
      <c r="J281" s="40" t="s">
        <v>4031</v>
      </c>
      <c r="L281" s="33" t="s">
        <v>5037</v>
      </c>
      <c r="M281" s="32">
        <v>454.8</v>
      </c>
      <c r="N281" s="32">
        <v>26.4</v>
      </c>
      <c r="O281" s="32">
        <v>20.9</v>
      </c>
    </row>
    <row r="282" spans="1:15" ht="84" x14ac:dyDescent="0.2">
      <c r="A282" s="32" t="s">
        <v>1575</v>
      </c>
      <c r="B282" s="33" t="s">
        <v>1576</v>
      </c>
      <c r="C282" s="33" t="s">
        <v>4423</v>
      </c>
      <c r="D282" s="33" t="s">
        <v>4487</v>
      </c>
      <c r="E282" s="33" t="s">
        <v>4425</v>
      </c>
      <c r="F282" s="32">
        <v>9800</v>
      </c>
      <c r="G282" s="32">
        <v>5966.3</v>
      </c>
      <c r="J282" s="34" t="s">
        <v>4031</v>
      </c>
      <c r="L282" s="33" t="s">
        <v>5038</v>
      </c>
      <c r="M282" s="32">
        <v>1855</v>
      </c>
      <c r="O282" s="32">
        <v>93.2</v>
      </c>
    </row>
    <row r="283" spans="1:15" ht="84" x14ac:dyDescent="0.2">
      <c r="A283" s="32" t="s">
        <v>2010</v>
      </c>
      <c r="B283" s="33" t="s">
        <v>4719</v>
      </c>
      <c r="C283" s="33" t="s">
        <v>866</v>
      </c>
      <c r="D283" s="33" t="s">
        <v>4455</v>
      </c>
      <c r="E283" s="33" t="s">
        <v>4425</v>
      </c>
      <c r="F283" s="32">
        <v>2082</v>
      </c>
      <c r="G283" s="32">
        <v>2289.4</v>
      </c>
      <c r="J283" s="40" t="s">
        <v>4031</v>
      </c>
      <c r="L283" s="33" t="s">
        <v>5039</v>
      </c>
      <c r="M283" s="32">
        <v>0</v>
      </c>
      <c r="N283" s="32">
        <v>0</v>
      </c>
      <c r="O283" s="32">
        <v>0</v>
      </c>
    </row>
    <row r="284" spans="1:15" ht="84" x14ac:dyDescent="0.2">
      <c r="A284" s="32" t="s">
        <v>1729</v>
      </c>
      <c r="B284" s="33" t="s">
        <v>4720</v>
      </c>
      <c r="C284" s="33" t="s">
        <v>866</v>
      </c>
      <c r="D284" s="33" t="s">
        <v>4455</v>
      </c>
      <c r="E284" s="33" t="s">
        <v>4425</v>
      </c>
      <c r="F284" s="32">
        <v>3345</v>
      </c>
      <c r="G284" s="32">
        <v>5436.2</v>
      </c>
      <c r="J284" s="34" t="s">
        <v>4031</v>
      </c>
      <c r="K284" s="32" t="s">
        <v>4416</v>
      </c>
      <c r="L284" s="33" t="s">
        <v>5040</v>
      </c>
      <c r="M284" s="32">
        <v>564.1</v>
      </c>
      <c r="N284" s="32">
        <v>17.399999999999999</v>
      </c>
      <c r="O284" s="32">
        <v>14.3</v>
      </c>
    </row>
    <row r="285" spans="1:15" ht="96" x14ac:dyDescent="0.2">
      <c r="A285" s="32" t="s">
        <v>1710</v>
      </c>
      <c r="B285" s="33" t="s">
        <v>4721</v>
      </c>
      <c r="C285" s="33" t="s">
        <v>4434</v>
      </c>
      <c r="D285" s="33" t="s">
        <v>4485</v>
      </c>
      <c r="E285" s="33" t="s">
        <v>4425</v>
      </c>
      <c r="F285" s="32">
        <v>14000</v>
      </c>
      <c r="G285" s="32">
        <v>4900.3</v>
      </c>
      <c r="J285" s="34" t="s">
        <v>4031</v>
      </c>
      <c r="L285" s="33" t="s">
        <v>5041</v>
      </c>
      <c r="M285" s="32">
        <v>2889.5</v>
      </c>
      <c r="N285" s="32">
        <v>532.4</v>
      </c>
      <c r="O285" s="32">
        <v>84.2</v>
      </c>
    </row>
    <row r="286" spans="1:15" ht="84" x14ac:dyDescent="0.2">
      <c r="A286" s="32" t="s">
        <v>1595</v>
      </c>
      <c r="B286" s="33" t="s">
        <v>4723</v>
      </c>
      <c r="C286" s="33" t="s">
        <v>902</v>
      </c>
      <c r="D286" s="33" t="s">
        <v>4438</v>
      </c>
      <c r="E286" s="33" t="s">
        <v>4425</v>
      </c>
      <c r="F286" s="32">
        <v>5300</v>
      </c>
      <c r="G286" s="32">
        <v>6633.6</v>
      </c>
      <c r="J286" s="34" t="s">
        <v>4031</v>
      </c>
      <c r="L286" s="33" t="s">
        <v>5043</v>
      </c>
      <c r="M286" s="32">
        <v>2802.3</v>
      </c>
      <c r="N286" s="32">
        <v>151.9</v>
      </c>
      <c r="O286" s="32">
        <v>60.3</v>
      </c>
    </row>
    <row r="287" spans="1:15" ht="84" x14ac:dyDescent="0.2">
      <c r="A287" s="32" t="s">
        <v>1466</v>
      </c>
      <c r="B287" s="33" t="s">
        <v>1467</v>
      </c>
      <c r="C287" s="33" t="s">
        <v>4434</v>
      </c>
      <c r="D287" s="33" t="s">
        <v>4495</v>
      </c>
      <c r="E287" s="33" t="s">
        <v>4425</v>
      </c>
      <c r="F287" s="32">
        <v>9000</v>
      </c>
      <c r="G287" s="32">
        <v>7813</v>
      </c>
      <c r="J287" s="34" t="s">
        <v>4031</v>
      </c>
      <c r="L287" s="33" t="s">
        <v>5044</v>
      </c>
      <c r="M287" s="32">
        <v>2067</v>
      </c>
      <c r="N287" s="32">
        <v>184.1</v>
      </c>
      <c r="O287" s="32">
        <v>64.8</v>
      </c>
    </row>
    <row r="288" spans="1:15" ht="72" x14ac:dyDescent="0.2">
      <c r="A288" s="32" t="s">
        <v>1330</v>
      </c>
      <c r="B288" s="33" t="s">
        <v>4724</v>
      </c>
      <c r="C288" s="33" t="s">
        <v>4430</v>
      </c>
      <c r="D288" s="33" t="s">
        <v>4664</v>
      </c>
      <c r="E288" s="33" t="s">
        <v>4425</v>
      </c>
      <c r="F288" s="32">
        <v>3466</v>
      </c>
      <c r="G288" s="32">
        <v>10435.1</v>
      </c>
      <c r="J288" s="34" t="s">
        <v>4031</v>
      </c>
      <c r="L288" s="33" t="s">
        <v>5045</v>
      </c>
      <c r="M288" s="32">
        <v>844.3</v>
      </c>
      <c r="N288" s="32">
        <v>41.4</v>
      </c>
      <c r="O288" s="32">
        <v>29.3</v>
      </c>
    </row>
    <row r="289" spans="1:15" ht="84" x14ac:dyDescent="0.2">
      <c r="A289" s="32" t="s">
        <v>1990</v>
      </c>
      <c r="B289" s="33" t="s">
        <v>4725</v>
      </c>
      <c r="C289" s="33" t="s">
        <v>4423</v>
      </c>
      <c r="D289" s="33" t="s">
        <v>4499</v>
      </c>
      <c r="E289" s="33" t="s">
        <v>4425</v>
      </c>
      <c r="F289" s="32">
        <v>9000</v>
      </c>
      <c r="G289" s="32">
        <v>2683.7</v>
      </c>
      <c r="J289" s="40" t="s">
        <v>4031</v>
      </c>
      <c r="L289" s="33" t="s">
        <v>5046</v>
      </c>
      <c r="M289" s="32">
        <v>701.9</v>
      </c>
      <c r="N289" s="32">
        <v>47.4</v>
      </c>
      <c r="O289" s="32">
        <v>32.200000000000003</v>
      </c>
    </row>
    <row r="290" spans="1:15" ht="84" x14ac:dyDescent="0.2">
      <c r="A290" s="32" t="s">
        <v>1718</v>
      </c>
      <c r="B290" s="33" t="s">
        <v>1719</v>
      </c>
      <c r="C290" s="33" t="s">
        <v>866</v>
      </c>
      <c r="D290" s="33" t="s">
        <v>4455</v>
      </c>
      <c r="E290" s="33" t="s">
        <v>4425</v>
      </c>
      <c r="F290" s="32">
        <v>5364</v>
      </c>
      <c r="G290" s="32">
        <v>5558.2</v>
      </c>
      <c r="J290" s="34" t="s">
        <v>4031</v>
      </c>
      <c r="K290" s="32" t="s">
        <v>4047</v>
      </c>
      <c r="L290" s="33" t="s">
        <v>5049</v>
      </c>
      <c r="M290" s="32">
        <v>1180.9000000000001</v>
      </c>
      <c r="N290" s="32">
        <v>29.5</v>
      </c>
      <c r="O290" s="32">
        <v>21.1</v>
      </c>
    </row>
    <row r="291" spans="1:15" ht="84" x14ac:dyDescent="0.2">
      <c r="A291" s="32" t="s">
        <v>1322</v>
      </c>
      <c r="B291" s="33" t="s">
        <v>4728</v>
      </c>
      <c r="C291" s="33" t="s">
        <v>904</v>
      </c>
      <c r="D291" s="33" t="s">
        <v>4729</v>
      </c>
      <c r="E291" s="33" t="s">
        <v>4425</v>
      </c>
      <c r="F291" s="32">
        <v>3180</v>
      </c>
      <c r="G291" s="32">
        <v>12159.5</v>
      </c>
      <c r="J291" s="34" t="s">
        <v>4031</v>
      </c>
      <c r="L291" s="33" t="s">
        <v>5050</v>
      </c>
      <c r="M291" s="32">
        <v>5598.7</v>
      </c>
      <c r="N291" s="32">
        <v>109.2</v>
      </c>
      <c r="O291" s="32">
        <v>52.2</v>
      </c>
    </row>
    <row r="292" spans="1:15" ht="72" x14ac:dyDescent="0.2">
      <c r="A292" s="32" t="s">
        <v>1535</v>
      </c>
      <c r="B292" s="33" t="s">
        <v>4730</v>
      </c>
      <c r="C292" s="33" t="s">
        <v>902</v>
      </c>
      <c r="D292" s="33" t="s">
        <v>4438</v>
      </c>
      <c r="E292" s="33" t="s">
        <v>4425</v>
      </c>
      <c r="F292" s="32">
        <v>11000</v>
      </c>
      <c r="G292" s="32">
        <v>7256.2</v>
      </c>
      <c r="J292" s="34" t="s">
        <v>4031</v>
      </c>
      <c r="L292" s="33" t="s">
        <v>5051</v>
      </c>
      <c r="M292" s="32">
        <v>2732.6</v>
      </c>
      <c r="N292" s="32">
        <v>741.3</v>
      </c>
      <c r="O292" s="32">
        <v>88.1</v>
      </c>
    </row>
    <row r="293" spans="1:15" ht="84" x14ac:dyDescent="0.2">
      <c r="A293" s="32" t="s">
        <v>2008</v>
      </c>
      <c r="B293" s="33" t="s">
        <v>4731</v>
      </c>
      <c r="C293" s="33" t="s">
        <v>4434</v>
      </c>
      <c r="D293" s="33" t="s">
        <v>4732</v>
      </c>
      <c r="E293" s="33" t="s">
        <v>4425</v>
      </c>
      <c r="F293" s="32">
        <v>900</v>
      </c>
      <c r="G293" s="32">
        <v>3680.9</v>
      </c>
      <c r="J293" s="34" t="s">
        <v>4031</v>
      </c>
      <c r="L293" s="33" t="s">
        <v>5053</v>
      </c>
      <c r="M293" s="32">
        <v>393.4</v>
      </c>
      <c r="N293" s="32">
        <v>105.5</v>
      </c>
      <c r="O293" s="32">
        <v>51.3</v>
      </c>
    </row>
    <row r="294" spans="1:15" ht="84" x14ac:dyDescent="0.2">
      <c r="A294" s="32" t="s">
        <v>1601</v>
      </c>
      <c r="B294" s="33" t="s">
        <v>4733</v>
      </c>
      <c r="C294" s="33" t="s">
        <v>4423</v>
      </c>
      <c r="D294" s="33" t="s">
        <v>4499</v>
      </c>
      <c r="E294" s="33" t="s">
        <v>4425</v>
      </c>
      <c r="F294" s="32">
        <v>23350</v>
      </c>
      <c r="G294" s="32">
        <v>5029</v>
      </c>
      <c r="J294" s="34" t="s">
        <v>4031</v>
      </c>
      <c r="L294" s="33" t="s">
        <v>5054</v>
      </c>
      <c r="M294" s="32">
        <v>4272</v>
      </c>
      <c r="N294" s="32">
        <v>54</v>
      </c>
      <c r="O294" s="32">
        <v>35.1</v>
      </c>
    </row>
    <row r="295" spans="1:15" ht="84" x14ac:dyDescent="0.2">
      <c r="A295" s="32" t="s">
        <v>1440</v>
      </c>
      <c r="B295" s="33" t="s">
        <v>1441</v>
      </c>
      <c r="C295" s="33" t="s">
        <v>902</v>
      </c>
      <c r="D295" s="33" t="s">
        <v>4599</v>
      </c>
      <c r="E295" s="33" t="s">
        <v>4425</v>
      </c>
      <c r="F295" s="32">
        <v>42000</v>
      </c>
      <c r="G295" s="32">
        <v>7499.8</v>
      </c>
      <c r="J295" s="34" t="s">
        <v>4031</v>
      </c>
      <c r="L295" s="33" t="s">
        <v>5055</v>
      </c>
      <c r="M295" s="32">
        <v>3515</v>
      </c>
      <c r="N295" s="32">
        <v>346</v>
      </c>
      <c r="O295" s="32">
        <v>77.599999999999994</v>
      </c>
    </row>
    <row r="296" spans="1:15" ht="96" x14ac:dyDescent="0.2">
      <c r="A296" s="32" t="s">
        <v>1843</v>
      </c>
      <c r="B296" s="33" t="s">
        <v>4734</v>
      </c>
      <c r="C296" s="33" t="s">
        <v>4430</v>
      </c>
      <c r="D296" s="33" t="s">
        <v>4735</v>
      </c>
      <c r="E296" s="33" t="s">
        <v>4425</v>
      </c>
      <c r="F296" s="32">
        <v>23600</v>
      </c>
      <c r="G296" s="32">
        <v>3589.9</v>
      </c>
      <c r="J296" s="34" t="s">
        <v>4031</v>
      </c>
      <c r="L296" s="33" t="s">
        <v>5056</v>
      </c>
      <c r="M296" s="32">
        <v>3673</v>
      </c>
      <c r="N296" s="32">
        <v>70.8</v>
      </c>
      <c r="O296" s="32">
        <v>40.5</v>
      </c>
    </row>
    <row r="297" spans="1:15" ht="96" x14ac:dyDescent="0.2">
      <c r="A297" s="32" t="s">
        <v>158</v>
      </c>
      <c r="B297" s="33" t="s">
        <v>4736</v>
      </c>
      <c r="C297" s="33" t="s">
        <v>866</v>
      </c>
      <c r="D297" s="33" t="s">
        <v>4672</v>
      </c>
      <c r="E297" s="33" t="s">
        <v>4425</v>
      </c>
      <c r="F297" s="32">
        <v>10407</v>
      </c>
      <c r="G297" s="32">
        <v>8840</v>
      </c>
      <c r="J297" s="34" t="s">
        <v>4031</v>
      </c>
      <c r="L297" s="33" t="s">
        <v>5057</v>
      </c>
      <c r="M297" s="32">
        <v>2552.1999999999998</v>
      </c>
      <c r="N297" s="32">
        <v>28.8</v>
      </c>
      <c r="O297" s="32">
        <v>22.4</v>
      </c>
    </row>
    <row r="298" spans="1:15" ht="84" x14ac:dyDescent="0.2">
      <c r="A298" s="32" t="s">
        <v>1997</v>
      </c>
      <c r="B298" s="33" t="s">
        <v>1998</v>
      </c>
      <c r="C298" s="33" t="s">
        <v>4430</v>
      </c>
      <c r="D298" s="33" t="s">
        <v>4621</v>
      </c>
      <c r="E298" s="33" t="s">
        <v>4425</v>
      </c>
      <c r="F298" s="32">
        <v>3900</v>
      </c>
      <c r="G298" s="32">
        <v>2415.4</v>
      </c>
      <c r="J298" s="40" t="s">
        <v>4031</v>
      </c>
      <c r="L298" s="33" t="s">
        <v>5058</v>
      </c>
      <c r="M298" s="32">
        <v>0</v>
      </c>
      <c r="N298" s="32">
        <v>0</v>
      </c>
      <c r="O298" s="32">
        <v>0</v>
      </c>
    </row>
    <row r="299" spans="1:15" ht="72" x14ac:dyDescent="0.2">
      <c r="A299" s="32" t="s">
        <v>1356</v>
      </c>
      <c r="B299" s="33" t="s">
        <v>4482</v>
      </c>
      <c r="C299" s="33" t="s">
        <v>902</v>
      </c>
      <c r="D299" s="33" t="s">
        <v>4483</v>
      </c>
      <c r="E299" s="33" t="s">
        <v>4425</v>
      </c>
      <c r="F299" s="32">
        <v>20000</v>
      </c>
      <c r="G299" s="32">
        <v>9683.6</v>
      </c>
      <c r="J299" s="34" t="s">
        <v>4032</v>
      </c>
      <c r="K299" s="32" t="s">
        <v>4078</v>
      </c>
      <c r="L299" s="33" t="s">
        <v>4780</v>
      </c>
      <c r="M299" s="32">
        <v>14758</v>
      </c>
      <c r="O299" s="32">
        <v>101.5</v>
      </c>
    </row>
    <row r="300" spans="1:15" ht="84" x14ac:dyDescent="0.2">
      <c r="A300" s="32" t="s">
        <v>1446</v>
      </c>
      <c r="B300" s="33" t="s">
        <v>4494</v>
      </c>
      <c r="C300" s="33" t="s">
        <v>4434</v>
      </c>
      <c r="D300" s="33" t="s">
        <v>4495</v>
      </c>
      <c r="E300" s="33" t="s">
        <v>4425</v>
      </c>
      <c r="F300" s="32">
        <v>1498</v>
      </c>
      <c r="G300" s="32">
        <v>8110.8</v>
      </c>
      <c r="J300" s="34" t="s">
        <v>4032</v>
      </c>
      <c r="K300" s="32" t="s">
        <v>4080</v>
      </c>
      <c r="L300" s="33" t="s">
        <v>4791</v>
      </c>
      <c r="M300" s="32">
        <v>843.8</v>
      </c>
      <c r="N300" s="32">
        <v>397.8</v>
      </c>
      <c r="O300" s="32">
        <v>79.900000000000006</v>
      </c>
    </row>
    <row r="301" spans="1:15" ht="48" x14ac:dyDescent="0.2">
      <c r="A301" s="32" t="s">
        <v>1680</v>
      </c>
      <c r="B301" s="33" t="s">
        <v>4521</v>
      </c>
      <c r="C301" s="33" t="s">
        <v>902</v>
      </c>
      <c r="D301" s="33" t="s">
        <v>4463</v>
      </c>
      <c r="E301" s="33" t="s">
        <v>4425</v>
      </c>
      <c r="F301" s="32">
        <v>8200</v>
      </c>
      <c r="G301" s="32">
        <v>5264.8</v>
      </c>
      <c r="J301" s="34" t="s">
        <v>4032</v>
      </c>
      <c r="L301" s="33" t="s">
        <v>4810</v>
      </c>
      <c r="M301" s="32">
        <v>957.1</v>
      </c>
      <c r="N301" s="32">
        <v>50.4</v>
      </c>
      <c r="O301" s="32">
        <v>33.5</v>
      </c>
    </row>
    <row r="302" spans="1:15" ht="96" x14ac:dyDescent="0.2">
      <c r="A302" s="32" t="s">
        <v>1919</v>
      </c>
      <c r="B302" s="33" t="s">
        <v>4533</v>
      </c>
      <c r="C302" s="33" t="s">
        <v>902</v>
      </c>
      <c r="D302" s="33" t="s">
        <v>4532</v>
      </c>
      <c r="E302" s="33" t="s">
        <v>4425</v>
      </c>
      <c r="F302" s="32">
        <v>11400</v>
      </c>
      <c r="G302" s="32">
        <v>3070.2</v>
      </c>
      <c r="J302" s="40" t="s">
        <v>4032</v>
      </c>
      <c r="L302" s="33" t="s">
        <v>4822</v>
      </c>
      <c r="M302" s="32">
        <v>1076.3</v>
      </c>
      <c r="N302" s="32">
        <v>68.599999999999994</v>
      </c>
      <c r="O302" s="32">
        <v>40.700000000000003</v>
      </c>
    </row>
    <row r="303" spans="1:15" ht="84" x14ac:dyDescent="0.2">
      <c r="A303" s="32" t="s">
        <v>1499</v>
      </c>
      <c r="B303" s="33" t="s">
        <v>1500</v>
      </c>
      <c r="C303" s="33" t="s">
        <v>4430</v>
      </c>
      <c r="D303" s="33" t="s">
        <v>4469</v>
      </c>
      <c r="E303" s="33" t="s">
        <v>4425</v>
      </c>
      <c r="F303" s="32">
        <v>5618</v>
      </c>
      <c r="G303" s="32">
        <v>7073.1</v>
      </c>
      <c r="J303" s="34" t="s">
        <v>4032</v>
      </c>
      <c r="L303" s="33" t="s">
        <v>4899</v>
      </c>
      <c r="M303" s="32">
        <v>800</v>
      </c>
      <c r="N303" s="32">
        <v>40.6</v>
      </c>
      <c r="O303" s="32">
        <v>28.9</v>
      </c>
    </row>
    <row r="304" spans="1:15" ht="84" x14ac:dyDescent="0.2">
      <c r="A304" s="32" t="s">
        <v>1707</v>
      </c>
      <c r="B304" s="33" t="s">
        <v>4620</v>
      </c>
      <c r="C304" s="33" t="s">
        <v>4430</v>
      </c>
      <c r="D304" s="33" t="s">
        <v>4621</v>
      </c>
      <c r="E304" s="33" t="s">
        <v>1709</v>
      </c>
      <c r="F304" s="32">
        <v>1765</v>
      </c>
      <c r="G304" s="32">
        <v>5282.2</v>
      </c>
      <c r="J304" s="34" t="s">
        <v>4032</v>
      </c>
      <c r="K304" s="32" t="s">
        <v>4412</v>
      </c>
      <c r="L304" s="33" t="s">
        <v>4909</v>
      </c>
      <c r="M304" s="32">
        <v>72.3</v>
      </c>
      <c r="N304" s="32">
        <v>15.7</v>
      </c>
      <c r="O304" s="32">
        <v>13.6</v>
      </c>
    </row>
    <row r="305" spans="1:15" ht="96" x14ac:dyDescent="0.2">
      <c r="A305" s="32" t="s">
        <v>1310</v>
      </c>
      <c r="B305" s="33" t="s">
        <v>4633</v>
      </c>
      <c r="C305" s="33" t="s">
        <v>902</v>
      </c>
      <c r="D305" s="33" t="s">
        <v>4491</v>
      </c>
      <c r="E305" s="33" t="s">
        <v>4425</v>
      </c>
      <c r="F305" s="32">
        <v>6800</v>
      </c>
      <c r="G305" s="32">
        <v>13144.6</v>
      </c>
      <c r="J305" s="34" t="s">
        <v>4032</v>
      </c>
      <c r="L305" s="33" t="s">
        <v>4922</v>
      </c>
      <c r="M305" s="32">
        <v>804.8</v>
      </c>
      <c r="N305" s="32">
        <v>39</v>
      </c>
      <c r="O305" s="32">
        <v>28.1</v>
      </c>
    </row>
    <row r="306" spans="1:15" ht="84" x14ac:dyDescent="0.2">
      <c r="A306" s="32" t="s">
        <v>1747</v>
      </c>
      <c r="B306" s="33" t="s">
        <v>4634</v>
      </c>
      <c r="C306" s="33" t="s">
        <v>4428</v>
      </c>
      <c r="D306" s="33" t="s">
        <v>4559</v>
      </c>
      <c r="E306" s="33" t="s">
        <v>4425</v>
      </c>
      <c r="F306" s="32">
        <v>1841</v>
      </c>
      <c r="G306" s="32">
        <v>3756.8</v>
      </c>
      <c r="J306" s="34" t="s">
        <v>4032</v>
      </c>
      <c r="K306" s="32" t="s">
        <v>4418</v>
      </c>
      <c r="L306" s="33" t="s">
        <v>4923</v>
      </c>
      <c r="M306" s="32">
        <v>0</v>
      </c>
      <c r="N306" s="32">
        <v>0</v>
      </c>
      <c r="O306" s="32">
        <v>0</v>
      </c>
    </row>
    <row r="307" spans="1:15" ht="96" x14ac:dyDescent="0.2">
      <c r="A307" s="32" t="s">
        <v>1981</v>
      </c>
      <c r="B307" s="33" t="s">
        <v>1982</v>
      </c>
      <c r="C307" s="33" t="s">
        <v>4423</v>
      </c>
      <c r="D307" s="33" t="s">
        <v>4489</v>
      </c>
      <c r="E307" s="33" t="s">
        <v>4425</v>
      </c>
      <c r="F307" s="32">
        <v>1750</v>
      </c>
      <c r="G307" s="32">
        <v>2624.3</v>
      </c>
      <c r="J307" s="40" t="s">
        <v>4032</v>
      </c>
      <c r="L307" s="33" t="s">
        <v>4926</v>
      </c>
      <c r="M307" s="32">
        <v>1254.4000000000001</v>
      </c>
      <c r="N307" s="32">
        <v>194.6</v>
      </c>
      <c r="O307" s="32">
        <v>66.099999999999994</v>
      </c>
    </row>
    <row r="308" spans="1:15" ht="84" x14ac:dyDescent="0.2">
      <c r="A308" s="32" t="s">
        <v>1907</v>
      </c>
      <c r="B308" s="33" t="s">
        <v>4653</v>
      </c>
      <c r="C308" s="33" t="s">
        <v>4434</v>
      </c>
      <c r="D308" s="33" t="s">
        <v>4654</v>
      </c>
      <c r="E308" s="33" t="s">
        <v>4425</v>
      </c>
      <c r="F308" s="32">
        <v>4400</v>
      </c>
      <c r="G308" s="32">
        <v>2798.3</v>
      </c>
      <c r="J308" s="40" t="s">
        <v>4032</v>
      </c>
      <c r="L308" s="33" t="s">
        <v>4943</v>
      </c>
      <c r="M308" s="32">
        <v>0.7</v>
      </c>
      <c r="N308" s="32">
        <v>0.1</v>
      </c>
      <c r="O308" s="32">
        <v>0.1</v>
      </c>
    </row>
    <row r="309" spans="1:15" ht="72" x14ac:dyDescent="0.2">
      <c r="A309" s="32" t="s">
        <v>1339</v>
      </c>
      <c r="B309" s="33" t="s">
        <v>4670</v>
      </c>
      <c r="C309" s="33" t="s">
        <v>922</v>
      </c>
      <c r="D309" s="33" t="s">
        <v>4477</v>
      </c>
      <c r="E309" s="33" t="s">
        <v>4425</v>
      </c>
      <c r="F309" s="32">
        <v>147</v>
      </c>
      <c r="G309" s="32">
        <v>10676.8</v>
      </c>
      <c r="J309" s="34" t="s">
        <v>4032</v>
      </c>
      <c r="K309" s="32" t="s">
        <v>4077</v>
      </c>
      <c r="L309" s="33" t="s">
        <v>4967</v>
      </c>
      <c r="M309" s="32">
        <v>1386.1</v>
      </c>
      <c r="N309" s="32">
        <v>33.9</v>
      </c>
      <c r="O309" s="32">
        <v>24.6</v>
      </c>
    </row>
    <row r="310" spans="1:15" ht="60" x14ac:dyDescent="0.2">
      <c r="A310" s="32" t="s">
        <v>1326</v>
      </c>
      <c r="B310" s="33" t="s">
        <v>4676</v>
      </c>
      <c r="C310" s="33" t="s">
        <v>4423</v>
      </c>
      <c r="D310" s="33" t="s">
        <v>4489</v>
      </c>
      <c r="E310" s="33" t="s">
        <v>4425</v>
      </c>
      <c r="F310" s="32">
        <v>15490</v>
      </c>
      <c r="G310" s="32">
        <v>11447.8</v>
      </c>
      <c r="J310" s="34" t="s">
        <v>4032</v>
      </c>
      <c r="L310" s="33" t="s">
        <v>4972</v>
      </c>
      <c r="M310" s="32">
        <v>2429.6</v>
      </c>
      <c r="N310" s="32">
        <v>135.80000000000001</v>
      </c>
      <c r="O310" s="32">
        <v>57.6</v>
      </c>
    </row>
    <row r="311" spans="1:15" ht="84" x14ac:dyDescent="0.2">
      <c r="A311" s="32" t="s">
        <v>1661</v>
      </c>
      <c r="B311" s="33" t="s">
        <v>4686</v>
      </c>
      <c r="C311" s="33" t="s">
        <v>4430</v>
      </c>
      <c r="D311" s="33" t="s">
        <v>4664</v>
      </c>
      <c r="E311" s="33" t="s">
        <v>4425</v>
      </c>
      <c r="F311" s="32">
        <v>187</v>
      </c>
      <c r="G311" s="32">
        <v>3844.8</v>
      </c>
      <c r="J311" s="34" t="s">
        <v>4032</v>
      </c>
      <c r="L311" s="33" t="s">
        <v>4987</v>
      </c>
      <c r="M311" s="32">
        <v>0</v>
      </c>
      <c r="N311" s="32">
        <v>0</v>
      </c>
      <c r="O311" s="32">
        <v>0</v>
      </c>
    </row>
    <row r="312" spans="1:15" ht="84" x14ac:dyDescent="0.2">
      <c r="A312" s="32" t="s">
        <v>1795</v>
      </c>
      <c r="B312" s="33" t="s">
        <v>4697</v>
      </c>
      <c r="C312" s="33" t="s">
        <v>4428</v>
      </c>
      <c r="D312" s="33" t="s">
        <v>4559</v>
      </c>
      <c r="E312" s="33" t="s">
        <v>4425</v>
      </c>
      <c r="F312" s="32">
        <v>575</v>
      </c>
      <c r="G312" s="32">
        <v>3222.5</v>
      </c>
      <c r="J312" s="40" t="s">
        <v>4032</v>
      </c>
      <c r="L312" s="33" t="s">
        <v>5001</v>
      </c>
      <c r="M312" s="32">
        <v>0</v>
      </c>
      <c r="N312" s="32">
        <v>0</v>
      </c>
      <c r="O312" s="32">
        <v>0</v>
      </c>
    </row>
    <row r="313" spans="1:15" ht="84" x14ac:dyDescent="0.2">
      <c r="A313" s="32" t="s">
        <v>1937</v>
      </c>
      <c r="B313" s="33" t="s">
        <v>4707</v>
      </c>
      <c r="C313" s="33" t="s">
        <v>4434</v>
      </c>
      <c r="D313" s="33" t="s">
        <v>4705</v>
      </c>
      <c r="E313" s="33" t="s">
        <v>4425</v>
      </c>
      <c r="F313" s="32">
        <v>1163</v>
      </c>
      <c r="G313" s="32">
        <v>2641.8</v>
      </c>
      <c r="J313" s="40" t="s">
        <v>4032</v>
      </c>
      <c r="K313" s="41" t="s">
        <v>5067</v>
      </c>
      <c r="L313" s="33" t="s">
        <v>5016</v>
      </c>
      <c r="M313" s="32">
        <v>1343.8</v>
      </c>
      <c r="N313" s="32">
        <v>57.1</v>
      </c>
      <c r="O313" s="32">
        <v>36.299999999999997</v>
      </c>
    </row>
    <row r="314" spans="1:15" ht="84" x14ac:dyDescent="0.2">
      <c r="A314" s="32" t="s">
        <v>1700</v>
      </c>
      <c r="B314" s="33" t="s">
        <v>4715</v>
      </c>
      <c r="C314" s="33" t="s">
        <v>902</v>
      </c>
      <c r="D314" s="33" t="s">
        <v>4433</v>
      </c>
      <c r="E314" s="33" t="s">
        <v>4425</v>
      </c>
      <c r="F314" s="32">
        <v>10844</v>
      </c>
      <c r="G314" s="32">
        <v>4518</v>
      </c>
      <c r="J314" s="34" t="s">
        <v>4032</v>
      </c>
      <c r="K314" s="32" t="s">
        <v>4410</v>
      </c>
      <c r="L314" s="33" t="s">
        <v>5033</v>
      </c>
      <c r="M314" s="32">
        <v>897.5</v>
      </c>
      <c r="N314" s="32">
        <v>68.099999999999994</v>
      </c>
      <c r="O314" s="32">
        <v>40.5</v>
      </c>
    </row>
    <row r="315" spans="1:15" ht="84" x14ac:dyDescent="0.2">
      <c r="A315" s="32" t="s">
        <v>1716</v>
      </c>
      <c r="B315" s="33" t="s">
        <v>4716</v>
      </c>
      <c r="C315" s="33" t="s">
        <v>4430</v>
      </c>
      <c r="D315" s="33" t="s">
        <v>4461</v>
      </c>
      <c r="E315" s="33" t="s">
        <v>4425</v>
      </c>
      <c r="F315" s="32">
        <v>8400</v>
      </c>
      <c r="G315" s="32">
        <v>4566.3</v>
      </c>
      <c r="J315" s="34" t="s">
        <v>4032</v>
      </c>
      <c r="K315" s="32" t="s">
        <v>4413</v>
      </c>
      <c r="L315" s="33" t="s">
        <v>5034</v>
      </c>
      <c r="M315" s="32">
        <v>2583.1</v>
      </c>
      <c r="N315" s="32">
        <v>548.9</v>
      </c>
      <c r="O315" s="32">
        <v>84.6</v>
      </c>
    </row>
    <row r="316" spans="1:15" ht="84" x14ac:dyDescent="0.2">
      <c r="A316" s="32" t="s">
        <v>1341</v>
      </c>
      <c r="B316" s="33" t="s">
        <v>1342</v>
      </c>
      <c r="C316" s="33" t="s">
        <v>902</v>
      </c>
      <c r="D316" s="33" t="s">
        <v>4532</v>
      </c>
      <c r="E316" s="33" t="s">
        <v>4425</v>
      </c>
      <c r="F316" s="32">
        <v>5800</v>
      </c>
      <c r="G316" s="32">
        <v>10707.9</v>
      </c>
      <c r="J316" s="34" t="s">
        <v>4032</v>
      </c>
      <c r="L316" s="33" t="s">
        <v>5048</v>
      </c>
      <c r="M316" s="32">
        <v>8.4</v>
      </c>
      <c r="N316" s="32">
        <v>0.5</v>
      </c>
      <c r="O316" s="32">
        <v>0.5</v>
      </c>
    </row>
    <row r="317" spans="1:15" ht="84" x14ac:dyDescent="0.2">
      <c r="A317" s="32" t="s">
        <v>1560</v>
      </c>
      <c r="B317" s="33" t="s">
        <v>1561</v>
      </c>
      <c r="C317" s="33" t="s">
        <v>902</v>
      </c>
      <c r="D317" s="33" t="s">
        <v>4491</v>
      </c>
      <c r="E317" s="33" t="s">
        <v>4425</v>
      </c>
      <c r="F317" s="32">
        <v>7200</v>
      </c>
      <c r="G317" s="32">
        <v>6898.8</v>
      </c>
      <c r="J317" s="34" t="s">
        <v>4032</v>
      </c>
      <c r="L317" s="33" t="s">
        <v>5052</v>
      </c>
      <c r="M317" s="32">
        <v>734.1</v>
      </c>
      <c r="N317" s="32">
        <v>33.1</v>
      </c>
      <c r="O317" s="32">
        <v>24.9</v>
      </c>
    </row>
    <row r="318" spans="1:15" ht="72" x14ac:dyDescent="0.2">
      <c r="A318" s="32" t="s">
        <v>1684</v>
      </c>
      <c r="B318" s="33" t="s">
        <v>4737</v>
      </c>
      <c r="C318" s="33" t="s">
        <v>4430</v>
      </c>
      <c r="D318" s="33" t="s">
        <v>4621</v>
      </c>
      <c r="E318" s="33" t="s">
        <v>4425</v>
      </c>
      <c r="F318" s="32">
        <v>4700</v>
      </c>
      <c r="G318" s="32">
        <v>5028</v>
      </c>
      <c r="J318" s="34" t="s">
        <v>4032</v>
      </c>
      <c r="L318" s="33" t="s">
        <v>5059</v>
      </c>
      <c r="M318" s="32">
        <v>1110.7</v>
      </c>
      <c r="N318" s="32">
        <v>81.099999999999994</v>
      </c>
      <c r="O318" s="32">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0" customWidth="1"/>
    <col min="9" max="9" width="3" style="20" customWidth="1"/>
    <col min="12" max="12" width="3" style="20" customWidth="1"/>
    <col min="15" max="15" width="3" style="20" customWidth="1"/>
  </cols>
  <sheetData>
    <row r="1" spans="1:16" x14ac:dyDescent="0.25">
      <c r="A1" s="21" t="s">
        <v>3756</v>
      </c>
      <c r="B1" s="21" t="s">
        <v>4029</v>
      </c>
      <c r="C1" s="21" t="s">
        <v>4030</v>
      </c>
      <c r="D1" s="21" t="s">
        <v>4034</v>
      </c>
      <c r="E1" s="21" t="s">
        <v>0</v>
      </c>
      <c r="F1" s="22"/>
      <c r="G1" s="10"/>
      <c r="H1" s="10"/>
      <c r="I1" s="22"/>
      <c r="J1" s="10"/>
      <c r="K1" s="10"/>
      <c r="L1" s="22"/>
      <c r="M1" s="10"/>
      <c r="N1" s="10"/>
      <c r="O1" s="22"/>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4051</v>
      </c>
    </row>
    <row r="20" spans="1:5" x14ac:dyDescent="0.25">
      <c r="A20" t="s">
        <v>2632</v>
      </c>
      <c r="D20" t="s">
        <v>4032</v>
      </c>
    </row>
    <row r="21" spans="1:5" x14ac:dyDescent="0.25">
      <c r="A21" t="s">
        <v>2677</v>
      </c>
      <c r="D21" t="s">
        <v>4032</v>
      </c>
    </row>
    <row r="22" spans="1:5" x14ac:dyDescent="0.25">
      <c r="A22" t="s">
        <v>2691</v>
      </c>
      <c r="D22" t="s">
        <v>4032</v>
      </c>
      <c r="E22" t="s">
        <v>4048</v>
      </c>
    </row>
    <row r="23" spans="1:5" x14ac:dyDescent="0.25">
      <c r="A23" t="s">
        <v>2695</v>
      </c>
      <c r="D23" t="s">
        <v>4032</v>
      </c>
    </row>
    <row r="24" spans="1:5" x14ac:dyDescent="0.25">
      <c r="A24" t="s">
        <v>2739</v>
      </c>
      <c r="D24" t="s">
        <v>4032</v>
      </c>
    </row>
    <row r="25" spans="1:5" x14ac:dyDescent="0.25">
      <c r="A25" t="s">
        <v>2741</v>
      </c>
      <c r="D25" t="s">
        <v>4032</v>
      </c>
      <c r="E25" t="s">
        <v>4047</v>
      </c>
    </row>
    <row r="26" spans="1:5" x14ac:dyDescent="0.25">
      <c r="A26" t="s">
        <v>2747</v>
      </c>
      <c r="D26" t="s">
        <v>4032</v>
      </c>
    </row>
    <row r="27" spans="1:5" x14ac:dyDescent="0.25">
      <c r="A27" t="s">
        <v>2787</v>
      </c>
      <c r="D27" t="s">
        <v>4032</v>
      </c>
    </row>
    <row r="28" spans="1:5" x14ac:dyDescent="0.25">
      <c r="A28" t="s">
        <v>2808</v>
      </c>
      <c r="D28" t="s">
        <v>4032</v>
      </c>
      <c r="E28" t="s">
        <v>4044</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3" t="s">
        <v>4033</v>
      </c>
      <c r="E36" s="23"/>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4052</v>
      </c>
    </row>
    <row r="44" spans="1:5" x14ac:dyDescent="0.25">
      <c r="A44" t="s">
        <v>2054</v>
      </c>
      <c r="D44" t="s">
        <v>158</v>
      </c>
    </row>
    <row r="45" spans="1:5" x14ac:dyDescent="0.25">
      <c r="A45" t="s">
        <v>2068</v>
      </c>
      <c r="D45" t="s">
        <v>158</v>
      </c>
      <c r="E45" t="s">
        <v>4053</v>
      </c>
    </row>
    <row r="46" spans="1:5" x14ac:dyDescent="0.25">
      <c r="A46" t="s">
        <v>2072</v>
      </c>
      <c r="D46" t="s">
        <v>158</v>
      </c>
      <c r="E46" t="s">
        <v>4054</v>
      </c>
    </row>
    <row r="47" spans="1:5" x14ac:dyDescent="0.25">
      <c r="A47" t="s">
        <v>2113</v>
      </c>
      <c r="D47" t="s">
        <v>158</v>
      </c>
      <c r="E47" t="s">
        <v>4049</v>
      </c>
    </row>
    <row r="48" spans="1:5" x14ac:dyDescent="0.25">
      <c r="A48" t="s">
        <v>2143</v>
      </c>
      <c r="D48" t="s">
        <v>158</v>
      </c>
      <c r="E48" t="s">
        <v>4055</v>
      </c>
    </row>
    <row r="49" spans="1:5" x14ac:dyDescent="0.25">
      <c r="A49" t="s">
        <v>2147</v>
      </c>
      <c r="D49" t="s">
        <v>158</v>
      </c>
      <c r="E49" t="s">
        <v>4076</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t="s">
        <v>2278</v>
      </c>
      <c r="D62"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4"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4050</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2" x14ac:dyDescent="0.25">
      <c r="A129" t="s">
        <v>2186</v>
      </c>
      <c r="B129" t="s">
        <v>4031</v>
      </c>
    </row>
    <row r="130" spans="1:2" x14ac:dyDescent="0.25">
      <c r="A130" t="s">
        <v>2188</v>
      </c>
      <c r="B130" t="s">
        <v>4031</v>
      </c>
    </row>
    <row r="131" spans="1:2" x14ac:dyDescent="0.25">
      <c r="A131" t="s">
        <v>2191</v>
      </c>
      <c r="B131" t="s">
        <v>4031</v>
      </c>
    </row>
    <row r="132" spans="1:2" x14ac:dyDescent="0.25">
      <c r="A132" t="s">
        <v>2194</v>
      </c>
      <c r="B132" t="s">
        <v>4031</v>
      </c>
    </row>
    <row r="133" spans="1:2" x14ac:dyDescent="0.25">
      <c r="A133" t="s">
        <v>2196</v>
      </c>
      <c r="B133" t="s">
        <v>4031</v>
      </c>
    </row>
    <row r="134" spans="1:2" x14ac:dyDescent="0.25">
      <c r="A134" t="s">
        <v>2198</v>
      </c>
      <c r="B134" t="s">
        <v>4031</v>
      </c>
    </row>
    <row r="135" spans="1:2" x14ac:dyDescent="0.25">
      <c r="A135" t="s">
        <v>2202</v>
      </c>
      <c r="B135" t="s">
        <v>4031</v>
      </c>
    </row>
    <row r="136" spans="1:2" x14ac:dyDescent="0.25">
      <c r="A136" t="s">
        <v>2206</v>
      </c>
      <c r="B136" t="s">
        <v>4031</v>
      </c>
    </row>
    <row r="137" spans="1:2" x14ac:dyDescent="0.25">
      <c r="A137" t="s">
        <v>2208</v>
      </c>
      <c r="B137" t="s">
        <v>4031</v>
      </c>
    </row>
    <row r="138" spans="1:2" x14ac:dyDescent="0.25">
      <c r="A138" t="s">
        <v>2210</v>
      </c>
      <c r="B138" t="s">
        <v>4031</v>
      </c>
    </row>
    <row r="139" spans="1:2" x14ac:dyDescent="0.25">
      <c r="A139" t="s">
        <v>2214</v>
      </c>
      <c r="B139" t="s">
        <v>4031</v>
      </c>
    </row>
    <row r="140" spans="1:2" x14ac:dyDescent="0.25">
      <c r="A140" t="s">
        <v>2216</v>
      </c>
      <c r="B140" t="s">
        <v>4031</v>
      </c>
    </row>
    <row r="141" spans="1:2" x14ac:dyDescent="0.25">
      <c r="A141" t="s">
        <v>2220</v>
      </c>
      <c r="B141" t="s">
        <v>4031</v>
      </c>
    </row>
    <row r="142" spans="1:2" x14ac:dyDescent="0.25">
      <c r="A142" t="s">
        <v>2224</v>
      </c>
      <c r="B142" t="s">
        <v>4031</v>
      </c>
    </row>
    <row r="143" spans="1:2" x14ac:dyDescent="0.25">
      <c r="A143" t="s">
        <v>2226</v>
      </c>
      <c r="B143" t="s">
        <v>4031</v>
      </c>
    </row>
    <row r="144" spans="1:2"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5" t="s">
        <v>2511</v>
      </c>
      <c r="B261" s="25"/>
      <c r="C261" s="25"/>
      <c r="D261" s="25"/>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4046</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4043</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4042</v>
      </c>
    </row>
    <row r="447" spans="1:5" x14ac:dyDescent="0.25">
      <c r="A447" t="s">
        <v>2943</v>
      </c>
      <c r="E447" t="s">
        <v>4041</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2" x14ac:dyDescent="0.25">
      <c r="A497" t="s">
        <v>3062</v>
      </c>
      <c r="B497" t="s">
        <v>4031</v>
      </c>
    </row>
    <row r="498" spans="1:2" x14ac:dyDescent="0.25">
      <c r="A498" t="s">
        <v>3064</v>
      </c>
      <c r="B498" t="s">
        <v>4031</v>
      </c>
    </row>
    <row r="499" spans="1:2" x14ac:dyDescent="0.25">
      <c r="A499" t="s">
        <v>3066</v>
      </c>
      <c r="B499" t="s">
        <v>4031</v>
      </c>
    </row>
    <row r="500" spans="1:2" x14ac:dyDescent="0.25">
      <c r="A500" t="s">
        <v>3068</v>
      </c>
      <c r="B500" t="s">
        <v>4031</v>
      </c>
    </row>
    <row r="501" spans="1:2" x14ac:dyDescent="0.25">
      <c r="A501" t="s">
        <v>3070</v>
      </c>
      <c r="B501" t="s">
        <v>4031</v>
      </c>
    </row>
    <row r="502" spans="1:2" x14ac:dyDescent="0.25">
      <c r="A502" t="s">
        <v>3072</v>
      </c>
      <c r="B502" t="s">
        <v>4031</v>
      </c>
    </row>
    <row r="503" spans="1:2" x14ac:dyDescent="0.25">
      <c r="A503" t="s">
        <v>3074</v>
      </c>
      <c r="B503" t="s">
        <v>4031</v>
      </c>
    </row>
    <row r="504" spans="1:2" x14ac:dyDescent="0.25">
      <c r="A504" t="s">
        <v>3076</v>
      </c>
      <c r="B504" t="s">
        <v>4031</v>
      </c>
    </row>
    <row r="505" spans="1:2" x14ac:dyDescent="0.25">
      <c r="A505" t="s">
        <v>3078</v>
      </c>
      <c r="B505" t="s">
        <v>4031</v>
      </c>
    </row>
    <row r="506" spans="1:2" x14ac:dyDescent="0.25">
      <c r="A506" t="s">
        <v>3080</v>
      </c>
      <c r="B506" t="s">
        <v>4031</v>
      </c>
    </row>
    <row r="507" spans="1:2" x14ac:dyDescent="0.25">
      <c r="A507" t="s">
        <v>3082</v>
      </c>
      <c r="B507" t="s">
        <v>4031</v>
      </c>
    </row>
    <row r="508" spans="1:2" x14ac:dyDescent="0.25">
      <c r="A508" t="s">
        <v>3084</v>
      </c>
      <c r="B508" t="s">
        <v>4031</v>
      </c>
    </row>
    <row r="509" spans="1:2" x14ac:dyDescent="0.25">
      <c r="A509" t="s">
        <v>3086</v>
      </c>
      <c r="B509" t="s">
        <v>4031</v>
      </c>
    </row>
    <row r="510" spans="1:2" x14ac:dyDescent="0.25">
      <c r="A510" t="s">
        <v>3088</v>
      </c>
      <c r="B510" t="s">
        <v>4031</v>
      </c>
    </row>
    <row r="511" spans="1:2" x14ac:dyDescent="0.25">
      <c r="A511" t="s">
        <v>3090</v>
      </c>
      <c r="B511" t="s">
        <v>4031</v>
      </c>
    </row>
    <row r="512" spans="1:2"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7"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4366</v>
      </c>
      <c r="C2" t="s">
        <v>4116</v>
      </c>
      <c r="D2" t="s">
        <v>3221</v>
      </c>
      <c r="E2">
        <v>852234103</v>
      </c>
      <c r="F2" s="29">
        <v>1203662</v>
      </c>
      <c r="G2" s="30">
        <v>127154853.68000001</v>
      </c>
      <c r="H2" s="6">
        <v>8.9399999999999993E-2</v>
      </c>
    </row>
    <row r="3" spans="1:8" x14ac:dyDescent="0.25">
      <c r="A3" s="8">
        <v>44589</v>
      </c>
      <c r="B3" t="s">
        <v>4366</v>
      </c>
      <c r="C3" t="s">
        <v>4101</v>
      </c>
      <c r="D3" t="s">
        <v>3223</v>
      </c>
      <c r="E3" t="s">
        <v>4102</v>
      </c>
      <c r="F3" s="29">
        <v>715119</v>
      </c>
      <c r="G3" s="30">
        <v>121713253.8</v>
      </c>
      <c r="H3" s="6">
        <v>8.5599999999999996E-2</v>
      </c>
    </row>
    <row r="4" spans="1:8" x14ac:dyDescent="0.25">
      <c r="A4" s="8">
        <v>44589</v>
      </c>
      <c r="B4" t="s">
        <v>4366</v>
      </c>
      <c r="C4" t="s">
        <v>4121</v>
      </c>
      <c r="D4" t="s">
        <v>4122</v>
      </c>
      <c r="E4" t="s">
        <v>4123</v>
      </c>
      <c r="F4" s="29">
        <v>124810</v>
      </c>
      <c r="G4" s="30">
        <v>101815005.59999999</v>
      </c>
      <c r="H4" s="6">
        <v>7.1599999999999997E-2</v>
      </c>
    </row>
    <row r="5" spans="1:8" x14ac:dyDescent="0.25">
      <c r="A5" s="8">
        <v>44589</v>
      </c>
      <c r="B5" t="s">
        <v>4366</v>
      </c>
      <c r="C5" t="s">
        <v>4114</v>
      </c>
      <c r="D5" t="s">
        <v>3234</v>
      </c>
      <c r="E5" t="s">
        <v>4115</v>
      </c>
      <c r="F5" s="29">
        <v>503436</v>
      </c>
      <c r="G5" s="30">
        <v>88982313</v>
      </c>
      <c r="H5" s="6">
        <v>6.2600000000000003E-2</v>
      </c>
    </row>
    <row r="6" spans="1:8" x14ac:dyDescent="0.25">
      <c r="A6" s="8">
        <v>44589</v>
      </c>
      <c r="B6" t="s">
        <v>4366</v>
      </c>
      <c r="C6" t="s">
        <v>4112</v>
      </c>
      <c r="D6" t="s">
        <v>3318</v>
      </c>
      <c r="E6" t="s">
        <v>4113</v>
      </c>
      <c r="F6" s="29">
        <v>2289059</v>
      </c>
      <c r="G6" s="30">
        <v>75195588.150000006</v>
      </c>
      <c r="H6" s="6">
        <v>5.2900000000000003E-2</v>
      </c>
    </row>
    <row r="7" spans="1:8" x14ac:dyDescent="0.25">
      <c r="A7" s="8">
        <v>44589</v>
      </c>
      <c r="B7" t="s">
        <v>4366</v>
      </c>
      <c r="C7" t="s">
        <v>4248</v>
      </c>
      <c r="D7" t="s">
        <v>4249</v>
      </c>
      <c r="E7" t="s">
        <v>4250</v>
      </c>
      <c r="F7" s="29">
        <v>450408</v>
      </c>
      <c r="G7" s="30">
        <v>57778338.240000002</v>
      </c>
      <c r="H7" s="6">
        <v>4.0599999999999997E-2</v>
      </c>
    </row>
    <row r="8" spans="1:8" x14ac:dyDescent="0.25">
      <c r="A8" s="8">
        <v>44589</v>
      </c>
      <c r="B8" t="s">
        <v>4366</v>
      </c>
      <c r="C8" t="s">
        <v>4256</v>
      </c>
      <c r="D8" t="s">
        <v>3172</v>
      </c>
      <c r="E8" t="s">
        <v>4257</v>
      </c>
      <c r="F8" s="29">
        <v>57505</v>
      </c>
      <c r="G8" s="30">
        <v>57073712.5</v>
      </c>
      <c r="H8" s="6">
        <v>4.0099999999999997E-2</v>
      </c>
    </row>
    <row r="9" spans="1:8" x14ac:dyDescent="0.25">
      <c r="A9" s="8">
        <v>44589</v>
      </c>
      <c r="B9" t="s">
        <v>4366</v>
      </c>
      <c r="C9" t="s">
        <v>4097</v>
      </c>
      <c r="D9" t="s">
        <v>3375</v>
      </c>
      <c r="E9" t="s">
        <v>4098</v>
      </c>
      <c r="F9" s="29">
        <v>835943</v>
      </c>
      <c r="G9" s="30">
        <v>56375995.920000002</v>
      </c>
      <c r="H9" s="6">
        <v>3.9600000000000003E-2</v>
      </c>
    </row>
    <row r="10" spans="1:8" x14ac:dyDescent="0.25">
      <c r="A10" s="8">
        <v>44589</v>
      </c>
      <c r="B10" t="s">
        <v>4366</v>
      </c>
      <c r="C10" t="s">
        <v>4367</v>
      </c>
      <c r="D10" t="s">
        <v>4368</v>
      </c>
      <c r="E10" t="s">
        <v>4369</v>
      </c>
      <c r="F10" s="29">
        <v>28465</v>
      </c>
      <c r="G10" s="30">
        <v>55482358.32</v>
      </c>
      <c r="H10" s="6">
        <v>3.9E-2</v>
      </c>
    </row>
    <row r="11" spans="1:8" x14ac:dyDescent="0.25">
      <c r="A11" s="8">
        <v>44589</v>
      </c>
      <c r="B11" t="s">
        <v>4366</v>
      </c>
      <c r="C11" t="s">
        <v>4370</v>
      </c>
      <c r="D11" t="s">
        <v>4371</v>
      </c>
      <c r="E11">
        <v>6177878</v>
      </c>
      <c r="F11" s="29">
        <v>5614722</v>
      </c>
      <c r="G11" s="30">
        <v>54835864.539999999</v>
      </c>
      <c r="H11" s="6">
        <v>3.8600000000000002E-2</v>
      </c>
    </row>
    <row r="12" spans="1:8" x14ac:dyDescent="0.25">
      <c r="A12" s="8">
        <v>44589</v>
      </c>
      <c r="B12" t="s">
        <v>4366</v>
      </c>
      <c r="C12" t="s">
        <v>4140</v>
      </c>
      <c r="D12" t="s">
        <v>3413</v>
      </c>
      <c r="E12">
        <v>770700102</v>
      </c>
      <c r="F12" s="29">
        <v>4288028</v>
      </c>
      <c r="G12" s="30">
        <v>49784005.079999998</v>
      </c>
      <c r="H12" s="6">
        <v>3.5000000000000003E-2</v>
      </c>
    </row>
    <row r="13" spans="1:8" x14ac:dyDescent="0.25">
      <c r="A13" s="8">
        <v>44589</v>
      </c>
      <c r="B13" t="s">
        <v>4366</v>
      </c>
      <c r="C13" t="s">
        <v>4372</v>
      </c>
      <c r="D13" t="s">
        <v>3363</v>
      </c>
      <c r="E13" t="s">
        <v>4373</v>
      </c>
      <c r="F13" s="29">
        <v>933251</v>
      </c>
      <c r="G13" s="30">
        <v>43657481.780000001</v>
      </c>
      <c r="H13" s="6">
        <v>3.0700000000000002E-2</v>
      </c>
    </row>
    <row r="14" spans="1:8" x14ac:dyDescent="0.25">
      <c r="A14" s="8">
        <v>44589</v>
      </c>
      <c r="B14" t="s">
        <v>4366</v>
      </c>
      <c r="C14" t="s">
        <v>4374</v>
      </c>
      <c r="D14" t="s">
        <v>4375</v>
      </c>
      <c r="E14" t="s">
        <v>4376</v>
      </c>
      <c r="F14" s="29">
        <v>622108</v>
      </c>
      <c r="G14" s="30">
        <v>43261390.32</v>
      </c>
      <c r="H14" s="6">
        <v>3.04E-2</v>
      </c>
    </row>
    <row r="15" spans="1:8" x14ac:dyDescent="0.25">
      <c r="A15" s="8">
        <v>44589</v>
      </c>
      <c r="B15" t="s">
        <v>4366</v>
      </c>
      <c r="C15" t="s">
        <v>4126</v>
      </c>
      <c r="D15" t="s">
        <v>3451</v>
      </c>
      <c r="E15" t="s">
        <v>4127</v>
      </c>
      <c r="F15" s="29">
        <v>2196942</v>
      </c>
      <c r="G15" s="30">
        <v>42598705.380000003</v>
      </c>
      <c r="H15" s="6">
        <v>0.03</v>
      </c>
    </row>
    <row r="16" spans="1:8" x14ac:dyDescent="0.25">
      <c r="A16" s="8">
        <v>44589</v>
      </c>
      <c r="B16" t="s">
        <v>4366</v>
      </c>
      <c r="C16" t="s">
        <v>4377</v>
      </c>
      <c r="D16" t="s">
        <v>4378</v>
      </c>
      <c r="E16" t="s">
        <v>4379</v>
      </c>
      <c r="F16" s="29">
        <v>450471</v>
      </c>
      <c r="G16" s="30">
        <v>42010925.460000001</v>
      </c>
      <c r="H16" s="6">
        <v>2.9499999999999998E-2</v>
      </c>
    </row>
    <row r="17" spans="1:8" x14ac:dyDescent="0.25">
      <c r="A17" s="8">
        <v>44589</v>
      </c>
      <c r="B17" t="s">
        <v>4366</v>
      </c>
      <c r="C17" t="s">
        <v>4259</v>
      </c>
      <c r="D17" t="s">
        <v>289</v>
      </c>
      <c r="E17" t="s">
        <v>4260</v>
      </c>
      <c r="F17" s="29">
        <v>255501</v>
      </c>
      <c r="G17" s="30">
        <v>35652609.539999999</v>
      </c>
      <c r="H17" s="6">
        <v>2.5100000000000001E-2</v>
      </c>
    </row>
    <row r="18" spans="1:8" x14ac:dyDescent="0.25">
      <c r="A18" s="8">
        <v>44589</v>
      </c>
      <c r="B18" t="s">
        <v>4366</v>
      </c>
      <c r="C18" t="s">
        <v>4380</v>
      </c>
      <c r="D18" t="s">
        <v>4381</v>
      </c>
      <c r="E18" t="s">
        <v>4382</v>
      </c>
      <c r="F18" s="29">
        <v>2519552</v>
      </c>
      <c r="G18" s="30">
        <v>34946186.240000002</v>
      </c>
      <c r="H18" s="6">
        <v>2.46E-2</v>
      </c>
    </row>
    <row r="19" spans="1:8" x14ac:dyDescent="0.25">
      <c r="A19" s="8">
        <v>44589</v>
      </c>
      <c r="B19" t="s">
        <v>4366</v>
      </c>
      <c r="C19" t="s">
        <v>4383</v>
      </c>
      <c r="D19" t="s">
        <v>24</v>
      </c>
      <c r="E19" t="s">
        <v>4384</v>
      </c>
      <c r="F19" s="29">
        <v>183580</v>
      </c>
      <c r="G19" s="30">
        <v>29025833.800000001</v>
      </c>
      <c r="H19" s="6">
        <v>2.0400000000000001E-2</v>
      </c>
    </row>
    <row r="20" spans="1:8" x14ac:dyDescent="0.25">
      <c r="A20" s="8">
        <v>44589</v>
      </c>
      <c r="B20" t="s">
        <v>4366</v>
      </c>
      <c r="C20" t="s">
        <v>4385</v>
      </c>
      <c r="D20" t="s">
        <v>3179</v>
      </c>
      <c r="E20" t="s">
        <v>4386</v>
      </c>
      <c r="F20" s="29">
        <v>112388</v>
      </c>
      <c r="G20" s="30">
        <v>25419917.84</v>
      </c>
      <c r="H20" s="6">
        <v>1.7899999999999999E-2</v>
      </c>
    </row>
    <row r="21" spans="1:8" x14ac:dyDescent="0.25">
      <c r="A21" s="8">
        <v>44589</v>
      </c>
      <c r="B21" t="s">
        <v>4366</v>
      </c>
      <c r="C21" t="s">
        <v>4387</v>
      </c>
      <c r="D21" t="s">
        <v>4388</v>
      </c>
      <c r="E21">
        <v>888787108</v>
      </c>
      <c r="F21" s="29">
        <v>1240007</v>
      </c>
      <c r="G21" s="30">
        <v>24713339.510000002</v>
      </c>
      <c r="H21" s="6">
        <v>1.7399999999999999E-2</v>
      </c>
    </row>
    <row r="22" spans="1:8" x14ac:dyDescent="0.25">
      <c r="A22" s="8">
        <v>44589</v>
      </c>
      <c r="B22" t="s">
        <v>4366</v>
      </c>
      <c r="C22" t="s">
        <v>4389</v>
      </c>
      <c r="D22" t="s">
        <v>4390</v>
      </c>
      <c r="E22" t="s">
        <v>4391</v>
      </c>
      <c r="F22" s="29">
        <v>413712</v>
      </c>
      <c r="G22" s="30">
        <v>24570355.68</v>
      </c>
      <c r="H22" s="6">
        <v>1.7299999999999999E-2</v>
      </c>
    </row>
    <row r="23" spans="1:8" x14ac:dyDescent="0.25">
      <c r="A23" s="8">
        <v>44589</v>
      </c>
      <c r="B23" t="s">
        <v>4366</v>
      </c>
      <c r="C23" t="s">
        <v>4392</v>
      </c>
      <c r="D23" t="s">
        <v>4393</v>
      </c>
      <c r="E23" t="s">
        <v>4394</v>
      </c>
      <c r="F23" s="29">
        <v>1525069</v>
      </c>
      <c r="G23" s="30">
        <v>24279098.48</v>
      </c>
      <c r="H23" s="6">
        <v>1.7100000000000001E-2</v>
      </c>
    </row>
    <row r="24" spans="1:8" x14ac:dyDescent="0.25">
      <c r="A24" s="8">
        <v>44589</v>
      </c>
      <c r="B24" t="s">
        <v>4366</v>
      </c>
      <c r="C24" t="s">
        <v>4395</v>
      </c>
      <c r="D24" t="s">
        <v>3289</v>
      </c>
      <c r="E24">
        <v>90043100</v>
      </c>
      <c r="F24" s="29">
        <v>148481</v>
      </c>
      <c r="G24" s="30">
        <v>23174914.48</v>
      </c>
      <c r="H24" s="6">
        <v>1.6299999999999999E-2</v>
      </c>
    </row>
    <row r="25" spans="1:8" x14ac:dyDescent="0.25">
      <c r="A25" s="8">
        <v>44589</v>
      </c>
      <c r="B25" t="s">
        <v>4366</v>
      </c>
      <c r="C25" t="s">
        <v>4242</v>
      </c>
      <c r="D25" t="s">
        <v>3161</v>
      </c>
      <c r="E25" t="s">
        <v>4243</v>
      </c>
      <c r="F25" s="29">
        <v>337056</v>
      </c>
      <c r="G25" s="30">
        <v>22474894.079999998</v>
      </c>
      <c r="H25" s="6">
        <v>1.5800000000000002E-2</v>
      </c>
    </row>
    <row r="26" spans="1:8" x14ac:dyDescent="0.25">
      <c r="A26" s="8">
        <v>44589</v>
      </c>
      <c r="B26" t="s">
        <v>4366</v>
      </c>
      <c r="C26" t="s">
        <v>4396</v>
      </c>
      <c r="D26">
        <v>4689</v>
      </c>
      <c r="E26">
        <v>6084848</v>
      </c>
      <c r="F26" s="29">
        <v>4305184</v>
      </c>
      <c r="G26" s="30">
        <v>20265397.359999999</v>
      </c>
      <c r="H26" s="6">
        <v>1.43E-2</v>
      </c>
    </row>
    <row r="27" spans="1:8" x14ac:dyDescent="0.25">
      <c r="A27" s="8">
        <v>44589</v>
      </c>
      <c r="B27" t="s">
        <v>4366</v>
      </c>
      <c r="C27" t="s">
        <v>4281</v>
      </c>
      <c r="D27" t="s">
        <v>3193</v>
      </c>
      <c r="E27">
        <v>256163106</v>
      </c>
      <c r="F27" s="29">
        <v>176175</v>
      </c>
      <c r="G27" s="30">
        <v>19500810.75</v>
      </c>
      <c r="H27" s="6">
        <v>1.37E-2</v>
      </c>
    </row>
    <row r="28" spans="1:8" x14ac:dyDescent="0.25">
      <c r="A28" s="8">
        <v>44589</v>
      </c>
      <c r="B28" t="s">
        <v>4366</v>
      </c>
      <c r="C28" t="s">
        <v>4397</v>
      </c>
      <c r="D28" t="s">
        <v>115</v>
      </c>
      <c r="E28">
        <v>461202103</v>
      </c>
      <c r="F28" s="29">
        <v>35561</v>
      </c>
      <c r="G28" s="30">
        <v>18392860.420000002</v>
      </c>
      <c r="H28" s="6">
        <v>1.29E-2</v>
      </c>
    </row>
    <row r="29" spans="1:8" x14ac:dyDescent="0.25">
      <c r="A29" s="8">
        <v>44589</v>
      </c>
      <c r="B29" t="s">
        <v>4366</v>
      </c>
      <c r="C29" t="s">
        <v>4398</v>
      </c>
      <c r="D29" t="s">
        <v>514</v>
      </c>
      <c r="E29" t="s">
        <v>4399</v>
      </c>
      <c r="F29" s="29">
        <v>134368</v>
      </c>
      <c r="G29" s="30">
        <v>16446643.199999999</v>
      </c>
      <c r="H29" s="6">
        <v>1.1599999999999999E-2</v>
      </c>
    </row>
    <row r="30" spans="1:8" x14ac:dyDescent="0.25">
      <c r="A30" s="8">
        <v>44589</v>
      </c>
      <c r="B30" t="s">
        <v>4366</v>
      </c>
      <c r="C30" t="s">
        <v>4400</v>
      </c>
      <c r="D30" t="s">
        <v>4401</v>
      </c>
      <c r="E30" t="s">
        <v>4402</v>
      </c>
      <c r="F30" s="29">
        <v>200628</v>
      </c>
      <c r="G30" s="30">
        <v>16250868</v>
      </c>
      <c r="H30" s="6">
        <v>1.14E-2</v>
      </c>
    </row>
    <row r="31" spans="1:8" x14ac:dyDescent="0.25">
      <c r="A31" s="8">
        <v>44589</v>
      </c>
      <c r="B31" t="s">
        <v>4366</v>
      </c>
      <c r="C31" t="s">
        <v>4128</v>
      </c>
      <c r="D31" t="s">
        <v>605</v>
      </c>
      <c r="E31" t="s">
        <v>4129</v>
      </c>
      <c r="F31" s="29">
        <v>458009</v>
      </c>
      <c r="G31" s="30">
        <v>15499024.560000001</v>
      </c>
      <c r="H31" s="6">
        <v>1.09E-2</v>
      </c>
    </row>
    <row r="32" spans="1:8" x14ac:dyDescent="0.25">
      <c r="A32" s="8">
        <v>44589</v>
      </c>
      <c r="B32" t="s">
        <v>4366</v>
      </c>
      <c r="C32" t="s">
        <v>4403</v>
      </c>
      <c r="D32" t="s">
        <v>4404</v>
      </c>
      <c r="E32" t="s">
        <v>4405</v>
      </c>
      <c r="F32" s="29">
        <v>695363</v>
      </c>
      <c r="G32" s="30">
        <v>13295340.560000001</v>
      </c>
      <c r="H32" s="6">
        <v>9.2999999999999992E-3</v>
      </c>
    </row>
    <row r="33" spans="1:8" x14ac:dyDescent="0.25">
      <c r="A33" s="8">
        <v>44589</v>
      </c>
      <c r="B33" t="s">
        <v>4366</v>
      </c>
      <c r="C33" t="s">
        <v>4124</v>
      </c>
      <c r="D33" t="s">
        <v>3249</v>
      </c>
      <c r="E33" t="s">
        <v>4125</v>
      </c>
      <c r="F33" s="29">
        <v>1028276</v>
      </c>
      <c r="G33" s="30">
        <v>12627229.279999999</v>
      </c>
      <c r="H33" s="6">
        <v>8.8999999999999999E-3</v>
      </c>
    </row>
    <row r="34" spans="1:8" x14ac:dyDescent="0.25">
      <c r="A34" s="8">
        <v>44589</v>
      </c>
      <c r="B34" t="s">
        <v>4366</v>
      </c>
      <c r="C34" t="s">
        <v>4273</v>
      </c>
      <c r="D34" t="s">
        <v>4274</v>
      </c>
      <c r="E34" t="s">
        <v>4275</v>
      </c>
      <c r="F34" s="29">
        <v>1842995</v>
      </c>
      <c r="G34" s="30">
        <v>12698235.550000001</v>
      </c>
      <c r="H34" s="6">
        <v>8.8999999999999999E-3</v>
      </c>
    </row>
    <row r="35" spans="1:8" x14ac:dyDescent="0.25">
      <c r="A35" s="8">
        <v>44589</v>
      </c>
      <c r="B35" t="s">
        <v>4366</v>
      </c>
      <c r="C35" t="s">
        <v>4406</v>
      </c>
      <c r="D35" t="s">
        <v>3510</v>
      </c>
      <c r="E35">
        <v>683712103</v>
      </c>
      <c r="F35" s="29">
        <v>1474855</v>
      </c>
      <c r="G35" s="30">
        <v>12536267.5</v>
      </c>
      <c r="H35" s="6">
        <v>8.8000000000000005E-3</v>
      </c>
    </row>
    <row r="36" spans="1:8" x14ac:dyDescent="0.25">
      <c r="A36" s="8">
        <v>44589</v>
      </c>
      <c r="B36" t="s">
        <v>4366</v>
      </c>
      <c r="C36" t="s">
        <v>4254</v>
      </c>
      <c r="D36" t="s">
        <v>4255</v>
      </c>
      <c r="E36">
        <v>206071102</v>
      </c>
      <c r="F36" s="29">
        <v>68331</v>
      </c>
      <c r="G36" s="30">
        <v>679210.14</v>
      </c>
      <c r="H36" s="6">
        <v>5.0000000000000001E-4</v>
      </c>
    </row>
    <row r="37" spans="1:8" x14ac:dyDescent="0.25">
      <c r="A37" s="8">
        <v>44589</v>
      </c>
      <c r="B37" t="s">
        <v>4366</v>
      </c>
      <c r="C37" t="s">
        <v>4179</v>
      </c>
      <c r="E37" t="s">
        <v>4180</v>
      </c>
      <c r="F37" s="29">
        <v>589318</v>
      </c>
      <c r="G37" s="30">
        <v>589318.24</v>
      </c>
      <c r="H37" s="6">
        <v>4.0000000000000002E-4</v>
      </c>
    </row>
    <row r="38" spans="1:8" x14ac:dyDescent="0.25">
      <c r="A38" s="8">
        <v>44589</v>
      </c>
      <c r="B38" t="s">
        <v>4366</v>
      </c>
      <c r="C38" t="s">
        <v>4283</v>
      </c>
      <c r="D38" t="s">
        <v>3219</v>
      </c>
      <c r="E38" t="s">
        <v>4284</v>
      </c>
      <c r="F38" s="29">
        <v>9195</v>
      </c>
      <c r="G38" s="30">
        <v>260218.5</v>
      </c>
      <c r="H38" s="6">
        <v>2.0000000000000001E-4</v>
      </c>
    </row>
    <row r="39" spans="1:8" x14ac:dyDescent="0.25">
      <c r="A39" s="8">
        <v>44589</v>
      </c>
      <c r="B39" t="s">
        <v>4366</v>
      </c>
      <c r="C39" t="s">
        <v>4407</v>
      </c>
      <c r="D39" t="s">
        <v>3170</v>
      </c>
      <c r="E39">
        <v>722304102</v>
      </c>
      <c r="F39">
        <v>282</v>
      </c>
      <c r="G39" s="30">
        <v>14334.06</v>
      </c>
      <c r="H39" s="6">
        <v>0</v>
      </c>
    </row>
    <row r="40" spans="1:8" x14ac:dyDescent="0.25">
      <c r="A40" s="8">
        <v>44589</v>
      </c>
      <c r="B40" t="s">
        <v>4366</v>
      </c>
      <c r="C40" t="s">
        <v>4408</v>
      </c>
      <c r="E40" t="s">
        <v>4409</v>
      </c>
      <c r="F40">
        <v>137</v>
      </c>
      <c r="G40" s="30">
        <v>8.83</v>
      </c>
      <c r="H40" s="6">
        <v>0</v>
      </c>
    </row>
    <row r="41" spans="1:8" x14ac:dyDescent="0.25">
      <c r="A41" t="s">
        <v>4188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4286</v>
      </c>
      <c r="C2" t="s">
        <v>4103</v>
      </c>
      <c r="D2" t="s">
        <v>3407</v>
      </c>
      <c r="E2" t="s">
        <v>4104</v>
      </c>
      <c r="F2" s="29">
        <v>4666845</v>
      </c>
      <c r="G2" s="30">
        <v>321592288.94999999</v>
      </c>
      <c r="H2" s="6">
        <v>8.8499999999999995E-2</v>
      </c>
    </row>
    <row r="3" spans="1:8" x14ac:dyDescent="0.25">
      <c r="A3" s="8">
        <v>44589</v>
      </c>
      <c r="B3" t="s">
        <v>4286</v>
      </c>
      <c r="C3" t="s">
        <v>4097</v>
      </c>
      <c r="D3" t="s">
        <v>3375</v>
      </c>
      <c r="E3" t="s">
        <v>4098</v>
      </c>
      <c r="F3" s="29">
        <v>4171325</v>
      </c>
      <c r="G3" s="30">
        <v>281314158</v>
      </c>
      <c r="H3" s="6">
        <v>7.7399999999999997E-2</v>
      </c>
    </row>
    <row r="4" spans="1:8" x14ac:dyDescent="0.25">
      <c r="A4" s="8">
        <v>44589</v>
      </c>
      <c r="B4" t="s">
        <v>4286</v>
      </c>
      <c r="C4" t="s">
        <v>4287</v>
      </c>
      <c r="D4" t="s">
        <v>4288</v>
      </c>
      <c r="E4">
        <v>462222100</v>
      </c>
      <c r="F4" s="29">
        <v>6739950</v>
      </c>
      <c r="G4" s="30">
        <v>203142093</v>
      </c>
      <c r="H4" s="6">
        <v>5.5899999999999998E-2</v>
      </c>
    </row>
    <row r="5" spans="1:8" x14ac:dyDescent="0.25">
      <c r="A5" s="8">
        <v>44589</v>
      </c>
      <c r="B5" t="s">
        <v>4286</v>
      </c>
      <c r="C5" t="s">
        <v>4289</v>
      </c>
      <c r="D5" t="s">
        <v>142</v>
      </c>
      <c r="E5" t="s">
        <v>4290</v>
      </c>
      <c r="F5" s="29">
        <v>756740</v>
      </c>
      <c r="G5" s="30">
        <v>172703202.80000001</v>
      </c>
      <c r="H5" s="6">
        <v>4.7500000000000001E-2</v>
      </c>
    </row>
    <row r="6" spans="1:8" x14ac:dyDescent="0.25">
      <c r="A6" s="8">
        <v>44589</v>
      </c>
      <c r="B6" t="s">
        <v>4286</v>
      </c>
      <c r="C6" t="s">
        <v>4133</v>
      </c>
      <c r="D6" t="s">
        <v>3666</v>
      </c>
      <c r="E6" t="s">
        <v>4134</v>
      </c>
      <c r="F6" s="29">
        <v>4373516</v>
      </c>
      <c r="G6" s="30">
        <v>156484402.47999999</v>
      </c>
      <c r="H6" s="6">
        <v>4.3099999999999999E-2</v>
      </c>
    </row>
    <row r="7" spans="1:8" x14ac:dyDescent="0.25">
      <c r="A7" s="8">
        <v>44589</v>
      </c>
      <c r="B7" t="s">
        <v>4286</v>
      </c>
      <c r="C7" t="s">
        <v>4110</v>
      </c>
      <c r="D7" t="s">
        <v>3518</v>
      </c>
      <c r="E7" t="s">
        <v>4111</v>
      </c>
      <c r="F7" s="29">
        <v>1874689</v>
      </c>
      <c r="G7" s="30">
        <v>154474373.59999999</v>
      </c>
      <c r="H7" s="6">
        <v>4.2500000000000003E-2</v>
      </c>
    </row>
    <row r="8" spans="1:8" x14ac:dyDescent="0.25">
      <c r="A8" s="8">
        <v>44589</v>
      </c>
      <c r="B8" t="s">
        <v>4286</v>
      </c>
      <c r="C8" t="s">
        <v>4117</v>
      </c>
      <c r="D8" t="s">
        <v>3679</v>
      </c>
      <c r="E8" t="s">
        <v>4118</v>
      </c>
      <c r="F8" s="29">
        <v>2261370</v>
      </c>
      <c r="G8" s="30">
        <v>134981175.30000001</v>
      </c>
      <c r="H8" s="6">
        <v>3.7100000000000001E-2</v>
      </c>
    </row>
    <row r="9" spans="1:8" x14ac:dyDescent="0.25">
      <c r="A9" s="8">
        <v>44589</v>
      </c>
      <c r="B9" t="s">
        <v>4286</v>
      </c>
      <c r="C9" t="s">
        <v>4291</v>
      </c>
      <c r="D9" t="s">
        <v>4292</v>
      </c>
      <c r="E9" t="s">
        <v>4293</v>
      </c>
      <c r="F9" s="29">
        <v>3627840</v>
      </c>
      <c r="G9" s="30">
        <v>133685904</v>
      </c>
      <c r="H9" s="6">
        <v>3.6799999999999999E-2</v>
      </c>
    </row>
    <row r="10" spans="1:8" x14ac:dyDescent="0.25">
      <c r="A10" s="8">
        <v>44589</v>
      </c>
      <c r="B10" t="s">
        <v>4286</v>
      </c>
      <c r="C10" t="s">
        <v>4152</v>
      </c>
      <c r="D10" t="s">
        <v>4153</v>
      </c>
      <c r="E10" t="s">
        <v>4154</v>
      </c>
      <c r="F10" s="29">
        <v>13042807</v>
      </c>
      <c r="G10" s="30">
        <v>122863241.94</v>
      </c>
      <c r="H10" s="6">
        <v>3.3799999999999997E-2</v>
      </c>
    </row>
    <row r="11" spans="1:8" x14ac:dyDescent="0.25">
      <c r="A11" s="8">
        <v>44589</v>
      </c>
      <c r="B11" t="s">
        <v>4286</v>
      </c>
      <c r="C11" t="s">
        <v>4119</v>
      </c>
      <c r="D11" t="s">
        <v>3864</v>
      </c>
      <c r="E11" t="s">
        <v>4120</v>
      </c>
      <c r="F11" s="29">
        <v>2076454</v>
      </c>
      <c r="G11" s="30">
        <v>122012437.04000001</v>
      </c>
      <c r="H11" s="6">
        <v>3.3599999999999998E-2</v>
      </c>
    </row>
    <row r="12" spans="1:8" x14ac:dyDescent="0.25">
      <c r="A12" s="8">
        <v>44589</v>
      </c>
      <c r="B12" t="s">
        <v>4286</v>
      </c>
      <c r="C12" t="s">
        <v>4294</v>
      </c>
      <c r="D12" t="s">
        <v>764</v>
      </c>
      <c r="E12" t="s">
        <v>4295</v>
      </c>
      <c r="F12" s="29">
        <v>1641408</v>
      </c>
      <c r="G12" s="30">
        <v>117508398.72</v>
      </c>
      <c r="H12" s="6">
        <v>3.2300000000000002E-2</v>
      </c>
    </row>
    <row r="13" spans="1:8" x14ac:dyDescent="0.25">
      <c r="A13" s="8">
        <v>44589</v>
      </c>
      <c r="B13" t="s">
        <v>4286</v>
      </c>
      <c r="C13" t="s">
        <v>4159</v>
      </c>
      <c r="D13" t="s">
        <v>4160</v>
      </c>
      <c r="E13" t="s">
        <v>4161</v>
      </c>
      <c r="F13" s="29">
        <v>1950486</v>
      </c>
      <c r="G13" s="30">
        <v>100137951.23999999</v>
      </c>
      <c r="H13" s="6">
        <v>2.76E-2</v>
      </c>
    </row>
    <row r="14" spans="1:8" x14ac:dyDescent="0.25">
      <c r="A14" s="8">
        <v>44589</v>
      </c>
      <c r="B14" t="s">
        <v>4286</v>
      </c>
      <c r="C14" t="s">
        <v>4146</v>
      </c>
      <c r="D14" t="s">
        <v>4147</v>
      </c>
      <c r="E14" t="s">
        <v>4148</v>
      </c>
      <c r="F14" s="29">
        <v>8667988</v>
      </c>
      <c r="G14" s="30">
        <v>98988422.959999993</v>
      </c>
      <c r="H14" s="6">
        <v>2.7199999999999998E-2</v>
      </c>
    </row>
    <row r="15" spans="1:8" x14ac:dyDescent="0.25">
      <c r="A15" s="8">
        <v>44589</v>
      </c>
      <c r="B15" t="s">
        <v>4286</v>
      </c>
      <c r="C15" t="s">
        <v>4112</v>
      </c>
      <c r="D15" t="s">
        <v>3318</v>
      </c>
      <c r="E15" t="s">
        <v>4113</v>
      </c>
      <c r="F15" s="29">
        <v>2752003</v>
      </c>
      <c r="G15" s="30">
        <v>90403298.549999997</v>
      </c>
      <c r="H15" s="6">
        <v>2.4899999999999999E-2</v>
      </c>
    </row>
    <row r="16" spans="1:8" x14ac:dyDescent="0.25">
      <c r="A16" s="8">
        <v>44589</v>
      </c>
      <c r="B16" t="s">
        <v>4286</v>
      </c>
      <c r="C16" t="s">
        <v>4143</v>
      </c>
      <c r="D16" t="s">
        <v>3445</v>
      </c>
      <c r="E16" t="s">
        <v>4144</v>
      </c>
      <c r="F16" s="29">
        <v>18404120</v>
      </c>
      <c r="G16" s="30">
        <v>85579158</v>
      </c>
      <c r="H16" s="6">
        <v>2.35E-2</v>
      </c>
    </row>
    <row r="17" spans="1:8" x14ac:dyDescent="0.25">
      <c r="A17" s="8">
        <v>44589</v>
      </c>
      <c r="B17" t="s">
        <v>4286</v>
      </c>
      <c r="C17" t="s">
        <v>4296</v>
      </c>
      <c r="D17" t="s">
        <v>4297</v>
      </c>
      <c r="E17" t="s">
        <v>4298</v>
      </c>
      <c r="F17" s="29">
        <v>5681288</v>
      </c>
      <c r="G17" s="30">
        <v>81583295.680000007</v>
      </c>
      <c r="H17" s="6">
        <v>2.24E-2</v>
      </c>
    </row>
    <row r="18" spans="1:8" x14ac:dyDescent="0.25">
      <c r="A18" s="8">
        <v>44589</v>
      </c>
      <c r="B18" t="s">
        <v>4286</v>
      </c>
      <c r="C18" t="s">
        <v>4299</v>
      </c>
      <c r="D18" t="s">
        <v>4300</v>
      </c>
      <c r="E18" s="31">
        <v>4.3700000000000001E+104</v>
      </c>
      <c r="F18" s="29">
        <v>5019135</v>
      </c>
      <c r="G18" s="30">
        <v>79754055.150000006</v>
      </c>
      <c r="H18" s="6">
        <v>2.1899999999999999E-2</v>
      </c>
    </row>
    <row r="19" spans="1:8" x14ac:dyDescent="0.25">
      <c r="A19" s="8">
        <v>44589</v>
      </c>
      <c r="B19" t="s">
        <v>4286</v>
      </c>
      <c r="C19" t="s">
        <v>4301</v>
      </c>
      <c r="D19" t="s">
        <v>4302</v>
      </c>
      <c r="E19" t="s">
        <v>4303</v>
      </c>
      <c r="F19" s="29">
        <v>2930783</v>
      </c>
      <c r="G19" s="30">
        <v>74705658.670000002</v>
      </c>
      <c r="H19" s="6">
        <v>2.06E-2</v>
      </c>
    </row>
    <row r="20" spans="1:8" x14ac:dyDescent="0.25">
      <c r="A20" s="8">
        <v>44589</v>
      </c>
      <c r="B20" t="s">
        <v>4286</v>
      </c>
      <c r="C20" t="s">
        <v>4137</v>
      </c>
      <c r="D20" t="s">
        <v>4138</v>
      </c>
      <c r="E20" t="s">
        <v>4139</v>
      </c>
      <c r="F20" s="29">
        <v>6059641</v>
      </c>
      <c r="G20" s="30">
        <v>58657324.880000003</v>
      </c>
      <c r="H20" s="6">
        <v>1.61E-2</v>
      </c>
    </row>
    <row r="21" spans="1:8" x14ac:dyDescent="0.25">
      <c r="A21" s="8">
        <v>44589</v>
      </c>
      <c r="B21" t="s">
        <v>4286</v>
      </c>
      <c r="C21" t="s">
        <v>4304</v>
      </c>
      <c r="D21" t="s">
        <v>4305</v>
      </c>
      <c r="E21">
        <v>192005106</v>
      </c>
      <c r="F21" s="29">
        <v>3232060</v>
      </c>
      <c r="G21" s="30">
        <v>58047797.600000001</v>
      </c>
      <c r="H21" s="6">
        <v>1.6E-2</v>
      </c>
    </row>
    <row r="22" spans="1:8" x14ac:dyDescent="0.25">
      <c r="A22" s="8">
        <v>44589</v>
      </c>
      <c r="B22" t="s">
        <v>4286</v>
      </c>
      <c r="C22" t="s">
        <v>4306</v>
      </c>
      <c r="D22" t="s">
        <v>4307</v>
      </c>
      <c r="E22" t="s">
        <v>4308</v>
      </c>
      <c r="F22" s="29">
        <v>7313665</v>
      </c>
      <c r="G22" s="30">
        <v>56095810.549999997</v>
      </c>
      <c r="H22" s="6">
        <v>1.54E-2</v>
      </c>
    </row>
    <row r="23" spans="1:8" x14ac:dyDescent="0.25">
      <c r="A23" s="8">
        <v>44589</v>
      </c>
      <c r="B23" t="s">
        <v>4286</v>
      </c>
      <c r="C23" t="s">
        <v>4149</v>
      </c>
      <c r="D23" t="s">
        <v>4150</v>
      </c>
      <c r="E23" t="s">
        <v>4151</v>
      </c>
      <c r="F23" s="29">
        <v>2089921</v>
      </c>
      <c r="G23" s="30">
        <v>53418380.759999998</v>
      </c>
      <c r="H23" s="6">
        <v>1.47E-2</v>
      </c>
    </row>
    <row r="24" spans="1:8" x14ac:dyDescent="0.25">
      <c r="A24" s="8">
        <v>44589</v>
      </c>
      <c r="B24" t="s">
        <v>4286</v>
      </c>
      <c r="C24" t="s">
        <v>4309</v>
      </c>
      <c r="D24" t="s">
        <v>4310</v>
      </c>
      <c r="E24" t="s">
        <v>4311</v>
      </c>
      <c r="F24" s="29">
        <v>2466073</v>
      </c>
      <c r="G24" s="30">
        <v>52971248.039999999</v>
      </c>
      <c r="H24" s="6">
        <v>1.46E-2</v>
      </c>
    </row>
    <row r="25" spans="1:8" x14ac:dyDescent="0.25">
      <c r="A25" s="8">
        <v>44589</v>
      </c>
      <c r="B25" t="s">
        <v>4286</v>
      </c>
      <c r="C25" t="s">
        <v>4312</v>
      </c>
      <c r="D25" t="s">
        <v>4313</v>
      </c>
      <c r="E25" t="s">
        <v>4314</v>
      </c>
      <c r="F25" s="29">
        <v>11763655</v>
      </c>
      <c r="G25" s="30">
        <v>52936447.5</v>
      </c>
      <c r="H25" s="6">
        <v>1.46E-2</v>
      </c>
    </row>
    <row r="26" spans="1:8" x14ac:dyDescent="0.25">
      <c r="A26" s="8">
        <v>44589</v>
      </c>
      <c r="B26" t="s">
        <v>4286</v>
      </c>
      <c r="C26" t="s">
        <v>4315</v>
      </c>
      <c r="D26" t="s">
        <v>4316</v>
      </c>
      <c r="E26" t="s">
        <v>4317</v>
      </c>
      <c r="F26" s="29">
        <v>5451235</v>
      </c>
      <c r="G26" s="30">
        <v>52549905.399999999</v>
      </c>
      <c r="H26" s="6">
        <v>1.4500000000000001E-2</v>
      </c>
    </row>
    <row r="27" spans="1:8" x14ac:dyDescent="0.25">
      <c r="A27" s="8">
        <v>44589</v>
      </c>
      <c r="B27" t="s">
        <v>4286</v>
      </c>
      <c r="C27" t="s">
        <v>4318</v>
      </c>
      <c r="D27" t="s">
        <v>4319</v>
      </c>
      <c r="E27" t="s">
        <v>4320</v>
      </c>
      <c r="F27" s="29">
        <v>5232159</v>
      </c>
      <c r="G27" s="30">
        <v>52216946.82</v>
      </c>
      <c r="H27" s="6">
        <v>1.44E-2</v>
      </c>
    </row>
    <row r="28" spans="1:8" x14ac:dyDescent="0.25">
      <c r="A28" s="8">
        <v>44589</v>
      </c>
      <c r="B28" t="s">
        <v>4286</v>
      </c>
      <c r="C28" t="s">
        <v>4321</v>
      </c>
      <c r="D28" t="s">
        <v>129</v>
      </c>
      <c r="E28">
        <v>717081103</v>
      </c>
      <c r="F28" s="29">
        <v>939987</v>
      </c>
      <c r="G28" s="30">
        <v>50167106.189999998</v>
      </c>
      <c r="H28" s="6">
        <v>1.38E-2</v>
      </c>
    </row>
    <row r="29" spans="1:8" x14ac:dyDescent="0.25">
      <c r="A29" s="8">
        <v>44589</v>
      </c>
      <c r="B29" t="s">
        <v>4286</v>
      </c>
      <c r="C29" t="s">
        <v>4322</v>
      </c>
      <c r="D29" t="s">
        <v>85</v>
      </c>
      <c r="E29">
        <v>922475108</v>
      </c>
      <c r="F29" s="29">
        <v>210574</v>
      </c>
      <c r="G29" s="30">
        <v>45184968.920000002</v>
      </c>
      <c r="H29" s="6">
        <v>1.24E-2</v>
      </c>
    </row>
    <row r="30" spans="1:8" x14ac:dyDescent="0.25">
      <c r="A30" s="8">
        <v>44589</v>
      </c>
      <c r="B30" t="s">
        <v>4286</v>
      </c>
      <c r="C30" t="s">
        <v>4323</v>
      </c>
      <c r="D30" t="s">
        <v>71</v>
      </c>
      <c r="E30" t="s">
        <v>4324</v>
      </c>
      <c r="F30" s="29">
        <v>72582</v>
      </c>
      <c r="G30" s="30">
        <v>44182115.039999999</v>
      </c>
      <c r="H30" s="6">
        <v>1.2200000000000001E-2</v>
      </c>
    </row>
    <row r="31" spans="1:8" x14ac:dyDescent="0.25">
      <c r="A31" s="8">
        <v>44589</v>
      </c>
      <c r="B31" t="s">
        <v>4286</v>
      </c>
      <c r="C31" t="s">
        <v>4186</v>
      </c>
      <c r="D31" t="s">
        <v>4187</v>
      </c>
      <c r="E31">
        <v>462260100</v>
      </c>
      <c r="F31" s="29">
        <v>3141885</v>
      </c>
      <c r="G31" s="30">
        <v>43452269.549999997</v>
      </c>
      <c r="H31" s="6">
        <v>1.2E-2</v>
      </c>
    </row>
    <row r="32" spans="1:8" x14ac:dyDescent="0.25">
      <c r="A32" s="8">
        <v>44589</v>
      </c>
      <c r="B32" t="s">
        <v>4286</v>
      </c>
      <c r="C32" t="s">
        <v>4325</v>
      </c>
      <c r="D32" t="s">
        <v>4326</v>
      </c>
      <c r="E32" t="s">
        <v>4327</v>
      </c>
      <c r="F32" s="29">
        <v>1210212</v>
      </c>
      <c r="G32" s="30">
        <v>43035138.719999999</v>
      </c>
      <c r="H32" s="6">
        <v>1.18E-2</v>
      </c>
    </row>
    <row r="33" spans="1:8" x14ac:dyDescent="0.25">
      <c r="A33" s="8">
        <v>44589</v>
      </c>
      <c r="B33" t="s">
        <v>4286</v>
      </c>
      <c r="C33" t="s">
        <v>4328</v>
      </c>
      <c r="D33" t="s">
        <v>4329</v>
      </c>
      <c r="E33" t="s">
        <v>4330</v>
      </c>
      <c r="F33" s="29">
        <v>3110707</v>
      </c>
      <c r="G33" s="30">
        <v>40999118.259999998</v>
      </c>
      <c r="H33" s="6">
        <v>1.1299999999999999E-2</v>
      </c>
    </row>
    <row r="34" spans="1:8" x14ac:dyDescent="0.25">
      <c r="A34" s="8">
        <v>44589</v>
      </c>
      <c r="B34" t="s">
        <v>4286</v>
      </c>
      <c r="C34" t="s">
        <v>4331</v>
      </c>
      <c r="D34" t="s">
        <v>4332</v>
      </c>
      <c r="E34">
        <v>760273102</v>
      </c>
      <c r="F34" s="29">
        <v>2974889</v>
      </c>
      <c r="G34" s="30">
        <v>41112965.979999997</v>
      </c>
      <c r="H34" s="6">
        <v>1.1299999999999999E-2</v>
      </c>
    </row>
    <row r="35" spans="1:8" x14ac:dyDescent="0.25">
      <c r="A35" s="8">
        <v>44589</v>
      </c>
      <c r="B35" t="s">
        <v>4286</v>
      </c>
      <c r="C35" t="s">
        <v>4141</v>
      </c>
      <c r="D35" t="s">
        <v>3400</v>
      </c>
      <c r="E35" t="s">
        <v>4142</v>
      </c>
      <c r="F35" s="29">
        <v>469800</v>
      </c>
      <c r="G35" s="30">
        <v>40337028</v>
      </c>
      <c r="H35" s="6">
        <v>1.11E-2</v>
      </c>
    </row>
    <row r="36" spans="1:8" x14ac:dyDescent="0.25">
      <c r="A36" s="8">
        <v>44589</v>
      </c>
      <c r="B36" t="s">
        <v>4286</v>
      </c>
      <c r="C36" t="s">
        <v>4333</v>
      </c>
      <c r="D36" t="s">
        <v>4334</v>
      </c>
      <c r="E36">
        <v>124155102</v>
      </c>
      <c r="F36" s="29">
        <v>7592528</v>
      </c>
      <c r="G36" s="30">
        <v>38494116.960000001</v>
      </c>
      <c r="H36" s="6">
        <v>1.06E-2</v>
      </c>
    </row>
    <row r="37" spans="1:8" x14ac:dyDescent="0.25">
      <c r="A37" s="8">
        <v>44589</v>
      </c>
      <c r="B37" t="s">
        <v>4286</v>
      </c>
      <c r="C37" t="s">
        <v>4335</v>
      </c>
      <c r="D37" t="s">
        <v>4336</v>
      </c>
      <c r="E37" t="s">
        <v>4337</v>
      </c>
      <c r="F37" s="29">
        <v>1396470</v>
      </c>
      <c r="G37" s="30">
        <v>37104207.899999999</v>
      </c>
      <c r="H37" s="6">
        <v>1.0200000000000001E-2</v>
      </c>
    </row>
    <row r="38" spans="1:8" x14ac:dyDescent="0.25">
      <c r="A38" s="8">
        <v>44589</v>
      </c>
      <c r="B38" t="s">
        <v>4286</v>
      </c>
      <c r="C38" t="s">
        <v>4338</v>
      </c>
      <c r="D38" t="s">
        <v>4339</v>
      </c>
      <c r="E38" t="s">
        <v>4340</v>
      </c>
      <c r="F38" s="29">
        <v>2924247</v>
      </c>
      <c r="G38" s="30">
        <v>29885804.34</v>
      </c>
      <c r="H38" s="6">
        <v>8.2000000000000007E-3</v>
      </c>
    </row>
    <row r="39" spans="1:8" x14ac:dyDescent="0.25">
      <c r="A39" s="8">
        <v>44589</v>
      </c>
      <c r="B39" t="s">
        <v>4286</v>
      </c>
      <c r="C39" t="s">
        <v>4174</v>
      </c>
      <c r="D39" t="s">
        <v>4175</v>
      </c>
      <c r="E39">
        <v>84310101</v>
      </c>
      <c r="F39" s="29">
        <v>3528867</v>
      </c>
      <c r="G39" s="30">
        <v>28936709.399999999</v>
      </c>
      <c r="H39" s="6">
        <v>8.0000000000000002E-3</v>
      </c>
    </row>
    <row r="40" spans="1:8" x14ac:dyDescent="0.25">
      <c r="A40" s="8">
        <v>44589</v>
      </c>
      <c r="B40" t="s">
        <v>4286</v>
      </c>
      <c r="C40" t="s">
        <v>4341</v>
      </c>
      <c r="D40" t="s">
        <v>4342</v>
      </c>
      <c r="E40">
        <v>268010105</v>
      </c>
      <c r="F40" s="29">
        <v>2357283</v>
      </c>
      <c r="G40" s="30">
        <v>23242810.379999999</v>
      </c>
      <c r="H40" s="6">
        <v>6.4000000000000003E-3</v>
      </c>
    </row>
    <row r="41" spans="1:8" x14ac:dyDescent="0.25">
      <c r="A41" s="8">
        <v>44589</v>
      </c>
      <c r="B41" t="s">
        <v>4286</v>
      </c>
      <c r="C41" t="s">
        <v>4172</v>
      </c>
      <c r="D41" t="s">
        <v>4173</v>
      </c>
      <c r="E41">
        <v>157085101</v>
      </c>
      <c r="F41" s="29">
        <v>4540382</v>
      </c>
      <c r="G41" s="30">
        <v>21839237.420000002</v>
      </c>
      <c r="H41" s="6">
        <v>6.0000000000000001E-3</v>
      </c>
    </row>
    <row r="42" spans="1:8" x14ac:dyDescent="0.25">
      <c r="A42" s="8">
        <v>44589</v>
      </c>
      <c r="B42" t="s">
        <v>4286</v>
      </c>
      <c r="C42" t="s">
        <v>4124</v>
      </c>
      <c r="D42" t="s">
        <v>3249</v>
      </c>
      <c r="E42" t="s">
        <v>4125</v>
      </c>
      <c r="F42" s="29">
        <v>1650194</v>
      </c>
      <c r="G42" s="30">
        <v>20264382.32</v>
      </c>
      <c r="H42" s="6">
        <v>5.5999999999999999E-3</v>
      </c>
    </row>
    <row r="43" spans="1:8" x14ac:dyDescent="0.25">
      <c r="A43" s="8">
        <v>44589</v>
      </c>
      <c r="B43" t="s">
        <v>4286</v>
      </c>
      <c r="C43" t="s">
        <v>4343</v>
      </c>
      <c r="D43" t="s">
        <v>4344</v>
      </c>
      <c r="E43" t="s">
        <v>4345</v>
      </c>
      <c r="F43" s="29">
        <v>5416724</v>
      </c>
      <c r="G43" s="30">
        <v>18633530.559999999</v>
      </c>
      <c r="H43" s="6">
        <v>5.1000000000000004E-3</v>
      </c>
    </row>
    <row r="44" spans="1:8" x14ac:dyDescent="0.25">
      <c r="A44" s="8">
        <v>44589</v>
      </c>
      <c r="B44" t="s">
        <v>4286</v>
      </c>
      <c r="C44" t="s">
        <v>4346</v>
      </c>
      <c r="D44" t="s">
        <v>4347</v>
      </c>
      <c r="E44" t="s">
        <v>4348</v>
      </c>
      <c r="F44" s="29">
        <v>2935044</v>
      </c>
      <c r="G44" s="30">
        <v>17962469.280000001</v>
      </c>
      <c r="H44" s="6">
        <v>4.8999999999999998E-3</v>
      </c>
    </row>
    <row r="45" spans="1:8" x14ac:dyDescent="0.25">
      <c r="A45" s="8">
        <v>44589</v>
      </c>
      <c r="B45" t="s">
        <v>4286</v>
      </c>
      <c r="C45" t="s">
        <v>4183</v>
      </c>
      <c r="D45" t="s">
        <v>4184</v>
      </c>
      <c r="E45" t="s">
        <v>4185</v>
      </c>
      <c r="F45" s="29">
        <v>1000834</v>
      </c>
      <c r="G45" s="30">
        <v>17434528.280000001</v>
      </c>
      <c r="H45" s="6">
        <v>4.7999999999999996E-3</v>
      </c>
    </row>
    <row r="46" spans="1:8" x14ac:dyDescent="0.25">
      <c r="A46" s="8">
        <v>44589</v>
      </c>
      <c r="B46" t="s">
        <v>4286</v>
      </c>
      <c r="C46" t="s">
        <v>4349</v>
      </c>
      <c r="D46" t="s">
        <v>4350</v>
      </c>
      <c r="E46" t="s">
        <v>4351</v>
      </c>
      <c r="F46" s="29">
        <v>3246067</v>
      </c>
      <c r="G46" s="30">
        <v>15094211.550000001</v>
      </c>
      <c r="H46" s="6">
        <v>4.1999999999999997E-3</v>
      </c>
    </row>
    <row r="47" spans="1:8" x14ac:dyDescent="0.25">
      <c r="A47" s="8">
        <v>44589</v>
      </c>
      <c r="B47" t="s">
        <v>4286</v>
      </c>
      <c r="C47" t="s">
        <v>4352</v>
      </c>
      <c r="D47" t="s">
        <v>4353</v>
      </c>
      <c r="E47" t="s">
        <v>4354</v>
      </c>
      <c r="F47" s="29">
        <v>1410931</v>
      </c>
      <c r="G47" s="30">
        <v>11654290.060000001</v>
      </c>
      <c r="H47" s="6">
        <v>3.2000000000000002E-3</v>
      </c>
    </row>
    <row r="48" spans="1:8" x14ac:dyDescent="0.25">
      <c r="A48" s="8">
        <v>44589</v>
      </c>
      <c r="B48" t="s">
        <v>4286</v>
      </c>
      <c r="C48" t="s">
        <v>4176</v>
      </c>
      <c r="D48" t="s">
        <v>4177</v>
      </c>
      <c r="E48" t="s">
        <v>4178</v>
      </c>
      <c r="F48" s="29">
        <v>3322613</v>
      </c>
      <c r="G48" s="30">
        <v>10997849.029999999</v>
      </c>
      <c r="H48" s="6">
        <v>3.0000000000000001E-3</v>
      </c>
    </row>
    <row r="49" spans="1:8" x14ac:dyDescent="0.25">
      <c r="A49" s="8">
        <v>44589</v>
      </c>
      <c r="B49" t="s">
        <v>4286</v>
      </c>
      <c r="C49" t="s">
        <v>4179</v>
      </c>
      <c r="E49" t="s">
        <v>4180</v>
      </c>
      <c r="F49" s="29">
        <v>9200693</v>
      </c>
      <c r="G49" s="30">
        <v>9200692.5</v>
      </c>
      <c r="H49" s="6">
        <v>2.5000000000000001E-3</v>
      </c>
    </row>
    <row r="50" spans="1:8" x14ac:dyDescent="0.25">
      <c r="A50" s="8">
        <v>44589</v>
      </c>
      <c r="B50" t="s">
        <v>4286</v>
      </c>
      <c r="C50" t="s">
        <v>4355</v>
      </c>
      <c r="D50" t="s">
        <v>4356</v>
      </c>
      <c r="E50" t="s">
        <v>4357</v>
      </c>
      <c r="F50" s="29">
        <v>405173</v>
      </c>
      <c r="G50" s="30">
        <v>7005441.1699999999</v>
      </c>
      <c r="H50" s="6">
        <v>1.9E-3</v>
      </c>
    </row>
    <row r="51" spans="1:8" x14ac:dyDescent="0.25">
      <c r="A51" s="8">
        <v>44589</v>
      </c>
      <c r="B51" t="s">
        <v>4286</v>
      </c>
      <c r="C51" t="s">
        <v>4358</v>
      </c>
      <c r="D51" t="s">
        <v>4359</v>
      </c>
      <c r="E51" t="s">
        <v>4360</v>
      </c>
      <c r="F51" s="29">
        <v>3382063</v>
      </c>
      <c r="G51" s="30">
        <v>5276018.28</v>
      </c>
      <c r="H51" s="6">
        <v>1.5E-3</v>
      </c>
    </row>
    <row r="52" spans="1:8" x14ac:dyDescent="0.25">
      <c r="A52" s="8">
        <v>44589</v>
      </c>
      <c r="B52" t="s">
        <v>4286</v>
      </c>
      <c r="C52" t="s">
        <v>4361</v>
      </c>
      <c r="D52" t="s">
        <v>4362</v>
      </c>
      <c r="E52" t="s">
        <v>4363</v>
      </c>
      <c r="F52" s="29">
        <v>2350703</v>
      </c>
      <c r="G52" s="30">
        <v>3032406.87</v>
      </c>
      <c r="H52" s="6">
        <v>8.0000000000000004E-4</v>
      </c>
    </row>
    <row r="53" spans="1:8" x14ac:dyDescent="0.25">
      <c r="A53" s="8">
        <v>44589</v>
      </c>
      <c r="B53" t="s">
        <v>4286</v>
      </c>
      <c r="C53" t="s">
        <v>4239</v>
      </c>
      <c r="D53" t="s">
        <v>4240</v>
      </c>
      <c r="E53" t="s">
        <v>4241</v>
      </c>
      <c r="F53" s="29">
        <v>209762</v>
      </c>
      <c r="G53" s="30">
        <v>574747.88</v>
      </c>
      <c r="H53" s="6">
        <v>2.0000000000000001E-4</v>
      </c>
    </row>
    <row r="54" spans="1:8" x14ac:dyDescent="0.25">
      <c r="A54" s="8">
        <v>44589</v>
      </c>
      <c r="B54" t="s">
        <v>4286</v>
      </c>
      <c r="C54" t="s">
        <v>4364</v>
      </c>
      <c r="D54" t="s">
        <v>4365</v>
      </c>
      <c r="E54">
        <v>874060205</v>
      </c>
      <c r="F54" s="29">
        <v>48724</v>
      </c>
      <c r="G54" s="30">
        <v>702600.08</v>
      </c>
      <c r="H54" s="6">
        <v>2.0000000000000001E-4</v>
      </c>
    </row>
    <row r="55" spans="1:8" x14ac:dyDescent="0.25">
      <c r="A55" t="s">
        <v>4188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H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4082</v>
      </c>
      <c r="C2" t="s">
        <v>4093</v>
      </c>
      <c r="D2" t="s">
        <v>317</v>
      </c>
      <c r="E2" t="s">
        <v>4094</v>
      </c>
      <c r="F2" s="29">
        <v>1089946</v>
      </c>
      <c r="G2" s="30">
        <v>903674228.60000002</v>
      </c>
      <c r="H2" s="6">
        <v>8.0699999999999994E-2</v>
      </c>
    </row>
    <row r="3" spans="1:8" x14ac:dyDescent="0.25">
      <c r="A3" s="8">
        <v>44589</v>
      </c>
      <c r="B3" t="s">
        <v>4082</v>
      </c>
      <c r="C3" t="s">
        <v>4095</v>
      </c>
      <c r="D3" t="s">
        <v>210</v>
      </c>
      <c r="E3" t="s">
        <v>4096</v>
      </c>
      <c r="F3" s="29">
        <v>5332008</v>
      </c>
      <c r="G3" s="30">
        <v>729472014.48000002</v>
      </c>
      <c r="H3" s="6">
        <v>6.5100000000000005E-2</v>
      </c>
    </row>
    <row r="4" spans="1:8" x14ac:dyDescent="0.25">
      <c r="A4" s="8">
        <v>44589</v>
      </c>
      <c r="B4" t="s">
        <v>4082</v>
      </c>
      <c r="C4" t="s">
        <v>4097</v>
      </c>
      <c r="D4" t="s">
        <v>3375</v>
      </c>
      <c r="E4" t="s">
        <v>4098</v>
      </c>
      <c r="F4" s="29">
        <v>10793279</v>
      </c>
      <c r="G4" s="30">
        <v>727898735.75999999</v>
      </c>
      <c r="H4" s="6">
        <v>6.5000000000000002E-2</v>
      </c>
    </row>
    <row r="5" spans="1:8" x14ac:dyDescent="0.25">
      <c r="A5" s="8">
        <v>44589</v>
      </c>
      <c r="B5" t="s">
        <v>4082</v>
      </c>
      <c r="C5" t="s">
        <v>4099</v>
      </c>
      <c r="D5" t="s">
        <v>3272</v>
      </c>
      <c r="E5" t="s">
        <v>4100</v>
      </c>
      <c r="F5" s="29">
        <v>4874559</v>
      </c>
      <c r="G5" s="30">
        <v>720557311.38</v>
      </c>
      <c r="H5" s="6">
        <v>6.4299999999999996E-2</v>
      </c>
    </row>
    <row r="6" spans="1:8" x14ac:dyDescent="0.25">
      <c r="A6" s="8">
        <v>44589</v>
      </c>
      <c r="B6" t="s">
        <v>4082</v>
      </c>
      <c r="C6" t="s">
        <v>4101</v>
      </c>
      <c r="D6" t="s">
        <v>3223</v>
      </c>
      <c r="E6" t="s">
        <v>4102</v>
      </c>
      <c r="F6" s="29">
        <v>3387915</v>
      </c>
      <c r="G6" s="30">
        <v>576623133</v>
      </c>
      <c r="H6" s="6">
        <v>5.1499999999999997E-2</v>
      </c>
    </row>
    <row r="7" spans="1:8" x14ac:dyDescent="0.25">
      <c r="A7" s="8">
        <v>44589</v>
      </c>
      <c r="B7" t="s">
        <v>4082</v>
      </c>
      <c r="C7" t="s">
        <v>4103</v>
      </c>
      <c r="D7" t="s">
        <v>3407</v>
      </c>
      <c r="E7" t="s">
        <v>4104</v>
      </c>
      <c r="F7" s="29">
        <v>7864600</v>
      </c>
      <c r="G7" s="30">
        <v>541949586</v>
      </c>
      <c r="H7" s="6">
        <v>4.8399999999999999E-2</v>
      </c>
    </row>
    <row r="8" spans="1:8" x14ac:dyDescent="0.25">
      <c r="A8" s="8">
        <v>44589</v>
      </c>
      <c r="B8" t="s">
        <v>4082</v>
      </c>
      <c r="C8" t="s">
        <v>4105</v>
      </c>
      <c r="D8" t="s">
        <v>3238</v>
      </c>
      <c r="E8" t="s">
        <v>4106</v>
      </c>
      <c r="F8" s="29">
        <v>5236903</v>
      </c>
      <c r="G8" s="30">
        <v>495934714.10000002</v>
      </c>
      <c r="H8" s="6">
        <v>4.4299999999999999E-2</v>
      </c>
    </row>
    <row r="9" spans="1:8" x14ac:dyDescent="0.25">
      <c r="A9" s="8">
        <v>44589</v>
      </c>
      <c r="B9" t="s">
        <v>4082</v>
      </c>
      <c r="C9" t="s">
        <v>4107</v>
      </c>
      <c r="D9" t="s">
        <v>4108</v>
      </c>
      <c r="E9" t="s">
        <v>4109</v>
      </c>
      <c r="F9" s="29">
        <v>2816149</v>
      </c>
      <c r="G9" s="30">
        <v>482462646.68000001</v>
      </c>
      <c r="H9" s="6">
        <v>4.3099999999999999E-2</v>
      </c>
    </row>
    <row r="10" spans="1:8" x14ac:dyDescent="0.25">
      <c r="A10" s="8">
        <v>44589</v>
      </c>
      <c r="B10" t="s">
        <v>4082</v>
      </c>
      <c r="C10" t="s">
        <v>4110</v>
      </c>
      <c r="D10" t="s">
        <v>3518</v>
      </c>
      <c r="E10" t="s">
        <v>4111</v>
      </c>
      <c r="F10" s="29">
        <v>5536047</v>
      </c>
      <c r="G10" s="30">
        <v>456170272.80000001</v>
      </c>
      <c r="H10" s="6">
        <v>4.07E-2</v>
      </c>
    </row>
    <row r="11" spans="1:8" x14ac:dyDescent="0.25">
      <c r="A11" s="8">
        <v>44589</v>
      </c>
      <c r="B11" t="s">
        <v>4082</v>
      </c>
      <c r="C11" t="s">
        <v>4112</v>
      </c>
      <c r="D11" t="s">
        <v>3318</v>
      </c>
      <c r="E11" t="s">
        <v>4113</v>
      </c>
      <c r="F11" s="29">
        <v>13846651</v>
      </c>
      <c r="G11" s="30">
        <v>454862485.35000002</v>
      </c>
      <c r="H11" s="6">
        <v>4.0599999999999997E-2</v>
      </c>
    </row>
    <row r="12" spans="1:8" x14ac:dyDescent="0.25">
      <c r="A12" s="8">
        <v>44589</v>
      </c>
      <c r="B12" t="s">
        <v>4082</v>
      </c>
      <c r="C12" t="s">
        <v>4114</v>
      </c>
      <c r="D12" t="s">
        <v>3234</v>
      </c>
      <c r="E12" t="s">
        <v>4115</v>
      </c>
      <c r="F12" s="29">
        <v>2551262</v>
      </c>
      <c r="G12" s="30">
        <v>450935558.5</v>
      </c>
      <c r="H12" s="6">
        <v>4.0300000000000002E-2</v>
      </c>
    </row>
    <row r="13" spans="1:8" x14ac:dyDescent="0.25">
      <c r="A13" s="8">
        <v>44589</v>
      </c>
      <c r="B13" t="s">
        <v>4082</v>
      </c>
      <c r="C13" t="s">
        <v>4116</v>
      </c>
      <c r="D13" t="s">
        <v>3221</v>
      </c>
      <c r="E13">
        <v>852234103</v>
      </c>
      <c r="F13" s="29">
        <v>3947732</v>
      </c>
      <c r="G13" s="30">
        <v>417038408.48000002</v>
      </c>
      <c r="H13" s="6">
        <v>3.7199999999999997E-2</v>
      </c>
    </row>
    <row r="14" spans="1:8" x14ac:dyDescent="0.25">
      <c r="A14" s="8">
        <v>44589</v>
      </c>
      <c r="B14" t="s">
        <v>4082</v>
      </c>
      <c r="C14" t="s">
        <v>4117</v>
      </c>
      <c r="D14" t="s">
        <v>3679</v>
      </c>
      <c r="E14" t="s">
        <v>4118</v>
      </c>
      <c r="F14" s="29">
        <v>5938841</v>
      </c>
      <c r="G14" s="30">
        <v>354489419.29000002</v>
      </c>
      <c r="H14" s="6">
        <v>3.1699999999999999E-2</v>
      </c>
    </row>
    <row r="15" spans="1:8" x14ac:dyDescent="0.25">
      <c r="A15" s="8">
        <v>44589</v>
      </c>
      <c r="B15" t="s">
        <v>4082</v>
      </c>
      <c r="C15" t="s">
        <v>4119</v>
      </c>
      <c r="D15" t="s">
        <v>3864</v>
      </c>
      <c r="E15" t="s">
        <v>4120</v>
      </c>
      <c r="F15" s="29">
        <v>6006663</v>
      </c>
      <c r="G15" s="30">
        <v>352951517.88</v>
      </c>
      <c r="H15" s="6">
        <v>3.15E-2</v>
      </c>
    </row>
    <row r="16" spans="1:8" x14ac:dyDescent="0.25">
      <c r="A16" s="8">
        <v>44589</v>
      </c>
      <c r="B16" t="s">
        <v>4082</v>
      </c>
      <c r="C16" t="s">
        <v>4121</v>
      </c>
      <c r="D16" t="s">
        <v>4122</v>
      </c>
      <c r="E16" t="s">
        <v>4123</v>
      </c>
      <c r="F16" s="29">
        <v>401794</v>
      </c>
      <c r="G16" s="30">
        <v>327767473.44</v>
      </c>
      <c r="H16" s="6">
        <v>2.93E-2</v>
      </c>
    </row>
    <row r="17" spans="1:8" x14ac:dyDescent="0.25">
      <c r="A17" s="8">
        <v>44589</v>
      </c>
      <c r="B17" t="s">
        <v>4082</v>
      </c>
      <c r="C17" t="s">
        <v>4124</v>
      </c>
      <c r="D17" t="s">
        <v>3249</v>
      </c>
      <c r="E17" t="s">
        <v>4125</v>
      </c>
      <c r="F17" s="29">
        <v>23984551</v>
      </c>
      <c r="G17" s="30">
        <v>294530286.27999997</v>
      </c>
      <c r="H17" s="6">
        <v>2.63E-2</v>
      </c>
    </row>
    <row r="18" spans="1:8" x14ac:dyDescent="0.25">
      <c r="A18" s="8">
        <v>44589</v>
      </c>
      <c r="B18" t="s">
        <v>4082</v>
      </c>
      <c r="C18" t="s">
        <v>4126</v>
      </c>
      <c r="D18" t="s">
        <v>3451</v>
      </c>
      <c r="E18" t="s">
        <v>4127</v>
      </c>
      <c r="F18" s="29">
        <v>13691783</v>
      </c>
      <c r="G18" s="30">
        <v>265483672.37</v>
      </c>
      <c r="H18" s="6">
        <v>2.3699999999999999E-2</v>
      </c>
    </row>
    <row r="19" spans="1:8" x14ac:dyDescent="0.25">
      <c r="A19" s="8">
        <v>44589</v>
      </c>
      <c r="B19" t="s">
        <v>4082</v>
      </c>
      <c r="C19" t="s">
        <v>4128</v>
      </c>
      <c r="D19" t="s">
        <v>605</v>
      </c>
      <c r="E19" t="s">
        <v>4129</v>
      </c>
      <c r="F19" s="29">
        <v>7273547</v>
      </c>
      <c r="G19" s="30">
        <v>246136830.47999999</v>
      </c>
      <c r="H19" s="6">
        <v>2.1999999999999999E-2</v>
      </c>
    </row>
    <row r="20" spans="1:8" x14ac:dyDescent="0.25">
      <c r="A20" s="8">
        <v>44589</v>
      </c>
      <c r="B20" t="s">
        <v>4082</v>
      </c>
      <c r="C20" t="s">
        <v>4130</v>
      </c>
      <c r="D20" t="s">
        <v>4131</v>
      </c>
      <c r="E20" t="s">
        <v>4132</v>
      </c>
      <c r="F20" s="29">
        <v>7153118</v>
      </c>
      <c r="G20" s="30">
        <v>216811006.58000001</v>
      </c>
      <c r="H20" s="6">
        <v>1.9400000000000001E-2</v>
      </c>
    </row>
    <row r="21" spans="1:8" x14ac:dyDescent="0.25">
      <c r="A21" s="8">
        <v>44589</v>
      </c>
      <c r="B21" t="s">
        <v>4082</v>
      </c>
      <c r="C21" t="s">
        <v>4133</v>
      </c>
      <c r="D21" t="s">
        <v>3666</v>
      </c>
      <c r="E21" t="s">
        <v>4134</v>
      </c>
      <c r="F21" s="29">
        <v>5827528</v>
      </c>
      <c r="G21" s="30">
        <v>208508951.84</v>
      </c>
      <c r="H21" s="6">
        <v>1.8599999999999998E-2</v>
      </c>
    </row>
    <row r="22" spans="1:8" x14ac:dyDescent="0.25">
      <c r="A22" s="8">
        <v>44589</v>
      </c>
      <c r="B22" t="s">
        <v>4082</v>
      </c>
      <c r="C22" t="s">
        <v>4135</v>
      </c>
      <c r="D22" t="s">
        <v>1667</v>
      </c>
      <c r="E22" t="s">
        <v>4136</v>
      </c>
      <c r="F22" s="29">
        <v>5234358</v>
      </c>
      <c r="G22" s="30">
        <v>178334577.06</v>
      </c>
      <c r="H22" s="6">
        <v>1.5900000000000001E-2</v>
      </c>
    </row>
    <row r="23" spans="1:8" x14ac:dyDescent="0.25">
      <c r="A23" s="8">
        <v>44589</v>
      </c>
      <c r="B23" t="s">
        <v>4082</v>
      </c>
      <c r="C23" t="s">
        <v>4137</v>
      </c>
      <c r="D23" t="s">
        <v>4138</v>
      </c>
      <c r="E23" t="s">
        <v>4139</v>
      </c>
      <c r="F23" s="29">
        <v>17067524</v>
      </c>
      <c r="G23" s="30">
        <v>165213632.31999999</v>
      </c>
      <c r="H23" s="6">
        <v>1.4800000000000001E-2</v>
      </c>
    </row>
    <row r="24" spans="1:8" x14ac:dyDescent="0.25">
      <c r="A24" s="8">
        <v>44589</v>
      </c>
      <c r="B24" t="s">
        <v>4082</v>
      </c>
      <c r="C24" t="s">
        <v>4140</v>
      </c>
      <c r="D24" t="s">
        <v>3413</v>
      </c>
      <c r="E24">
        <v>770700102</v>
      </c>
      <c r="F24" s="29">
        <v>14054058</v>
      </c>
      <c r="G24" s="30">
        <v>163167613.38</v>
      </c>
      <c r="H24" s="6">
        <v>1.46E-2</v>
      </c>
    </row>
    <row r="25" spans="1:8" x14ac:dyDescent="0.25">
      <c r="A25" s="8">
        <v>44589</v>
      </c>
      <c r="B25" t="s">
        <v>4082</v>
      </c>
      <c r="C25" t="s">
        <v>4141</v>
      </c>
      <c r="D25" t="s">
        <v>3400</v>
      </c>
      <c r="E25" t="s">
        <v>4142</v>
      </c>
      <c r="F25" s="29">
        <v>1885241</v>
      </c>
      <c r="G25" s="30">
        <v>161866792.25999999</v>
      </c>
      <c r="H25" s="6">
        <v>1.4500000000000001E-2</v>
      </c>
    </row>
    <row r="26" spans="1:8" x14ac:dyDescent="0.25">
      <c r="A26" s="8">
        <v>44589</v>
      </c>
      <c r="B26" t="s">
        <v>4082</v>
      </c>
      <c r="C26" t="s">
        <v>4143</v>
      </c>
      <c r="D26" t="s">
        <v>3445</v>
      </c>
      <c r="E26" t="s">
        <v>4144</v>
      </c>
      <c r="F26" s="29">
        <v>31096159</v>
      </c>
      <c r="G26" s="30">
        <v>144597139.34999999</v>
      </c>
      <c r="H26" s="6">
        <v>1.29E-2</v>
      </c>
    </row>
    <row r="27" spans="1:8" x14ac:dyDescent="0.25">
      <c r="A27" s="8">
        <v>44589</v>
      </c>
      <c r="B27" t="s">
        <v>4082</v>
      </c>
      <c r="C27" t="s">
        <v>4145</v>
      </c>
      <c r="D27" t="s">
        <v>432</v>
      </c>
      <c r="E27">
        <v>896239100</v>
      </c>
      <c r="F27" s="29">
        <v>2025249</v>
      </c>
      <c r="G27" s="30">
        <v>135954965.37</v>
      </c>
      <c r="H27" s="6">
        <v>1.21E-2</v>
      </c>
    </row>
    <row r="28" spans="1:8" x14ac:dyDescent="0.25">
      <c r="A28" s="8">
        <v>44589</v>
      </c>
      <c r="B28" t="s">
        <v>4082</v>
      </c>
      <c r="C28" t="s">
        <v>4146</v>
      </c>
      <c r="D28" t="s">
        <v>4147</v>
      </c>
      <c r="E28" t="s">
        <v>4148</v>
      </c>
      <c r="F28" s="29">
        <v>10898982</v>
      </c>
      <c r="G28" s="30">
        <v>124466374.44</v>
      </c>
      <c r="H28" s="6">
        <v>1.11E-2</v>
      </c>
    </row>
    <row r="29" spans="1:8" x14ac:dyDescent="0.25">
      <c r="A29" s="8">
        <v>44589</v>
      </c>
      <c r="B29" t="s">
        <v>4082</v>
      </c>
      <c r="C29" t="s">
        <v>4149</v>
      </c>
      <c r="D29" t="s">
        <v>4150</v>
      </c>
      <c r="E29" t="s">
        <v>4151</v>
      </c>
      <c r="F29" s="29">
        <v>4627725</v>
      </c>
      <c r="G29" s="30">
        <v>118284651</v>
      </c>
      <c r="H29" s="6">
        <v>1.06E-2</v>
      </c>
    </row>
    <row r="30" spans="1:8" x14ac:dyDescent="0.25">
      <c r="A30" s="8">
        <v>44589</v>
      </c>
      <c r="B30" t="s">
        <v>4082</v>
      </c>
      <c r="C30" t="s">
        <v>4152</v>
      </c>
      <c r="D30" t="s">
        <v>4153</v>
      </c>
      <c r="E30" t="s">
        <v>4154</v>
      </c>
      <c r="F30" s="29">
        <v>11690101</v>
      </c>
      <c r="G30" s="30">
        <v>110120751.42</v>
      </c>
      <c r="H30" s="6">
        <v>9.7999999999999997E-3</v>
      </c>
    </row>
    <row r="31" spans="1:8" x14ac:dyDescent="0.25">
      <c r="A31" s="8">
        <v>44589</v>
      </c>
      <c r="B31" t="s">
        <v>4082</v>
      </c>
      <c r="C31" t="s">
        <v>4155</v>
      </c>
      <c r="D31" t="s">
        <v>3607</v>
      </c>
      <c r="E31" t="s">
        <v>4156</v>
      </c>
      <c r="F31" s="29">
        <v>6710680</v>
      </c>
      <c r="G31" s="30">
        <v>106766918.8</v>
      </c>
      <c r="H31" s="6">
        <v>9.4999999999999998E-3</v>
      </c>
    </row>
    <row r="32" spans="1:8" x14ac:dyDescent="0.25">
      <c r="A32" s="8">
        <v>44589</v>
      </c>
      <c r="B32" t="s">
        <v>4082</v>
      </c>
      <c r="C32" t="s">
        <v>4157</v>
      </c>
      <c r="D32" t="s">
        <v>3966</v>
      </c>
      <c r="E32" t="s">
        <v>4158</v>
      </c>
      <c r="F32" s="29">
        <v>4524651</v>
      </c>
      <c r="G32" s="30">
        <v>95334396.569999993</v>
      </c>
      <c r="H32" s="6">
        <v>8.5000000000000006E-3</v>
      </c>
    </row>
    <row r="33" spans="1:8" x14ac:dyDescent="0.25">
      <c r="A33" s="8">
        <v>44589</v>
      </c>
      <c r="B33" t="s">
        <v>4082</v>
      </c>
      <c r="C33" t="s">
        <v>4159</v>
      </c>
      <c r="D33" t="s">
        <v>4160</v>
      </c>
      <c r="E33" t="s">
        <v>4161</v>
      </c>
      <c r="F33" s="29">
        <v>1653135</v>
      </c>
      <c r="G33" s="30">
        <v>84871950.900000006</v>
      </c>
      <c r="H33" s="6">
        <v>7.6E-3</v>
      </c>
    </row>
    <row r="34" spans="1:8" x14ac:dyDescent="0.25">
      <c r="A34" s="8">
        <v>44589</v>
      </c>
      <c r="B34" t="s">
        <v>4082</v>
      </c>
      <c r="C34" t="s">
        <v>4162</v>
      </c>
      <c r="D34" t="s">
        <v>4163</v>
      </c>
      <c r="E34" t="s">
        <v>4164</v>
      </c>
      <c r="F34" s="29">
        <v>5603803</v>
      </c>
      <c r="G34" s="30">
        <v>75651340.5</v>
      </c>
      <c r="H34" s="6">
        <v>6.7999999999999996E-3</v>
      </c>
    </row>
    <row r="35" spans="1:8" x14ac:dyDescent="0.25">
      <c r="A35" s="8">
        <v>44589</v>
      </c>
      <c r="B35" t="s">
        <v>4082</v>
      </c>
      <c r="C35" t="s">
        <v>4165</v>
      </c>
      <c r="D35" t="s">
        <v>3225</v>
      </c>
      <c r="E35">
        <v>771049103</v>
      </c>
      <c r="F35" s="29">
        <v>1273784</v>
      </c>
      <c r="G35" s="30">
        <v>72682115.040000007</v>
      </c>
      <c r="H35" s="6">
        <v>6.4999999999999997E-3</v>
      </c>
    </row>
    <row r="36" spans="1:8" x14ac:dyDescent="0.25">
      <c r="A36" s="8">
        <v>44589</v>
      </c>
      <c r="B36" t="s">
        <v>4082</v>
      </c>
      <c r="C36" t="s">
        <v>4166</v>
      </c>
      <c r="D36" t="s">
        <v>4167</v>
      </c>
      <c r="E36" t="s">
        <v>4168</v>
      </c>
      <c r="F36" s="29">
        <v>3696791</v>
      </c>
      <c r="G36" s="30">
        <v>66431334.270000003</v>
      </c>
      <c r="H36" s="6">
        <v>5.8999999999999999E-3</v>
      </c>
    </row>
    <row r="37" spans="1:8" x14ac:dyDescent="0.25">
      <c r="A37" s="8">
        <v>44589</v>
      </c>
      <c r="B37" t="s">
        <v>4082</v>
      </c>
      <c r="C37" t="s">
        <v>4169</v>
      </c>
      <c r="D37" t="s">
        <v>4170</v>
      </c>
      <c r="E37" t="s">
        <v>4171</v>
      </c>
      <c r="F37" s="29">
        <v>11882879</v>
      </c>
      <c r="G37" s="30">
        <v>50621064.539999999</v>
      </c>
      <c r="H37" s="6">
        <v>4.4999999999999997E-3</v>
      </c>
    </row>
    <row r="38" spans="1:8" x14ac:dyDescent="0.25">
      <c r="A38" s="8">
        <v>44589</v>
      </c>
      <c r="B38" t="s">
        <v>4082</v>
      </c>
      <c r="C38" t="s">
        <v>4172</v>
      </c>
      <c r="D38" t="s">
        <v>4173</v>
      </c>
      <c r="E38">
        <v>157085101</v>
      </c>
      <c r="F38" s="29">
        <v>9717259</v>
      </c>
      <c r="G38" s="30">
        <v>46740015.789999999</v>
      </c>
      <c r="H38" s="6">
        <v>4.1999999999999997E-3</v>
      </c>
    </row>
    <row r="39" spans="1:8" x14ac:dyDescent="0.25">
      <c r="A39" s="8">
        <v>44589</v>
      </c>
      <c r="B39" t="s">
        <v>4082</v>
      </c>
      <c r="C39" t="s">
        <v>4174</v>
      </c>
      <c r="D39" t="s">
        <v>4175</v>
      </c>
      <c r="E39">
        <v>84310101</v>
      </c>
      <c r="F39" s="29">
        <v>4548563</v>
      </c>
      <c r="G39" s="30">
        <v>37298216.600000001</v>
      </c>
      <c r="H39" s="6">
        <v>3.3E-3</v>
      </c>
    </row>
    <row r="40" spans="1:8" x14ac:dyDescent="0.25">
      <c r="A40" s="8">
        <v>44589</v>
      </c>
      <c r="B40" t="s">
        <v>4082</v>
      </c>
      <c r="C40" t="s">
        <v>4176</v>
      </c>
      <c r="D40" t="s">
        <v>4177</v>
      </c>
      <c r="E40" t="s">
        <v>4178</v>
      </c>
      <c r="F40" s="29">
        <v>5568961</v>
      </c>
      <c r="G40" s="30">
        <v>18433260.91</v>
      </c>
      <c r="H40" s="6">
        <v>1.6000000000000001E-3</v>
      </c>
    </row>
    <row r="41" spans="1:8" x14ac:dyDescent="0.25">
      <c r="A41" s="8">
        <v>44589</v>
      </c>
      <c r="B41" t="s">
        <v>4082</v>
      </c>
      <c r="C41" t="s">
        <v>4179</v>
      </c>
      <c r="E41" t="s">
        <v>4180</v>
      </c>
      <c r="F41" s="29">
        <v>7778341</v>
      </c>
      <c r="G41" s="30">
        <v>7778340.5899999999</v>
      </c>
      <c r="H41" s="6">
        <v>6.9999999999999999E-4</v>
      </c>
    </row>
    <row r="42" spans="1:8" x14ac:dyDescent="0.25">
      <c r="A42" s="8">
        <v>44589</v>
      </c>
      <c r="B42" t="s">
        <v>4082</v>
      </c>
      <c r="C42" t="s">
        <v>4181</v>
      </c>
      <c r="D42" t="s">
        <v>2245</v>
      </c>
      <c r="E42" t="s">
        <v>4182</v>
      </c>
      <c r="F42" s="29">
        <v>386442</v>
      </c>
      <c r="G42" s="30">
        <v>6194665.2599999998</v>
      </c>
      <c r="H42" s="6">
        <v>5.9999999999999995E-4</v>
      </c>
    </row>
    <row r="43" spans="1:8" x14ac:dyDescent="0.25">
      <c r="A43" s="8">
        <v>44589</v>
      </c>
      <c r="B43" t="s">
        <v>4082</v>
      </c>
      <c r="C43" t="s">
        <v>4183</v>
      </c>
      <c r="D43" t="s">
        <v>4184</v>
      </c>
      <c r="E43" t="s">
        <v>4185</v>
      </c>
      <c r="F43" s="29">
        <v>147009</v>
      </c>
      <c r="G43" s="30">
        <v>2560896.7799999998</v>
      </c>
      <c r="H43" s="6">
        <v>2.0000000000000001E-4</v>
      </c>
    </row>
    <row r="44" spans="1:8" x14ac:dyDescent="0.25">
      <c r="A44" s="8">
        <v>44589</v>
      </c>
      <c r="B44" t="s">
        <v>4082</v>
      </c>
      <c r="C44" t="s">
        <v>4186</v>
      </c>
      <c r="D44" t="s">
        <v>4187</v>
      </c>
      <c r="E44">
        <v>462260100</v>
      </c>
      <c r="F44">
        <v>150</v>
      </c>
      <c r="G44" s="30">
        <v>2074.5</v>
      </c>
      <c r="H44" s="6">
        <v>0</v>
      </c>
    </row>
    <row r="45" spans="1:8" x14ac:dyDescent="0.25">
      <c r="A45" t="s">
        <v>4188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4189</v>
      </c>
      <c r="C2" t="s">
        <v>4093</v>
      </c>
      <c r="D2" t="s">
        <v>317</v>
      </c>
      <c r="E2" t="s">
        <v>4094</v>
      </c>
      <c r="F2" s="29">
        <v>183267</v>
      </c>
      <c r="G2" s="30">
        <v>151946669.69999999</v>
      </c>
      <c r="H2" s="6">
        <v>9.9699999999999997E-2</v>
      </c>
    </row>
    <row r="3" spans="1:8" x14ac:dyDescent="0.25">
      <c r="A3" s="8">
        <v>44589</v>
      </c>
      <c r="B3" t="s">
        <v>4189</v>
      </c>
      <c r="C3" t="s">
        <v>4112</v>
      </c>
      <c r="D3" t="s">
        <v>3318</v>
      </c>
      <c r="E3" t="s">
        <v>4113</v>
      </c>
      <c r="F3" s="29">
        <v>3656696</v>
      </c>
      <c r="G3" s="30">
        <v>120122463.59999999</v>
      </c>
      <c r="H3" s="6">
        <v>7.8799999999999995E-2</v>
      </c>
    </row>
    <row r="4" spans="1:8" x14ac:dyDescent="0.25">
      <c r="A4" s="8">
        <v>44589</v>
      </c>
      <c r="B4" t="s">
        <v>4189</v>
      </c>
      <c r="C4" t="s">
        <v>4190</v>
      </c>
      <c r="D4" t="s">
        <v>4191</v>
      </c>
      <c r="E4" t="s">
        <v>4192</v>
      </c>
      <c r="F4" s="29">
        <v>7049075</v>
      </c>
      <c r="G4" s="30">
        <v>114124524.25</v>
      </c>
      <c r="H4" s="6">
        <v>7.4899999999999994E-2</v>
      </c>
    </row>
    <row r="5" spans="1:8" x14ac:dyDescent="0.25">
      <c r="A5" s="8">
        <v>44589</v>
      </c>
      <c r="B5" t="s">
        <v>4189</v>
      </c>
      <c r="C5" t="s">
        <v>4145</v>
      </c>
      <c r="D5" t="s">
        <v>432</v>
      </c>
      <c r="E5">
        <v>896239100</v>
      </c>
      <c r="F5" s="29">
        <v>1673076</v>
      </c>
      <c r="G5" s="30">
        <v>112313591.88</v>
      </c>
      <c r="H5" s="6">
        <v>7.3700000000000002E-2</v>
      </c>
    </row>
    <row r="6" spans="1:8" x14ac:dyDescent="0.25">
      <c r="A6" s="8">
        <v>44589</v>
      </c>
      <c r="B6" t="s">
        <v>4189</v>
      </c>
      <c r="C6" t="s">
        <v>4135</v>
      </c>
      <c r="D6" t="s">
        <v>1667</v>
      </c>
      <c r="E6" t="s">
        <v>4136</v>
      </c>
      <c r="F6" s="29">
        <v>2289571</v>
      </c>
      <c r="G6" s="30">
        <v>78005683.969999999</v>
      </c>
      <c r="H6" s="6">
        <v>5.1200000000000002E-2</v>
      </c>
    </row>
    <row r="7" spans="1:8" x14ac:dyDescent="0.25">
      <c r="A7" s="8">
        <v>44589</v>
      </c>
      <c r="B7" t="s">
        <v>4189</v>
      </c>
      <c r="C7" t="s">
        <v>4193</v>
      </c>
      <c r="D7" t="s">
        <v>4194</v>
      </c>
      <c r="E7">
        <v>500458401</v>
      </c>
      <c r="F7" s="29">
        <v>3035643</v>
      </c>
      <c r="G7" s="30">
        <v>73371491.310000002</v>
      </c>
      <c r="H7" s="6">
        <v>4.8099999999999997E-2</v>
      </c>
    </row>
    <row r="8" spans="1:8" x14ac:dyDescent="0.25">
      <c r="A8" s="8">
        <v>44589</v>
      </c>
      <c r="B8" t="s">
        <v>4189</v>
      </c>
      <c r="C8" t="s">
        <v>4195</v>
      </c>
      <c r="D8" t="s">
        <v>495</v>
      </c>
      <c r="E8">
        <v>244199105</v>
      </c>
      <c r="F8" s="29">
        <v>181934</v>
      </c>
      <c r="G8" s="30">
        <v>68399906.640000001</v>
      </c>
      <c r="H8" s="6">
        <v>4.4900000000000002E-2</v>
      </c>
    </row>
    <row r="9" spans="1:8" x14ac:dyDescent="0.25">
      <c r="A9" s="8">
        <v>44589</v>
      </c>
      <c r="B9" t="s">
        <v>4189</v>
      </c>
      <c r="C9" t="s">
        <v>4181</v>
      </c>
      <c r="D9" t="s">
        <v>2245</v>
      </c>
      <c r="E9" t="s">
        <v>4182</v>
      </c>
      <c r="F9" s="29">
        <v>3282503</v>
      </c>
      <c r="G9" s="30">
        <v>52618523.090000004</v>
      </c>
      <c r="H9" s="6">
        <v>3.4500000000000003E-2</v>
      </c>
    </row>
    <row r="10" spans="1:8" x14ac:dyDescent="0.25">
      <c r="A10" s="8">
        <v>44589</v>
      </c>
      <c r="B10" t="s">
        <v>4189</v>
      </c>
      <c r="C10" t="s">
        <v>4105</v>
      </c>
      <c r="D10" t="s">
        <v>3238</v>
      </c>
      <c r="E10" t="s">
        <v>4106</v>
      </c>
      <c r="F10" s="29">
        <v>512677</v>
      </c>
      <c r="G10" s="30">
        <v>48550511.899999999</v>
      </c>
      <c r="H10" s="6">
        <v>3.1899999999999998E-2</v>
      </c>
    </row>
    <row r="11" spans="1:8" x14ac:dyDescent="0.25">
      <c r="A11" s="8">
        <v>44589</v>
      </c>
      <c r="B11" t="s">
        <v>4189</v>
      </c>
      <c r="C11" t="s">
        <v>4196</v>
      </c>
      <c r="D11" t="s">
        <v>2597</v>
      </c>
      <c r="E11">
        <v>8073108</v>
      </c>
      <c r="F11" s="29">
        <v>827619</v>
      </c>
      <c r="G11" s="30">
        <v>44691426</v>
      </c>
      <c r="H11" s="6">
        <v>2.93E-2</v>
      </c>
    </row>
    <row r="12" spans="1:8" x14ac:dyDescent="0.25">
      <c r="A12" s="8">
        <v>44589</v>
      </c>
      <c r="B12" t="s">
        <v>4189</v>
      </c>
      <c r="C12" t="s">
        <v>4197</v>
      </c>
      <c r="D12" t="s">
        <v>358</v>
      </c>
      <c r="E12">
        <v>559222401</v>
      </c>
      <c r="F12" s="29">
        <v>551290</v>
      </c>
      <c r="G12" s="30">
        <v>43425113.299999997</v>
      </c>
      <c r="H12" s="6">
        <v>2.8500000000000001E-2</v>
      </c>
    </row>
    <row r="13" spans="1:8" x14ac:dyDescent="0.25">
      <c r="A13" s="8">
        <v>44589</v>
      </c>
      <c r="B13" t="s">
        <v>4189</v>
      </c>
      <c r="C13" t="s">
        <v>4198</v>
      </c>
      <c r="D13" t="s">
        <v>4199</v>
      </c>
      <c r="E13" t="s">
        <v>4200</v>
      </c>
      <c r="F13" s="29">
        <v>9579201</v>
      </c>
      <c r="G13" s="30">
        <v>40520020.229999997</v>
      </c>
      <c r="H13" s="6">
        <v>2.6599999999999999E-2</v>
      </c>
    </row>
    <row r="14" spans="1:8" x14ac:dyDescent="0.25">
      <c r="A14" s="8">
        <v>44589</v>
      </c>
      <c r="B14" t="s">
        <v>4189</v>
      </c>
      <c r="C14" t="s">
        <v>4201</v>
      </c>
      <c r="D14" t="s">
        <v>412</v>
      </c>
      <c r="E14" t="s">
        <v>4202</v>
      </c>
      <c r="F14" s="29">
        <v>2860024</v>
      </c>
      <c r="G14" s="30">
        <v>35321296.399999999</v>
      </c>
      <c r="H14" s="6">
        <v>2.3199999999999998E-2</v>
      </c>
    </row>
    <row r="15" spans="1:8" x14ac:dyDescent="0.25">
      <c r="A15" s="8">
        <v>44589</v>
      </c>
      <c r="B15" t="s">
        <v>4189</v>
      </c>
      <c r="C15" t="s">
        <v>4203</v>
      </c>
      <c r="D15" t="s">
        <v>4204</v>
      </c>
      <c r="E15">
        <v>92667104</v>
      </c>
      <c r="F15" s="29">
        <v>6131310</v>
      </c>
      <c r="G15" s="30">
        <v>34396649.100000001</v>
      </c>
      <c r="H15" s="6">
        <v>2.2599999999999999E-2</v>
      </c>
    </row>
    <row r="16" spans="1:8" x14ac:dyDescent="0.25">
      <c r="A16" s="8">
        <v>44589</v>
      </c>
      <c r="B16" t="s">
        <v>4189</v>
      </c>
      <c r="C16" t="s">
        <v>4124</v>
      </c>
      <c r="D16" t="s">
        <v>3249</v>
      </c>
      <c r="E16" t="s">
        <v>4125</v>
      </c>
      <c r="F16" s="29">
        <v>2765458</v>
      </c>
      <c r="G16" s="30">
        <v>33959824.240000002</v>
      </c>
      <c r="H16" s="6">
        <v>2.23E-2</v>
      </c>
    </row>
    <row r="17" spans="1:8" x14ac:dyDescent="0.25">
      <c r="A17" s="8">
        <v>44589</v>
      </c>
      <c r="B17" t="s">
        <v>4189</v>
      </c>
      <c r="C17" t="s">
        <v>4205</v>
      </c>
      <c r="D17" t="s">
        <v>14</v>
      </c>
      <c r="E17" t="s">
        <v>4206</v>
      </c>
      <c r="F17" s="29">
        <v>12707</v>
      </c>
      <c r="G17" s="30">
        <v>32814810.940000001</v>
      </c>
      <c r="H17" s="6">
        <v>2.1499999999999998E-2</v>
      </c>
    </row>
    <row r="18" spans="1:8" x14ac:dyDescent="0.25">
      <c r="A18" s="8">
        <v>44589</v>
      </c>
      <c r="B18" t="s">
        <v>4189</v>
      </c>
      <c r="C18" t="s">
        <v>4155</v>
      </c>
      <c r="D18" t="s">
        <v>3607</v>
      </c>
      <c r="E18" t="s">
        <v>4156</v>
      </c>
      <c r="F18" s="29">
        <v>1947569</v>
      </c>
      <c r="G18" s="30">
        <v>30985822.789999999</v>
      </c>
      <c r="H18" s="6">
        <v>2.0299999999999999E-2</v>
      </c>
    </row>
    <row r="19" spans="1:8" x14ac:dyDescent="0.25">
      <c r="A19" s="8">
        <v>44589</v>
      </c>
      <c r="B19" t="s">
        <v>4189</v>
      </c>
      <c r="C19" t="s">
        <v>4207</v>
      </c>
      <c r="D19" t="s">
        <v>4208</v>
      </c>
      <c r="E19" t="s">
        <v>4209</v>
      </c>
      <c r="F19" s="29">
        <v>5488356</v>
      </c>
      <c r="G19" s="30">
        <v>30844560.719999999</v>
      </c>
      <c r="H19" s="6">
        <v>2.0199999999999999E-2</v>
      </c>
    </row>
    <row r="20" spans="1:8" x14ac:dyDescent="0.25">
      <c r="A20" s="8">
        <v>44589</v>
      </c>
      <c r="B20" t="s">
        <v>4189</v>
      </c>
      <c r="C20" t="s">
        <v>4210</v>
      </c>
      <c r="D20" t="s">
        <v>4211</v>
      </c>
      <c r="E20" t="s">
        <v>4212</v>
      </c>
      <c r="F20" s="29">
        <v>183821</v>
      </c>
      <c r="G20" s="30">
        <v>29712826.440000001</v>
      </c>
      <c r="H20" s="6">
        <v>1.95E-2</v>
      </c>
    </row>
    <row r="21" spans="1:8" x14ac:dyDescent="0.25">
      <c r="A21" s="8">
        <v>44589</v>
      </c>
      <c r="B21" t="s">
        <v>4189</v>
      </c>
      <c r="C21" t="s">
        <v>4213</v>
      </c>
      <c r="D21" t="s">
        <v>36</v>
      </c>
      <c r="E21">
        <v>880770102</v>
      </c>
      <c r="F21" s="29">
        <v>259352</v>
      </c>
      <c r="G21" s="30">
        <v>28850316.48</v>
      </c>
      <c r="H21" s="6">
        <v>1.89E-2</v>
      </c>
    </row>
    <row r="22" spans="1:8" x14ac:dyDescent="0.25">
      <c r="A22" s="8">
        <v>44589</v>
      </c>
      <c r="B22" t="s">
        <v>4189</v>
      </c>
      <c r="C22" t="s">
        <v>4214</v>
      </c>
      <c r="D22" t="s">
        <v>33</v>
      </c>
      <c r="E22">
        <v>149123101</v>
      </c>
      <c r="F22" s="29">
        <v>128920</v>
      </c>
      <c r="G22" s="30">
        <v>27352956.399999999</v>
      </c>
      <c r="H22" s="6">
        <v>1.7899999999999999E-2</v>
      </c>
    </row>
    <row r="23" spans="1:8" x14ac:dyDescent="0.25">
      <c r="A23" s="8">
        <v>44589</v>
      </c>
      <c r="B23" t="s">
        <v>4189</v>
      </c>
      <c r="C23" t="s">
        <v>4215</v>
      </c>
      <c r="D23" t="s">
        <v>3181</v>
      </c>
      <c r="E23">
        <v>56752108</v>
      </c>
      <c r="F23" s="29">
        <v>183398</v>
      </c>
      <c r="G23" s="30">
        <v>26359794.539999999</v>
      </c>
      <c r="H23" s="6">
        <v>1.7299999999999999E-2</v>
      </c>
    </row>
    <row r="24" spans="1:8" x14ac:dyDescent="0.25">
      <c r="A24" s="8">
        <v>44589</v>
      </c>
      <c r="B24" t="s">
        <v>4189</v>
      </c>
      <c r="C24" t="s">
        <v>4216</v>
      </c>
      <c r="D24" t="s">
        <v>4217</v>
      </c>
      <c r="E24" t="s">
        <v>4218</v>
      </c>
      <c r="F24" s="29">
        <v>7827863</v>
      </c>
      <c r="G24" s="30">
        <v>25362276.120000001</v>
      </c>
      <c r="H24" s="6">
        <v>1.66E-2</v>
      </c>
    </row>
    <row r="25" spans="1:8" x14ac:dyDescent="0.25">
      <c r="A25" s="8">
        <v>44589</v>
      </c>
      <c r="B25" t="s">
        <v>4189</v>
      </c>
      <c r="C25" t="s">
        <v>4219</v>
      </c>
      <c r="D25" t="s">
        <v>4220</v>
      </c>
      <c r="E25" t="s">
        <v>4221</v>
      </c>
      <c r="F25" s="29">
        <v>8389348</v>
      </c>
      <c r="G25" s="30">
        <v>24077428.760000002</v>
      </c>
      <c r="H25" s="6">
        <v>1.5800000000000002E-2</v>
      </c>
    </row>
    <row r="26" spans="1:8" x14ac:dyDescent="0.25">
      <c r="A26" s="8">
        <v>44589</v>
      </c>
      <c r="B26" t="s">
        <v>4189</v>
      </c>
      <c r="C26" t="s">
        <v>4166</v>
      </c>
      <c r="D26" t="s">
        <v>4167</v>
      </c>
      <c r="E26" t="s">
        <v>4168</v>
      </c>
      <c r="F26" s="29">
        <v>1189227</v>
      </c>
      <c r="G26" s="30">
        <v>21370409.190000001</v>
      </c>
      <c r="H26" s="6">
        <v>1.4E-2</v>
      </c>
    </row>
    <row r="27" spans="1:8" x14ac:dyDescent="0.25">
      <c r="A27" s="8">
        <v>44589</v>
      </c>
      <c r="B27" t="s">
        <v>4189</v>
      </c>
      <c r="C27" t="s">
        <v>4222</v>
      </c>
      <c r="D27" t="s">
        <v>4223</v>
      </c>
      <c r="E27" t="s">
        <v>4224</v>
      </c>
      <c r="F27" s="29">
        <v>630533</v>
      </c>
      <c r="G27" s="30">
        <v>20561681.129999999</v>
      </c>
      <c r="H27" s="6">
        <v>1.35E-2</v>
      </c>
    </row>
    <row r="28" spans="1:8" x14ac:dyDescent="0.25">
      <c r="A28" s="8">
        <v>44589</v>
      </c>
      <c r="B28" t="s">
        <v>4189</v>
      </c>
      <c r="C28" t="s">
        <v>4225</v>
      </c>
      <c r="D28" t="s">
        <v>2632</v>
      </c>
      <c r="E28">
        <v>743713109</v>
      </c>
      <c r="F28" s="29">
        <v>434205</v>
      </c>
      <c r="G28" s="30">
        <v>20225268.899999999</v>
      </c>
      <c r="H28" s="6">
        <v>1.3299999999999999E-2</v>
      </c>
    </row>
    <row r="29" spans="1:8" x14ac:dyDescent="0.25">
      <c r="A29" s="8">
        <v>44589</v>
      </c>
      <c r="B29" t="s">
        <v>4189</v>
      </c>
      <c r="C29" t="s">
        <v>4226</v>
      </c>
      <c r="D29" t="s">
        <v>198</v>
      </c>
      <c r="E29">
        <v>879360105</v>
      </c>
      <c r="F29" s="29">
        <v>50576</v>
      </c>
      <c r="G29" s="30">
        <v>20099408.16</v>
      </c>
      <c r="H29" s="6">
        <v>1.32E-2</v>
      </c>
    </row>
    <row r="30" spans="1:8" x14ac:dyDescent="0.25">
      <c r="A30" s="8">
        <v>44589</v>
      </c>
      <c r="B30" t="s">
        <v>4189</v>
      </c>
      <c r="C30" t="s">
        <v>4157</v>
      </c>
      <c r="D30" t="s">
        <v>3966</v>
      </c>
      <c r="E30" t="s">
        <v>4158</v>
      </c>
      <c r="F30" s="29">
        <v>939116</v>
      </c>
      <c r="G30" s="30">
        <v>19787174.120000001</v>
      </c>
      <c r="H30" s="6">
        <v>1.2999999999999999E-2</v>
      </c>
    </row>
    <row r="31" spans="1:8" x14ac:dyDescent="0.25">
      <c r="A31" s="8">
        <v>44589</v>
      </c>
      <c r="B31" t="s">
        <v>4189</v>
      </c>
      <c r="C31" t="s">
        <v>4227</v>
      </c>
      <c r="D31" t="s">
        <v>40</v>
      </c>
      <c r="E31">
        <v>539830109</v>
      </c>
      <c r="F31" s="29">
        <v>48186</v>
      </c>
      <c r="G31" s="30">
        <v>18748208.879999999</v>
      </c>
      <c r="H31" s="6">
        <v>1.23E-2</v>
      </c>
    </row>
    <row r="32" spans="1:8" x14ac:dyDescent="0.25">
      <c r="A32" s="8">
        <v>44589</v>
      </c>
      <c r="B32" t="s">
        <v>4189</v>
      </c>
      <c r="C32" t="s">
        <v>4228</v>
      </c>
      <c r="D32" t="s">
        <v>90</v>
      </c>
      <c r="E32" t="s">
        <v>4229</v>
      </c>
      <c r="F32" s="29">
        <v>57316</v>
      </c>
      <c r="G32" s="30">
        <v>17746179.920000002</v>
      </c>
      <c r="H32" s="6">
        <v>1.1599999999999999E-2</v>
      </c>
    </row>
    <row r="33" spans="1:8" x14ac:dyDescent="0.25">
      <c r="A33" s="8">
        <v>44589</v>
      </c>
      <c r="B33" t="s">
        <v>4189</v>
      </c>
      <c r="C33" t="s">
        <v>4230</v>
      </c>
      <c r="D33" t="s">
        <v>4231</v>
      </c>
      <c r="E33" t="s">
        <v>4232</v>
      </c>
      <c r="F33" s="29">
        <v>276409</v>
      </c>
      <c r="G33" s="30">
        <v>16783554.48</v>
      </c>
      <c r="H33" s="6">
        <v>1.0999999999999999E-2</v>
      </c>
    </row>
    <row r="34" spans="1:8" x14ac:dyDescent="0.25">
      <c r="A34" s="8">
        <v>44589</v>
      </c>
      <c r="B34" t="s">
        <v>4189</v>
      </c>
      <c r="C34" t="s">
        <v>4233</v>
      </c>
      <c r="D34" t="s">
        <v>134</v>
      </c>
      <c r="E34">
        <v>871607107</v>
      </c>
      <c r="F34" s="29">
        <v>58431</v>
      </c>
      <c r="G34" s="30">
        <v>16673870.16</v>
      </c>
      <c r="H34" s="6">
        <v>1.09E-2</v>
      </c>
    </row>
    <row r="35" spans="1:8" x14ac:dyDescent="0.25">
      <c r="A35" s="8">
        <v>44589</v>
      </c>
      <c r="B35" t="s">
        <v>4189</v>
      </c>
      <c r="C35" t="s">
        <v>4234</v>
      </c>
      <c r="D35" t="s">
        <v>47</v>
      </c>
      <c r="E35" s="31" t="s">
        <v>4235</v>
      </c>
      <c r="F35" s="29">
        <v>60493</v>
      </c>
      <c r="G35" s="30">
        <v>15895745.609999999</v>
      </c>
      <c r="H35" s="6">
        <v>1.04E-2</v>
      </c>
    </row>
    <row r="36" spans="1:8" x14ac:dyDescent="0.25">
      <c r="A36" s="8">
        <v>44589</v>
      </c>
      <c r="B36" t="s">
        <v>4189</v>
      </c>
      <c r="C36" t="s">
        <v>4236</v>
      </c>
      <c r="D36" t="s">
        <v>4237</v>
      </c>
      <c r="E36" t="s">
        <v>4238</v>
      </c>
      <c r="F36" s="29">
        <v>2530587</v>
      </c>
      <c r="G36" s="30">
        <v>14297816.550000001</v>
      </c>
      <c r="H36" s="6">
        <v>9.4000000000000004E-3</v>
      </c>
    </row>
    <row r="37" spans="1:8" x14ac:dyDescent="0.25">
      <c r="A37" s="8">
        <v>44589</v>
      </c>
      <c r="B37" t="s">
        <v>4189</v>
      </c>
      <c r="C37" t="s">
        <v>4162</v>
      </c>
      <c r="D37" t="s">
        <v>4163</v>
      </c>
      <c r="E37" t="s">
        <v>4164</v>
      </c>
      <c r="F37" s="29">
        <v>734487</v>
      </c>
      <c r="G37" s="30">
        <v>9915574.5</v>
      </c>
      <c r="H37" s="6">
        <v>6.4999999999999997E-3</v>
      </c>
    </row>
    <row r="38" spans="1:8" x14ac:dyDescent="0.25">
      <c r="A38" s="8">
        <v>44589</v>
      </c>
      <c r="B38" t="s">
        <v>4189</v>
      </c>
      <c r="C38" t="s">
        <v>4179</v>
      </c>
      <c r="E38" t="s">
        <v>4180</v>
      </c>
      <c r="F38" s="29">
        <v>3673926</v>
      </c>
      <c r="G38" s="30">
        <v>3673925.61</v>
      </c>
      <c r="H38" s="6">
        <v>2.3999999999999998E-3</v>
      </c>
    </row>
    <row r="39" spans="1:8" x14ac:dyDescent="0.25">
      <c r="A39" s="8">
        <v>44589</v>
      </c>
      <c r="B39" t="s">
        <v>4189</v>
      </c>
      <c r="C39" t="s">
        <v>4239</v>
      </c>
      <c r="D39" t="s">
        <v>4240</v>
      </c>
      <c r="E39" t="s">
        <v>4241</v>
      </c>
      <c r="F39" s="29">
        <v>105342</v>
      </c>
      <c r="G39" s="30">
        <v>288637.08</v>
      </c>
      <c r="H39" s="6">
        <v>2.0000000000000001E-4</v>
      </c>
    </row>
    <row r="40" spans="1:8" x14ac:dyDescent="0.25">
      <c r="A40" s="8">
        <v>44589</v>
      </c>
      <c r="B40" t="s">
        <v>4189</v>
      </c>
      <c r="C40" t="s">
        <v>4242</v>
      </c>
      <c r="D40" t="s">
        <v>3161</v>
      </c>
      <c r="E40" t="s">
        <v>4243</v>
      </c>
      <c r="F40" s="29">
        <v>1273</v>
      </c>
      <c r="G40" s="30">
        <v>84883.64</v>
      </c>
      <c r="H40" s="6">
        <v>1E-4</v>
      </c>
    </row>
    <row r="41" spans="1:8" x14ac:dyDescent="0.25">
      <c r="A41" t="s">
        <v>4188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4244</v>
      </c>
      <c r="C2" t="s">
        <v>4093</v>
      </c>
      <c r="D2" t="s">
        <v>317</v>
      </c>
      <c r="E2" t="s">
        <v>4094</v>
      </c>
      <c r="F2" s="29">
        <v>212652</v>
      </c>
      <c r="G2" s="30">
        <v>176309773.19999999</v>
      </c>
      <c r="H2" s="6">
        <v>7.2700000000000001E-2</v>
      </c>
    </row>
    <row r="3" spans="1:8" x14ac:dyDescent="0.25">
      <c r="A3" s="8">
        <v>44589</v>
      </c>
      <c r="B3" t="s">
        <v>4244</v>
      </c>
      <c r="C3" t="s">
        <v>4101</v>
      </c>
      <c r="D3" t="s">
        <v>3223</v>
      </c>
      <c r="E3" t="s">
        <v>4102</v>
      </c>
      <c r="F3" s="29">
        <v>1015242</v>
      </c>
      <c r="G3" s="30">
        <v>172794188.40000001</v>
      </c>
      <c r="H3" s="6">
        <v>7.1199999999999999E-2</v>
      </c>
    </row>
    <row r="4" spans="1:8" x14ac:dyDescent="0.25">
      <c r="A4" s="8">
        <v>44589</v>
      </c>
      <c r="B4" t="s">
        <v>4244</v>
      </c>
      <c r="C4" t="s">
        <v>4245</v>
      </c>
      <c r="D4" t="s">
        <v>4246</v>
      </c>
      <c r="E4">
        <v>389637109</v>
      </c>
      <c r="F4" s="29">
        <v>6488681</v>
      </c>
      <c r="G4" s="30">
        <v>156442098.91</v>
      </c>
      <c r="H4" s="6">
        <v>6.4500000000000002E-2</v>
      </c>
    </row>
    <row r="5" spans="1:8" x14ac:dyDescent="0.25">
      <c r="A5" s="8">
        <v>44589</v>
      </c>
      <c r="B5" t="s">
        <v>4244</v>
      </c>
      <c r="C5" t="s">
        <v>4099</v>
      </c>
      <c r="D5" t="s">
        <v>3272</v>
      </c>
      <c r="E5" t="s">
        <v>4100</v>
      </c>
      <c r="F5" s="29">
        <v>973088</v>
      </c>
      <c r="G5" s="30">
        <v>143841868.16</v>
      </c>
      <c r="H5" s="6">
        <v>5.9299999999999999E-2</v>
      </c>
    </row>
    <row r="6" spans="1:8" x14ac:dyDescent="0.25">
      <c r="A6" s="8">
        <v>44589</v>
      </c>
      <c r="B6" t="s">
        <v>4244</v>
      </c>
      <c r="C6" t="s">
        <v>4095</v>
      </c>
      <c r="D6" t="s">
        <v>210</v>
      </c>
      <c r="E6" t="s">
        <v>4096</v>
      </c>
      <c r="F6" s="29">
        <v>1020237</v>
      </c>
      <c r="G6" s="30">
        <v>139578623.97</v>
      </c>
      <c r="H6" s="6">
        <v>5.7599999999999998E-2</v>
      </c>
    </row>
    <row r="7" spans="1:8" x14ac:dyDescent="0.25">
      <c r="A7" s="8">
        <v>44589</v>
      </c>
      <c r="B7" t="s">
        <v>4244</v>
      </c>
      <c r="C7" t="s">
        <v>4097</v>
      </c>
      <c r="D7" t="s">
        <v>3375</v>
      </c>
      <c r="E7" t="s">
        <v>4098</v>
      </c>
      <c r="F7" s="29">
        <v>1931705</v>
      </c>
      <c r="G7" s="30">
        <v>130274185.2</v>
      </c>
      <c r="H7" s="6">
        <v>5.3699999999999998E-2</v>
      </c>
    </row>
    <row r="8" spans="1:8" x14ac:dyDescent="0.25">
      <c r="A8" s="8">
        <v>44589</v>
      </c>
      <c r="B8" t="s">
        <v>4244</v>
      </c>
      <c r="C8" t="s">
        <v>4107</v>
      </c>
      <c r="D8" t="s">
        <v>4108</v>
      </c>
      <c r="E8" t="s">
        <v>4109</v>
      </c>
      <c r="F8" s="29">
        <v>709949</v>
      </c>
      <c r="G8" s="30">
        <v>121628462.68000001</v>
      </c>
      <c r="H8" s="6">
        <v>5.0099999999999999E-2</v>
      </c>
    </row>
    <row r="9" spans="1:8" x14ac:dyDescent="0.25">
      <c r="A9" s="8">
        <v>44589</v>
      </c>
      <c r="B9" t="s">
        <v>4244</v>
      </c>
      <c r="C9" t="s">
        <v>4128</v>
      </c>
      <c r="D9" t="s">
        <v>605</v>
      </c>
      <c r="E9" t="s">
        <v>4129</v>
      </c>
      <c r="F9" s="29">
        <v>3474724</v>
      </c>
      <c r="G9" s="30">
        <v>117584660.16</v>
      </c>
      <c r="H9" s="6">
        <v>4.8500000000000001E-2</v>
      </c>
    </row>
    <row r="10" spans="1:8" x14ac:dyDescent="0.25">
      <c r="A10" s="8">
        <v>44589</v>
      </c>
      <c r="B10" t="s">
        <v>4244</v>
      </c>
      <c r="C10" t="s">
        <v>4114</v>
      </c>
      <c r="D10" t="s">
        <v>3234</v>
      </c>
      <c r="E10" t="s">
        <v>4115</v>
      </c>
      <c r="F10" s="29">
        <v>618109</v>
      </c>
      <c r="G10" s="30">
        <v>109250765.75</v>
      </c>
      <c r="H10" s="6">
        <v>4.4999999999999998E-2</v>
      </c>
    </row>
    <row r="11" spans="1:8" x14ac:dyDescent="0.25">
      <c r="A11" s="8">
        <v>44589</v>
      </c>
      <c r="B11" t="s">
        <v>4244</v>
      </c>
      <c r="C11" t="s">
        <v>4121</v>
      </c>
      <c r="D11" t="s">
        <v>4122</v>
      </c>
      <c r="E11" t="s">
        <v>4123</v>
      </c>
      <c r="F11" s="29">
        <v>108863</v>
      </c>
      <c r="G11" s="30">
        <v>88806080.879999995</v>
      </c>
      <c r="H11" s="6">
        <v>3.6600000000000001E-2</v>
      </c>
    </row>
    <row r="12" spans="1:8" x14ac:dyDescent="0.25">
      <c r="A12" s="8">
        <v>44589</v>
      </c>
      <c r="B12" t="s">
        <v>4244</v>
      </c>
      <c r="C12" t="s">
        <v>4247</v>
      </c>
      <c r="D12" t="s">
        <v>3199</v>
      </c>
      <c r="E12">
        <v>848637104</v>
      </c>
      <c r="F12" s="29">
        <v>792012</v>
      </c>
      <c r="G12" s="30">
        <v>86527311</v>
      </c>
      <c r="H12" s="6">
        <v>3.5700000000000003E-2</v>
      </c>
    </row>
    <row r="13" spans="1:8" x14ac:dyDescent="0.25">
      <c r="A13" s="8">
        <v>44589</v>
      </c>
      <c r="B13" t="s">
        <v>4244</v>
      </c>
      <c r="C13" t="s">
        <v>4116</v>
      </c>
      <c r="D13" t="s">
        <v>3221</v>
      </c>
      <c r="E13">
        <v>852234103</v>
      </c>
      <c r="F13" s="29">
        <v>787211</v>
      </c>
      <c r="G13" s="30">
        <v>83160970.040000007</v>
      </c>
      <c r="H13" s="6">
        <v>3.4299999999999997E-2</v>
      </c>
    </row>
    <row r="14" spans="1:8" x14ac:dyDescent="0.25">
      <c r="A14" s="8">
        <v>44589</v>
      </c>
      <c r="B14" t="s">
        <v>4244</v>
      </c>
      <c r="C14" t="s">
        <v>4105</v>
      </c>
      <c r="D14" t="s">
        <v>3238</v>
      </c>
      <c r="E14" t="s">
        <v>4106</v>
      </c>
      <c r="F14" s="29">
        <v>865280</v>
      </c>
      <c r="G14" s="30">
        <v>81942016</v>
      </c>
      <c r="H14" s="6">
        <v>3.3799999999999997E-2</v>
      </c>
    </row>
    <row r="15" spans="1:8" x14ac:dyDescent="0.25">
      <c r="A15" s="8">
        <v>44589</v>
      </c>
      <c r="B15" t="s">
        <v>4244</v>
      </c>
      <c r="C15" t="s">
        <v>4126</v>
      </c>
      <c r="D15" t="s">
        <v>3451</v>
      </c>
      <c r="E15" t="s">
        <v>4127</v>
      </c>
      <c r="F15" s="29">
        <v>4038967</v>
      </c>
      <c r="G15" s="30">
        <v>78315570.129999995</v>
      </c>
      <c r="H15" s="6">
        <v>3.2300000000000002E-2</v>
      </c>
    </row>
    <row r="16" spans="1:8" x14ac:dyDescent="0.25">
      <c r="A16" s="8">
        <v>44589</v>
      </c>
      <c r="B16" t="s">
        <v>4244</v>
      </c>
      <c r="C16" t="s">
        <v>4112</v>
      </c>
      <c r="D16" t="s">
        <v>3318</v>
      </c>
      <c r="E16" t="s">
        <v>4113</v>
      </c>
      <c r="F16" s="29">
        <v>2332049</v>
      </c>
      <c r="G16" s="30">
        <v>76607809.650000006</v>
      </c>
      <c r="H16" s="6">
        <v>3.1600000000000003E-2</v>
      </c>
    </row>
    <row r="17" spans="1:8" x14ac:dyDescent="0.25">
      <c r="A17" s="8">
        <v>44589</v>
      </c>
      <c r="B17" t="s">
        <v>4244</v>
      </c>
      <c r="C17" t="s">
        <v>4165</v>
      </c>
      <c r="D17" t="s">
        <v>3225</v>
      </c>
      <c r="E17">
        <v>771049103</v>
      </c>
      <c r="F17" s="29">
        <v>1213351</v>
      </c>
      <c r="G17" s="30">
        <v>69233808.060000002</v>
      </c>
      <c r="H17" s="6">
        <v>2.8500000000000001E-2</v>
      </c>
    </row>
    <row r="18" spans="1:8" x14ac:dyDescent="0.25">
      <c r="A18" s="8">
        <v>44589</v>
      </c>
      <c r="B18" t="s">
        <v>4244</v>
      </c>
      <c r="C18" t="s">
        <v>4130</v>
      </c>
      <c r="D18" t="s">
        <v>4131</v>
      </c>
      <c r="E18" t="s">
        <v>4132</v>
      </c>
      <c r="F18" s="29">
        <v>1617400</v>
      </c>
      <c r="G18" s="30">
        <v>49023394</v>
      </c>
      <c r="H18" s="6">
        <v>2.0199999999999999E-2</v>
      </c>
    </row>
    <row r="19" spans="1:8" x14ac:dyDescent="0.25">
      <c r="A19" s="8">
        <v>44589</v>
      </c>
      <c r="B19" t="s">
        <v>4244</v>
      </c>
      <c r="C19" t="s">
        <v>4140</v>
      </c>
      <c r="D19" t="s">
        <v>3413</v>
      </c>
      <c r="E19">
        <v>770700102</v>
      </c>
      <c r="F19" s="29">
        <v>3693131</v>
      </c>
      <c r="G19" s="30">
        <v>42877250.909999996</v>
      </c>
      <c r="H19" s="6">
        <v>1.77E-2</v>
      </c>
    </row>
    <row r="20" spans="1:8" x14ac:dyDescent="0.25">
      <c r="A20" s="8">
        <v>44589</v>
      </c>
      <c r="B20" t="s">
        <v>4244</v>
      </c>
      <c r="C20" t="s">
        <v>4124</v>
      </c>
      <c r="D20" t="s">
        <v>3249</v>
      </c>
      <c r="E20" t="s">
        <v>4125</v>
      </c>
      <c r="F20" s="29">
        <v>3482830</v>
      </c>
      <c r="G20" s="30">
        <v>42769152.399999999</v>
      </c>
      <c r="H20" s="6">
        <v>1.7600000000000001E-2</v>
      </c>
    </row>
    <row r="21" spans="1:8" x14ac:dyDescent="0.25">
      <c r="A21" s="8">
        <v>44589</v>
      </c>
      <c r="B21" t="s">
        <v>4244</v>
      </c>
      <c r="C21" t="s">
        <v>4248</v>
      </c>
      <c r="D21" t="s">
        <v>4249</v>
      </c>
      <c r="E21" t="s">
        <v>4250</v>
      </c>
      <c r="F21" s="29">
        <v>322349</v>
      </c>
      <c r="G21" s="30">
        <v>41350929.719999999</v>
      </c>
      <c r="H21" s="6">
        <v>1.7000000000000001E-2</v>
      </c>
    </row>
    <row r="22" spans="1:8" x14ac:dyDescent="0.25">
      <c r="A22" s="8">
        <v>44589</v>
      </c>
      <c r="B22" t="s">
        <v>4244</v>
      </c>
      <c r="C22" t="s">
        <v>4251</v>
      </c>
      <c r="D22" t="s">
        <v>4252</v>
      </c>
      <c r="E22" t="s">
        <v>4253</v>
      </c>
      <c r="F22" s="29">
        <v>5622275</v>
      </c>
      <c r="G22" s="30">
        <v>32890308.75</v>
      </c>
      <c r="H22" s="6">
        <v>1.3599999999999999E-2</v>
      </c>
    </row>
    <row r="23" spans="1:8" x14ac:dyDescent="0.25">
      <c r="A23" s="8">
        <v>44589</v>
      </c>
      <c r="B23" t="s">
        <v>4244</v>
      </c>
      <c r="C23" t="s">
        <v>4254</v>
      </c>
      <c r="D23" t="s">
        <v>4255</v>
      </c>
      <c r="E23">
        <v>206071102</v>
      </c>
      <c r="F23" s="29">
        <v>3163538</v>
      </c>
      <c r="G23" s="30">
        <v>31445567.719999999</v>
      </c>
      <c r="H23" s="6">
        <v>1.2999999999999999E-2</v>
      </c>
    </row>
    <row r="24" spans="1:8" x14ac:dyDescent="0.25">
      <c r="A24" s="8">
        <v>44589</v>
      </c>
      <c r="B24" t="s">
        <v>4244</v>
      </c>
      <c r="C24" t="s">
        <v>4256</v>
      </c>
      <c r="D24" t="s">
        <v>3172</v>
      </c>
      <c r="E24" t="s">
        <v>4257</v>
      </c>
      <c r="F24" s="29">
        <v>31544</v>
      </c>
      <c r="G24" s="30">
        <v>31307420</v>
      </c>
      <c r="H24" s="6">
        <v>1.29E-2</v>
      </c>
    </row>
    <row r="25" spans="1:8" x14ac:dyDescent="0.25">
      <c r="A25" s="8">
        <v>44589</v>
      </c>
      <c r="B25" t="s">
        <v>4244</v>
      </c>
      <c r="C25" t="s">
        <v>4258</v>
      </c>
      <c r="D25" t="s">
        <v>3191</v>
      </c>
      <c r="E25">
        <v>679295105</v>
      </c>
      <c r="F25" s="29">
        <v>176477</v>
      </c>
      <c r="G25" s="30">
        <v>30989361.199999999</v>
      </c>
      <c r="H25" s="6">
        <v>1.2800000000000001E-2</v>
      </c>
    </row>
    <row r="26" spans="1:8" x14ac:dyDescent="0.25">
      <c r="A26" s="8">
        <v>44589</v>
      </c>
      <c r="B26" t="s">
        <v>4244</v>
      </c>
      <c r="C26" t="s">
        <v>4259</v>
      </c>
      <c r="D26" t="s">
        <v>289</v>
      </c>
      <c r="E26" t="s">
        <v>4260</v>
      </c>
      <c r="F26" s="29">
        <v>217870</v>
      </c>
      <c r="G26" s="30">
        <v>30401579.800000001</v>
      </c>
      <c r="H26" s="6">
        <v>1.2500000000000001E-2</v>
      </c>
    </row>
    <row r="27" spans="1:8" x14ac:dyDescent="0.25">
      <c r="A27" s="8">
        <v>44589</v>
      </c>
      <c r="B27" t="s">
        <v>4244</v>
      </c>
      <c r="C27" t="s">
        <v>4261</v>
      </c>
      <c r="D27" t="s">
        <v>3241</v>
      </c>
      <c r="E27" t="s">
        <v>4262</v>
      </c>
      <c r="F27" s="29">
        <v>350641</v>
      </c>
      <c r="G27" s="30">
        <v>28170497.940000001</v>
      </c>
      <c r="H27" s="6">
        <v>1.1599999999999999E-2</v>
      </c>
    </row>
    <row r="28" spans="1:8" x14ac:dyDescent="0.25">
      <c r="A28" s="8">
        <v>44589</v>
      </c>
      <c r="B28" t="s">
        <v>4244</v>
      </c>
      <c r="C28" t="s">
        <v>4149</v>
      </c>
      <c r="D28" t="s">
        <v>4150</v>
      </c>
      <c r="E28" t="s">
        <v>4151</v>
      </c>
      <c r="F28" s="29">
        <v>1071054</v>
      </c>
      <c r="G28" s="30">
        <v>27376140.239999998</v>
      </c>
      <c r="H28" s="6">
        <v>1.1299999999999999E-2</v>
      </c>
    </row>
    <row r="29" spans="1:8" x14ac:dyDescent="0.25">
      <c r="A29" s="8">
        <v>44589</v>
      </c>
      <c r="B29" t="s">
        <v>4244</v>
      </c>
      <c r="C29" t="s">
        <v>4263</v>
      </c>
      <c r="D29" t="s">
        <v>104</v>
      </c>
      <c r="E29">
        <v>254687106</v>
      </c>
      <c r="F29" s="29">
        <v>201354</v>
      </c>
      <c r="G29" s="30">
        <v>27267358.68</v>
      </c>
      <c r="H29" s="6">
        <v>1.12E-2</v>
      </c>
    </row>
    <row r="30" spans="1:8" x14ac:dyDescent="0.25">
      <c r="A30" s="8">
        <v>44589</v>
      </c>
      <c r="B30" t="s">
        <v>4244</v>
      </c>
      <c r="C30" t="s">
        <v>4216</v>
      </c>
      <c r="D30" t="s">
        <v>4217</v>
      </c>
      <c r="E30" t="s">
        <v>4218</v>
      </c>
      <c r="F30" s="29">
        <v>8251367</v>
      </c>
      <c r="G30" s="30">
        <v>26734429.079999998</v>
      </c>
      <c r="H30" s="6">
        <v>1.0999999999999999E-2</v>
      </c>
    </row>
    <row r="31" spans="1:8" x14ac:dyDescent="0.25">
      <c r="A31" s="8">
        <v>44589</v>
      </c>
      <c r="B31" t="s">
        <v>4244</v>
      </c>
      <c r="C31" t="s">
        <v>4236</v>
      </c>
      <c r="D31" t="s">
        <v>4237</v>
      </c>
      <c r="E31" t="s">
        <v>4238</v>
      </c>
      <c r="F31" s="29">
        <v>4522624</v>
      </c>
      <c r="G31" s="30">
        <v>25552825.600000001</v>
      </c>
      <c r="H31" s="6">
        <v>1.0500000000000001E-2</v>
      </c>
    </row>
    <row r="32" spans="1:8" x14ac:dyDescent="0.25">
      <c r="A32" s="8">
        <v>44589</v>
      </c>
      <c r="B32" t="s">
        <v>4244</v>
      </c>
      <c r="C32" t="s">
        <v>4264</v>
      </c>
      <c r="D32" t="s">
        <v>4265</v>
      </c>
      <c r="E32" t="s">
        <v>4266</v>
      </c>
      <c r="F32" s="29">
        <v>1233115</v>
      </c>
      <c r="G32" s="30">
        <v>23515503.050000001</v>
      </c>
      <c r="H32" s="6">
        <v>9.7000000000000003E-3</v>
      </c>
    </row>
    <row r="33" spans="1:8" x14ac:dyDescent="0.25">
      <c r="A33" s="8">
        <v>44589</v>
      </c>
      <c r="B33" t="s">
        <v>4244</v>
      </c>
      <c r="C33" t="s">
        <v>4267</v>
      </c>
      <c r="D33" t="s">
        <v>4268</v>
      </c>
      <c r="E33" t="s">
        <v>4269</v>
      </c>
      <c r="F33" s="29">
        <v>4373360</v>
      </c>
      <c r="G33" s="30">
        <v>22304136</v>
      </c>
      <c r="H33" s="6">
        <v>9.1999999999999998E-3</v>
      </c>
    </row>
    <row r="34" spans="1:8" x14ac:dyDescent="0.25">
      <c r="A34" s="8">
        <v>44589</v>
      </c>
      <c r="B34" t="s">
        <v>4244</v>
      </c>
      <c r="C34" t="s">
        <v>4169</v>
      </c>
      <c r="D34" t="s">
        <v>4170</v>
      </c>
      <c r="E34" t="s">
        <v>4171</v>
      </c>
      <c r="F34" s="29">
        <v>5111581</v>
      </c>
      <c r="G34" s="30">
        <v>21775335.059999999</v>
      </c>
      <c r="H34" s="6">
        <v>8.9999999999999993E-3</v>
      </c>
    </row>
    <row r="35" spans="1:8" x14ac:dyDescent="0.25">
      <c r="A35" s="8">
        <v>44589</v>
      </c>
      <c r="B35" t="s">
        <v>4244</v>
      </c>
      <c r="C35" t="s">
        <v>4162</v>
      </c>
      <c r="D35" t="s">
        <v>4163</v>
      </c>
      <c r="E35" t="s">
        <v>4164</v>
      </c>
      <c r="F35" s="29">
        <v>1246789</v>
      </c>
      <c r="G35" s="30">
        <v>16831651.5</v>
      </c>
      <c r="H35" s="6">
        <v>6.8999999999999999E-3</v>
      </c>
    </row>
    <row r="36" spans="1:8" x14ac:dyDescent="0.25">
      <c r="A36" s="8">
        <v>44589</v>
      </c>
      <c r="B36" t="s">
        <v>4244</v>
      </c>
      <c r="C36" t="s">
        <v>4270</v>
      </c>
      <c r="D36" t="s">
        <v>4271</v>
      </c>
      <c r="E36" t="s">
        <v>4272</v>
      </c>
      <c r="F36" s="29">
        <v>505393</v>
      </c>
      <c r="G36" s="30">
        <v>14974794.59</v>
      </c>
      <c r="H36" s="6">
        <v>6.1999999999999998E-3</v>
      </c>
    </row>
    <row r="37" spans="1:8" x14ac:dyDescent="0.25">
      <c r="A37" s="8">
        <v>44589</v>
      </c>
      <c r="B37" t="s">
        <v>4244</v>
      </c>
      <c r="C37" t="s">
        <v>4273</v>
      </c>
      <c r="D37" t="s">
        <v>4274</v>
      </c>
      <c r="E37" t="s">
        <v>4275</v>
      </c>
      <c r="F37" s="29">
        <v>1711478</v>
      </c>
      <c r="G37" s="30">
        <v>11792083.42</v>
      </c>
      <c r="H37" s="6">
        <v>4.8999999999999998E-3</v>
      </c>
    </row>
    <row r="38" spans="1:8" x14ac:dyDescent="0.25">
      <c r="A38" s="8">
        <v>44589</v>
      </c>
      <c r="B38" t="s">
        <v>4244</v>
      </c>
      <c r="C38" t="s">
        <v>4276</v>
      </c>
      <c r="D38" t="s">
        <v>4277</v>
      </c>
      <c r="E38" t="s">
        <v>4278</v>
      </c>
      <c r="F38" s="29">
        <v>61811</v>
      </c>
      <c r="G38" s="30">
        <v>11436271.220000001</v>
      </c>
      <c r="H38" s="6">
        <v>4.7000000000000002E-3</v>
      </c>
    </row>
    <row r="39" spans="1:8" x14ac:dyDescent="0.25">
      <c r="A39" s="8">
        <v>44589</v>
      </c>
      <c r="B39" t="s">
        <v>4244</v>
      </c>
      <c r="C39" t="s">
        <v>4179</v>
      </c>
      <c r="E39" t="s">
        <v>4180</v>
      </c>
      <c r="F39" s="29">
        <v>1893285</v>
      </c>
      <c r="G39" s="30">
        <v>1893285.3</v>
      </c>
      <c r="H39" s="6">
        <v>8.0000000000000004E-4</v>
      </c>
    </row>
    <row r="40" spans="1:8" x14ac:dyDescent="0.25">
      <c r="A40" s="8">
        <v>44589</v>
      </c>
      <c r="B40" t="s">
        <v>4244</v>
      </c>
      <c r="C40" t="s">
        <v>4279</v>
      </c>
      <c r="D40" t="s">
        <v>3201</v>
      </c>
      <c r="E40" t="s">
        <v>4280</v>
      </c>
      <c r="F40" s="29">
        <v>9188</v>
      </c>
      <c r="G40" s="30">
        <v>220236.36</v>
      </c>
      <c r="H40" s="6">
        <v>1E-4</v>
      </c>
    </row>
    <row r="41" spans="1:8" x14ac:dyDescent="0.25">
      <c r="A41" s="8">
        <v>44589</v>
      </c>
      <c r="B41" t="s">
        <v>4244</v>
      </c>
      <c r="C41" t="s">
        <v>4281</v>
      </c>
      <c r="D41" t="s">
        <v>3193</v>
      </c>
      <c r="E41">
        <v>256163106</v>
      </c>
      <c r="F41">
        <v>354</v>
      </c>
      <c r="G41" s="30">
        <v>39184.26</v>
      </c>
      <c r="H41" s="6">
        <v>0</v>
      </c>
    </row>
    <row r="42" spans="1:8" x14ac:dyDescent="0.25">
      <c r="A42" s="8">
        <v>44589</v>
      </c>
      <c r="B42" t="s">
        <v>4244</v>
      </c>
      <c r="C42" t="s">
        <v>4282</v>
      </c>
      <c r="D42" t="s">
        <v>2291</v>
      </c>
      <c r="E42">
        <v>538146101</v>
      </c>
      <c r="F42">
        <v>94</v>
      </c>
      <c r="G42" s="30">
        <v>2433.66</v>
      </c>
      <c r="H42" s="6">
        <v>0</v>
      </c>
    </row>
    <row r="43" spans="1:8" x14ac:dyDescent="0.25">
      <c r="A43" s="8">
        <v>44589</v>
      </c>
      <c r="B43" t="s">
        <v>4244</v>
      </c>
      <c r="C43" t="s">
        <v>4283</v>
      </c>
      <c r="D43" t="s">
        <v>3219</v>
      </c>
      <c r="E43" t="s">
        <v>4284</v>
      </c>
      <c r="F43" s="29">
        <v>1178</v>
      </c>
      <c r="G43" s="30">
        <v>33337.4</v>
      </c>
      <c r="H43" s="6">
        <v>0</v>
      </c>
    </row>
    <row r="44" spans="1:8" x14ac:dyDescent="0.25">
      <c r="A44" s="8">
        <v>44589</v>
      </c>
      <c r="B44" t="s">
        <v>4244</v>
      </c>
      <c r="C44" t="s">
        <v>4285</v>
      </c>
      <c r="D44" t="s">
        <v>3211</v>
      </c>
      <c r="E44">
        <v>833445109</v>
      </c>
      <c r="F44">
        <v>91</v>
      </c>
      <c r="G44" s="30">
        <v>22269.52</v>
      </c>
      <c r="H44" s="6">
        <v>0</v>
      </c>
    </row>
    <row r="45" spans="1:8" x14ac:dyDescent="0.25">
      <c r="A45" t="s">
        <v>4188</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6" priority="1167"/>
  </conditionalFormatting>
  <conditionalFormatting sqref="B1:B1048576 F1:F1048576">
    <cfRule type="duplicateValues" dxfId="5" priority="1"/>
  </conditionalFormatting>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4" priority="6"/>
  </conditionalFormatting>
  <conditionalFormatting sqref="C1:C1048576">
    <cfRule type="duplicateValues" dxfId="3" priority="3"/>
  </conditionalFormatting>
  <conditionalFormatting sqref="D1:D1048576">
    <cfRule type="duplicateValues" dxfId="2" priority="2"/>
  </conditionalFormatting>
  <conditionalFormatting sqref="E1:E1048576">
    <cfRule type="duplicateValues" dxfId="1" priority="1"/>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 customWidth="1"/>
    <col min="4" max="4" width="9.42578125" customWidth="1"/>
    <col min="5" max="5" width="9.140625" customWidth="1"/>
    <col min="6" max="6" width="3" style="20" customWidth="1"/>
  </cols>
  <sheetData>
    <row r="1" spans="1:6" s="2" customFormat="1" x14ac:dyDescent="0.25">
      <c r="A1" s="11" t="s">
        <v>327</v>
      </c>
      <c r="B1" s="10" t="s">
        <v>4028</v>
      </c>
      <c r="C1" s="10" t="s">
        <v>3205</v>
      </c>
      <c r="D1" s="10" t="s">
        <v>3755</v>
      </c>
      <c r="E1" s="10" t="s">
        <v>3756</v>
      </c>
      <c r="F1" s="22"/>
    </row>
    <row r="2" spans="1:6" x14ac:dyDescent="0.25">
      <c r="A2" s="1" t="s">
        <v>434</v>
      </c>
      <c r="B2" t="s">
        <v>3158</v>
      </c>
      <c r="C2" t="s">
        <v>445</v>
      </c>
      <c r="D2" t="s">
        <v>1302</v>
      </c>
      <c r="E2" t="s">
        <v>2024</v>
      </c>
    </row>
    <row r="3" spans="1:6" x14ac:dyDescent="0.25">
      <c r="A3" s="1" t="s">
        <v>122</v>
      </c>
      <c r="B3" t="s">
        <v>454</v>
      </c>
      <c r="C3" t="s">
        <v>446</v>
      </c>
      <c r="D3" t="s">
        <v>1305</v>
      </c>
      <c r="E3" t="s">
        <v>2026</v>
      </c>
    </row>
    <row r="4" spans="1:6" x14ac:dyDescent="0.25">
      <c r="A4" s="1" t="s">
        <v>226</v>
      </c>
      <c r="B4" t="s">
        <v>455</v>
      </c>
      <c r="C4" t="s">
        <v>450</v>
      </c>
      <c r="D4" t="s">
        <v>1310</v>
      </c>
      <c r="E4" t="s">
        <v>2029</v>
      </c>
    </row>
    <row r="5" spans="1:6" x14ac:dyDescent="0.25">
      <c r="A5" s="1" t="s">
        <v>210</v>
      </c>
      <c r="B5" t="s">
        <v>472</v>
      </c>
      <c r="C5" t="s">
        <v>457</v>
      </c>
      <c r="D5" t="s">
        <v>1312</v>
      </c>
      <c r="E5" t="s">
        <v>2032</v>
      </c>
    </row>
    <row r="6" spans="1:6" x14ac:dyDescent="0.25">
      <c r="A6" s="12" t="s">
        <v>72</v>
      </c>
      <c r="B6" t="s">
        <v>477</v>
      </c>
      <c r="C6" t="s">
        <v>459</v>
      </c>
      <c r="D6" t="s">
        <v>1314</v>
      </c>
      <c r="E6" t="s">
        <v>2034</v>
      </c>
    </row>
    <row r="7" spans="1:6" x14ac:dyDescent="0.25">
      <c r="A7" s="1" t="s">
        <v>86</v>
      </c>
      <c r="B7" t="s">
        <v>485</v>
      </c>
      <c r="C7" t="s">
        <v>451</v>
      </c>
      <c r="D7" t="s">
        <v>1316</v>
      </c>
      <c r="E7" t="s">
        <v>2036</v>
      </c>
    </row>
    <row r="8" spans="1:6" x14ac:dyDescent="0.25">
      <c r="A8" s="13" t="s">
        <v>212</v>
      </c>
      <c r="B8" t="s">
        <v>3161</v>
      </c>
      <c r="C8" t="s">
        <v>452</v>
      </c>
      <c r="D8" t="s">
        <v>1318</v>
      </c>
      <c r="E8" t="s">
        <v>2038</v>
      </c>
    </row>
    <row r="9" spans="1:6" x14ac:dyDescent="0.25">
      <c r="A9" s="1" t="s">
        <v>29</v>
      </c>
      <c r="B9" t="s">
        <v>491</v>
      </c>
      <c r="C9" t="s">
        <v>460</v>
      </c>
      <c r="D9" t="s">
        <v>1320</v>
      </c>
      <c r="E9" t="s">
        <v>2040</v>
      </c>
    </row>
    <row r="10" spans="1:6" x14ac:dyDescent="0.25">
      <c r="A10" s="1" t="s">
        <v>87</v>
      </c>
      <c r="B10" t="s">
        <v>502</v>
      </c>
      <c r="C10" t="s">
        <v>456</v>
      </c>
      <c r="D10" t="s">
        <v>1322</v>
      </c>
      <c r="E10" t="s">
        <v>2042</v>
      </c>
    </row>
    <row r="11" spans="1:6" x14ac:dyDescent="0.25">
      <c r="A11" s="1" t="s">
        <v>204</v>
      </c>
      <c r="B11" t="s">
        <v>3163</v>
      </c>
      <c r="C11" t="s">
        <v>458</v>
      </c>
      <c r="D11" t="s">
        <v>1324</v>
      </c>
      <c r="E11" t="s">
        <v>2044</v>
      </c>
    </row>
    <row r="12" spans="1:6" x14ac:dyDescent="0.25">
      <c r="A12" s="1" t="s">
        <v>1</v>
      </c>
      <c r="B12" t="s">
        <v>3165</v>
      </c>
      <c r="C12" t="s">
        <v>462</v>
      </c>
      <c r="D12" t="s">
        <v>1326</v>
      </c>
      <c r="E12" t="s">
        <v>2046</v>
      </c>
    </row>
    <row r="13" spans="1:6" x14ac:dyDescent="0.25">
      <c r="A13" s="12" t="s">
        <v>90</v>
      </c>
      <c r="B13" t="s">
        <v>499</v>
      </c>
      <c r="C13" t="s">
        <v>463</v>
      </c>
      <c r="D13" t="s">
        <v>1328</v>
      </c>
      <c r="E13" t="s">
        <v>2048</v>
      </c>
    </row>
    <row r="14" spans="1:6" x14ac:dyDescent="0.25">
      <c r="A14" s="1" t="s">
        <v>277</v>
      </c>
      <c r="B14" t="s">
        <v>507</v>
      </c>
      <c r="C14" t="s">
        <v>470</v>
      </c>
      <c r="D14" t="s">
        <v>1330</v>
      </c>
      <c r="E14" t="s">
        <v>2052</v>
      </c>
    </row>
    <row r="15" spans="1:6" x14ac:dyDescent="0.25">
      <c r="A15" s="14" t="s">
        <v>73</v>
      </c>
      <c r="B15" t="s">
        <v>3168</v>
      </c>
      <c r="C15" t="s">
        <v>464</v>
      </c>
      <c r="D15" t="s">
        <v>1332</v>
      </c>
      <c r="E15" t="s">
        <v>2054</v>
      </c>
    </row>
    <row r="16" spans="1:6" x14ac:dyDescent="0.25">
      <c r="A16" s="1" t="s">
        <v>94</v>
      </c>
      <c r="B16" t="s">
        <v>3170</v>
      </c>
      <c r="C16" t="s">
        <v>423</v>
      </c>
      <c r="D16" t="s">
        <v>1335</v>
      </c>
      <c r="E16" t="s">
        <v>2057</v>
      </c>
    </row>
    <row r="17" spans="1:5" x14ac:dyDescent="0.25">
      <c r="A17" s="1" t="s">
        <v>151</v>
      </c>
      <c r="B17" t="s">
        <v>529</v>
      </c>
      <c r="C17" t="s">
        <v>468</v>
      </c>
      <c r="D17" t="s">
        <v>1337</v>
      </c>
      <c r="E17" t="s">
        <v>2059</v>
      </c>
    </row>
    <row r="18" spans="1:5" x14ac:dyDescent="0.25">
      <c r="A18" s="15" t="s">
        <v>9</v>
      </c>
      <c r="B18" t="s">
        <v>3172</v>
      </c>
      <c r="C18" t="s">
        <v>466</v>
      </c>
      <c r="D18" t="s">
        <v>1339</v>
      </c>
      <c r="E18" t="s">
        <v>2061</v>
      </c>
    </row>
    <row r="19" spans="1:5" x14ac:dyDescent="0.25">
      <c r="A19" s="15" t="s">
        <v>75</v>
      </c>
      <c r="B19" t="s">
        <v>523</v>
      </c>
      <c r="C19" t="s">
        <v>465</v>
      </c>
      <c r="D19" t="s">
        <v>1341</v>
      </c>
      <c r="E19" t="s">
        <v>2064</v>
      </c>
    </row>
    <row r="20" spans="1:5" x14ac:dyDescent="0.25">
      <c r="A20" s="1" t="s">
        <v>101</v>
      </c>
      <c r="B20" t="s">
        <v>498</v>
      </c>
      <c r="C20" t="s">
        <v>469</v>
      </c>
      <c r="D20" t="s">
        <v>1343</v>
      </c>
      <c r="E20" t="s">
        <v>2066</v>
      </c>
    </row>
    <row r="21" spans="1:5" x14ac:dyDescent="0.25">
      <c r="A21" s="1" t="s">
        <v>377</v>
      </c>
      <c r="B21" t="s">
        <v>3174</v>
      </c>
      <c r="C21" t="s">
        <v>487</v>
      </c>
      <c r="D21" t="s">
        <v>1346</v>
      </c>
      <c r="E21" t="s">
        <v>2068</v>
      </c>
    </row>
    <row r="22" spans="1:5" x14ac:dyDescent="0.25">
      <c r="A22" s="1" t="s">
        <v>56</v>
      </c>
      <c r="B22" t="s">
        <v>534</v>
      </c>
      <c r="C22" t="s">
        <v>471</v>
      </c>
      <c r="D22" t="s">
        <v>1348</v>
      </c>
      <c r="E22" t="s">
        <v>2070</v>
      </c>
    </row>
    <row r="23" spans="1:5" x14ac:dyDescent="0.25">
      <c r="A23" s="1" t="s">
        <v>205</v>
      </c>
      <c r="B23" t="s">
        <v>540</v>
      </c>
      <c r="C23" t="s">
        <v>475</v>
      </c>
      <c r="D23" t="s">
        <v>1350</v>
      </c>
      <c r="E23" t="s">
        <v>2072</v>
      </c>
    </row>
    <row r="24" spans="1:5" x14ac:dyDescent="0.25">
      <c r="A24" s="1" t="s">
        <v>169</v>
      </c>
      <c r="B24" t="s">
        <v>3176</v>
      </c>
      <c r="C24" t="s">
        <v>481</v>
      </c>
      <c r="D24" t="s">
        <v>1352</v>
      </c>
      <c r="E24" t="s">
        <v>2075</v>
      </c>
    </row>
    <row r="25" spans="1:5" x14ac:dyDescent="0.25">
      <c r="A25" s="1" t="s">
        <v>386</v>
      </c>
      <c r="B25" t="s">
        <v>559</v>
      </c>
      <c r="C25" t="s">
        <v>476</v>
      </c>
      <c r="D25" t="s">
        <v>1354</v>
      </c>
      <c r="E25" t="s">
        <v>2077</v>
      </c>
    </row>
    <row r="26" spans="1:5" x14ac:dyDescent="0.25">
      <c r="A26" s="1" t="s">
        <v>290</v>
      </c>
      <c r="B26" t="s">
        <v>3179</v>
      </c>
      <c r="C26" t="s">
        <v>478</v>
      </c>
      <c r="D26" t="s">
        <v>1356</v>
      </c>
      <c r="E26" t="s">
        <v>2082</v>
      </c>
    </row>
    <row r="27" spans="1:5" x14ac:dyDescent="0.25">
      <c r="A27" s="1" t="s">
        <v>26</v>
      </c>
      <c r="B27" t="s">
        <v>542</v>
      </c>
      <c r="C27" t="s">
        <v>482</v>
      </c>
      <c r="D27" t="s">
        <v>1359</v>
      </c>
      <c r="E27" t="s">
        <v>2084</v>
      </c>
    </row>
    <row r="28" spans="1:5" x14ac:dyDescent="0.25">
      <c r="A28" s="1" t="s">
        <v>76</v>
      </c>
      <c r="B28" t="s">
        <v>3181</v>
      </c>
      <c r="C28" t="s">
        <v>480</v>
      </c>
      <c r="D28" t="s">
        <v>1361</v>
      </c>
      <c r="E28" t="s">
        <v>2086</v>
      </c>
    </row>
    <row r="29" spans="1:5" x14ac:dyDescent="0.25">
      <c r="A29" s="12" t="s">
        <v>77</v>
      </c>
      <c r="B29" t="s">
        <v>564</v>
      </c>
      <c r="C29" t="s">
        <v>484</v>
      </c>
      <c r="D29" t="s">
        <v>1364</v>
      </c>
      <c r="E29" t="s">
        <v>2088</v>
      </c>
    </row>
    <row r="30" spans="1:5" x14ac:dyDescent="0.25">
      <c r="A30" s="1" t="s">
        <v>14</v>
      </c>
      <c r="B30" t="s">
        <v>552</v>
      </c>
      <c r="C30" t="s">
        <v>492</v>
      </c>
      <c r="D30" t="s">
        <v>1366</v>
      </c>
      <c r="E30" t="s">
        <v>2090</v>
      </c>
    </row>
    <row r="31" spans="1:5" x14ac:dyDescent="0.25">
      <c r="A31" s="15" t="s">
        <v>113</v>
      </c>
      <c r="B31" t="s">
        <v>556</v>
      </c>
      <c r="C31" t="s">
        <v>488</v>
      </c>
      <c r="D31" t="s">
        <v>1368</v>
      </c>
      <c r="E31" t="s">
        <v>2093</v>
      </c>
    </row>
    <row r="32" spans="1:5" x14ac:dyDescent="0.25">
      <c r="A32" s="12" t="s">
        <v>114</v>
      </c>
      <c r="B32" t="s">
        <v>3185</v>
      </c>
      <c r="C32" t="s">
        <v>489</v>
      </c>
      <c r="D32" t="s">
        <v>1370</v>
      </c>
      <c r="E32" t="s">
        <v>2096</v>
      </c>
    </row>
    <row r="33" spans="1:5" x14ac:dyDescent="0.25">
      <c r="A33" s="1" t="s">
        <v>13</v>
      </c>
      <c r="B33" t="s">
        <v>3187</v>
      </c>
      <c r="C33" t="s">
        <v>490</v>
      </c>
      <c r="D33" t="s">
        <v>1375</v>
      </c>
      <c r="E33" t="s">
        <v>2098</v>
      </c>
    </row>
    <row r="34" spans="1:5" x14ac:dyDescent="0.25">
      <c r="A34" s="1" t="s">
        <v>115</v>
      </c>
      <c r="B34" t="s">
        <v>595</v>
      </c>
      <c r="C34" t="s">
        <v>495</v>
      </c>
      <c r="D34" t="s">
        <v>1377</v>
      </c>
      <c r="E34" t="s">
        <v>2100</v>
      </c>
    </row>
    <row r="35" spans="1:5" x14ac:dyDescent="0.25">
      <c r="A35" s="1" t="s">
        <v>47</v>
      </c>
      <c r="B35" t="s">
        <v>560</v>
      </c>
      <c r="C35" t="s">
        <v>493</v>
      </c>
      <c r="D35" t="s">
        <v>1379</v>
      </c>
      <c r="E35" t="s">
        <v>2102</v>
      </c>
    </row>
    <row r="36" spans="1:5" x14ac:dyDescent="0.25">
      <c r="A36" s="1" t="s">
        <v>300</v>
      </c>
      <c r="B36" t="s">
        <v>660</v>
      </c>
      <c r="C36" t="s">
        <v>501</v>
      </c>
      <c r="D36" t="s">
        <v>1381</v>
      </c>
      <c r="E36" t="s">
        <v>2104</v>
      </c>
    </row>
    <row r="37" spans="1:5" x14ac:dyDescent="0.25">
      <c r="A37" s="1" t="s">
        <v>70</v>
      </c>
      <c r="B37" t="s">
        <v>3189</v>
      </c>
      <c r="C37" t="s">
        <v>497</v>
      </c>
      <c r="D37" t="s">
        <v>1384</v>
      </c>
      <c r="E37" t="s">
        <v>2107</v>
      </c>
    </row>
    <row r="38" spans="1:5" x14ac:dyDescent="0.25">
      <c r="A38" s="1" t="s">
        <v>46</v>
      </c>
      <c r="B38" t="s">
        <v>592</v>
      </c>
      <c r="C38" t="s">
        <v>500</v>
      </c>
      <c r="D38" t="s">
        <v>1386</v>
      </c>
      <c r="E38" t="s">
        <v>2111</v>
      </c>
    </row>
    <row r="39" spans="1:5" x14ac:dyDescent="0.25">
      <c r="A39" s="1" t="s">
        <v>81</v>
      </c>
      <c r="B39" t="s">
        <v>601</v>
      </c>
      <c r="C39" t="s">
        <v>504</v>
      </c>
      <c r="D39" t="s">
        <v>1389</v>
      </c>
      <c r="E39" t="s">
        <v>2113</v>
      </c>
    </row>
    <row r="40" spans="1:5" x14ac:dyDescent="0.25">
      <c r="A40" s="1" t="s">
        <v>51</v>
      </c>
      <c r="B40" t="s">
        <v>603</v>
      </c>
      <c r="C40" t="s">
        <v>505</v>
      </c>
      <c r="D40" t="s">
        <v>1391</v>
      </c>
      <c r="E40" t="s">
        <v>2115</v>
      </c>
    </row>
    <row r="41" spans="1:5" x14ac:dyDescent="0.25">
      <c r="A41" s="13" t="s">
        <v>207</v>
      </c>
      <c r="B41" t="s">
        <v>3191</v>
      </c>
      <c r="C41" t="s">
        <v>515</v>
      </c>
      <c r="D41" t="s">
        <v>1396</v>
      </c>
      <c r="E41" t="s">
        <v>2117</v>
      </c>
    </row>
    <row r="42" spans="1:5" x14ac:dyDescent="0.25">
      <c r="A42" s="1" t="s">
        <v>25</v>
      </c>
      <c r="B42" t="s">
        <v>619</v>
      </c>
      <c r="C42" t="s">
        <v>506</v>
      </c>
      <c r="D42" t="s">
        <v>1400</v>
      </c>
      <c r="E42" t="s">
        <v>2119</v>
      </c>
    </row>
    <row r="43" spans="1:5" x14ac:dyDescent="0.25">
      <c r="A43" s="1" t="s">
        <v>24</v>
      </c>
      <c r="B43" t="s">
        <v>3193</v>
      </c>
      <c r="C43" t="s">
        <v>508</v>
      </c>
      <c r="D43" t="s">
        <v>1402</v>
      </c>
      <c r="E43" t="s">
        <v>2121</v>
      </c>
    </row>
    <row r="44" spans="1:5" x14ac:dyDescent="0.25">
      <c r="A44" s="1" t="s">
        <v>179</v>
      </c>
      <c r="B44" t="s">
        <v>636</v>
      </c>
      <c r="C44" t="s">
        <v>509</v>
      </c>
      <c r="D44" t="s">
        <v>1405</v>
      </c>
      <c r="E44" t="s">
        <v>2123</v>
      </c>
    </row>
    <row r="45" spans="1:5" x14ac:dyDescent="0.25">
      <c r="A45" s="1" t="s">
        <v>71</v>
      </c>
      <c r="B45" t="s">
        <v>3195</v>
      </c>
      <c r="C45" t="s">
        <v>511</v>
      </c>
      <c r="D45" t="s">
        <v>1407</v>
      </c>
      <c r="E45" t="s">
        <v>2126</v>
      </c>
    </row>
    <row r="46" spans="1:5" x14ac:dyDescent="0.25">
      <c r="A46" s="1" t="s">
        <v>309</v>
      </c>
      <c r="B46" t="s">
        <v>665</v>
      </c>
      <c r="C46" t="s">
        <v>531</v>
      </c>
      <c r="D46" t="s">
        <v>1409</v>
      </c>
      <c r="E46" t="s">
        <v>2128</v>
      </c>
    </row>
    <row r="47" spans="1:5" x14ac:dyDescent="0.25">
      <c r="A47" s="1" t="s">
        <v>134</v>
      </c>
      <c r="B47" t="s">
        <v>3197</v>
      </c>
      <c r="C47" t="s">
        <v>513</v>
      </c>
      <c r="D47" t="s">
        <v>1411</v>
      </c>
      <c r="E47" t="s">
        <v>2130</v>
      </c>
    </row>
    <row r="48" spans="1:5" x14ac:dyDescent="0.25">
      <c r="A48" s="1" t="s">
        <v>314</v>
      </c>
      <c r="B48" t="s">
        <v>3199</v>
      </c>
      <c r="C48" t="s">
        <v>514</v>
      </c>
      <c r="D48" t="s">
        <v>1413</v>
      </c>
      <c r="E48" t="s">
        <v>2132</v>
      </c>
    </row>
    <row r="49" spans="1:5" x14ac:dyDescent="0.25">
      <c r="A49" s="14" t="s">
        <v>137</v>
      </c>
      <c r="B49" t="s">
        <v>3201</v>
      </c>
      <c r="C49" t="s">
        <v>520</v>
      </c>
      <c r="D49" t="s">
        <v>1415</v>
      </c>
      <c r="E49" t="s">
        <v>2135</v>
      </c>
    </row>
    <row r="50" spans="1:5" x14ac:dyDescent="0.25">
      <c r="A50" s="1" t="s">
        <v>317</v>
      </c>
      <c r="C50" t="s">
        <v>518</v>
      </c>
      <c r="D50" t="s">
        <v>1419</v>
      </c>
      <c r="E50" t="s">
        <v>2137</v>
      </c>
    </row>
    <row r="51" spans="1:5" x14ac:dyDescent="0.25">
      <c r="A51" s="1" t="s">
        <v>318</v>
      </c>
      <c r="C51" t="s">
        <v>517</v>
      </c>
      <c r="D51" t="s">
        <v>1421</v>
      </c>
      <c r="E51" t="s">
        <v>2139</v>
      </c>
    </row>
    <row r="52" spans="1:5" x14ac:dyDescent="0.25">
      <c r="A52" s="1" t="s">
        <v>211</v>
      </c>
      <c r="C52" t="s">
        <v>516</v>
      </c>
      <c r="D52" t="s">
        <v>158</v>
      </c>
      <c r="E52" t="s">
        <v>2143</v>
      </c>
    </row>
    <row r="53" spans="1:5" x14ac:dyDescent="0.25">
      <c r="A53" s="1" t="s">
        <v>142</v>
      </c>
      <c r="C53" t="s">
        <v>519</v>
      </c>
      <c r="D53" t="s">
        <v>1424</v>
      </c>
      <c r="E53" t="s">
        <v>2145</v>
      </c>
    </row>
    <row r="54" spans="1:5" x14ac:dyDescent="0.25">
      <c r="A54" s="1" t="s">
        <v>343</v>
      </c>
      <c r="C54" t="s">
        <v>524</v>
      </c>
      <c r="D54" t="s">
        <v>1428</v>
      </c>
      <c r="E54" t="s">
        <v>2147</v>
      </c>
    </row>
    <row r="55" spans="1:5" x14ac:dyDescent="0.25">
      <c r="A55" s="1" t="s">
        <v>360</v>
      </c>
      <c r="C55" t="s">
        <v>526</v>
      </c>
      <c r="D55" t="s">
        <v>1433</v>
      </c>
      <c r="E55" t="s">
        <v>2149</v>
      </c>
    </row>
    <row r="56" spans="1:5" x14ac:dyDescent="0.25">
      <c r="A56" s="1" t="s">
        <v>399</v>
      </c>
      <c r="C56" t="s">
        <v>521</v>
      </c>
      <c r="D56" t="s">
        <v>1435</v>
      </c>
      <c r="E56" t="s">
        <v>2151</v>
      </c>
    </row>
    <row r="57" spans="1:5" x14ac:dyDescent="0.25">
      <c r="A57" s="13" t="s">
        <v>218</v>
      </c>
      <c r="C57" t="s">
        <v>535</v>
      </c>
      <c r="D57" t="s">
        <v>1437</v>
      </c>
      <c r="E57" t="s">
        <v>2155</v>
      </c>
    </row>
    <row r="58" spans="1:5" x14ac:dyDescent="0.25">
      <c r="A58" s="1" t="s">
        <v>261</v>
      </c>
      <c r="C58" t="s">
        <v>522</v>
      </c>
      <c r="D58" t="s">
        <v>1440</v>
      </c>
      <c r="E58" t="s">
        <v>2159</v>
      </c>
    </row>
    <row r="59" spans="1:5" x14ac:dyDescent="0.25">
      <c r="A59" s="14" t="s">
        <v>96</v>
      </c>
      <c r="C59" t="s">
        <v>539</v>
      </c>
      <c r="D59" t="s">
        <v>1442</v>
      </c>
      <c r="E59" t="s">
        <v>2161</v>
      </c>
    </row>
    <row r="60" spans="1:5" x14ac:dyDescent="0.25">
      <c r="A60" s="1" t="s">
        <v>378</v>
      </c>
      <c r="C60" t="s">
        <v>528</v>
      </c>
      <c r="D60" t="s">
        <v>1444</v>
      </c>
      <c r="E60" t="s">
        <v>2163</v>
      </c>
    </row>
    <row r="61" spans="1:5" x14ac:dyDescent="0.25">
      <c r="A61" s="1" t="s">
        <v>39</v>
      </c>
      <c r="C61" t="s">
        <v>530</v>
      </c>
      <c r="D61" t="s">
        <v>1446</v>
      </c>
      <c r="E61" t="s">
        <v>2165</v>
      </c>
    </row>
    <row r="62" spans="1:5" x14ac:dyDescent="0.25">
      <c r="A62" s="1" t="s">
        <v>375</v>
      </c>
      <c r="C62" t="s">
        <v>532</v>
      </c>
      <c r="D62" t="s">
        <v>1448</v>
      </c>
      <c r="E62" t="s">
        <v>2167</v>
      </c>
    </row>
    <row r="63" spans="1:5" x14ac:dyDescent="0.25">
      <c r="A63" s="1" t="s">
        <v>379</v>
      </c>
      <c r="C63" t="s">
        <v>533</v>
      </c>
      <c r="D63" t="s">
        <v>1451</v>
      </c>
      <c r="E63" t="s">
        <v>2169</v>
      </c>
    </row>
    <row r="64" spans="1:5" x14ac:dyDescent="0.25">
      <c r="A64" s="1" t="s">
        <v>236</v>
      </c>
      <c r="C64" t="s">
        <v>536</v>
      </c>
      <c r="D64" t="s">
        <v>1453</v>
      </c>
      <c r="E64" t="s">
        <v>2171</v>
      </c>
    </row>
    <row r="65" spans="1:5" x14ac:dyDescent="0.25">
      <c r="A65" s="1" t="s">
        <v>106</v>
      </c>
      <c r="C65" t="s">
        <v>537</v>
      </c>
      <c r="D65" t="s">
        <v>1455</v>
      </c>
      <c r="E65" t="s">
        <v>2173</v>
      </c>
    </row>
    <row r="66" spans="1:5" x14ac:dyDescent="0.25">
      <c r="A66" s="1" t="s">
        <v>353</v>
      </c>
      <c r="C66" t="s">
        <v>541</v>
      </c>
      <c r="D66" t="s">
        <v>1457</v>
      </c>
      <c r="E66" t="s">
        <v>426</v>
      </c>
    </row>
    <row r="67" spans="1:5" x14ac:dyDescent="0.25">
      <c r="A67" s="13" t="s">
        <v>189</v>
      </c>
      <c r="C67" t="s">
        <v>558</v>
      </c>
      <c r="D67" t="s">
        <v>1459</v>
      </c>
      <c r="E67" t="s">
        <v>2176</v>
      </c>
    </row>
    <row r="68" spans="1:5" x14ac:dyDescent="0.25">
      <c r="A68" s="1" t="s">
        <v>293</v>
      </c>
      <c r="C68" t="s">
        <v>544</v>
      </c>
      <c r="D68" t="s">
        <v>1462</v>
      </c>
      <c r="E68" t="s">
        <v>2178</v>
      </c>
    </row>
    <row r="69" spans="1:5" x14ac:dyDescent="0.25">
      <c r="A69" s="1" t="s">
        <v>15</v>
      </c>
      <c r="C69" t="s">
        <v>543</v>
      </c>
      <c r="D69" t="s">
        <v>1464</v>
      </c>
      <c r="E69" t="s">
        <v>2180</v>
      </c>
    </row>
    <row r="70" spans="1:5" x14ac:dyDescent="0.25">
      <c r="A70" s="1" t="s">
        <v>405</v>
      </c>
      <c r="C70" t="s">
        <v>545</v>
      </c>
      <c r="D70" t="s">
        <v>1466</v>
      </c>
      <c r="E70" t="s">
        <v>2182</v>
      </c>
    </row>
    <row r="71" spans="1:5" x14ac:dyDescent="0.25">
      <c r="A71" s="1" t="s">
        <v>401</v>
      </c>
      <c r="C71" t="s">
        <v>546</v>
      </c>
      <c r="D71" t="s">
        <v>1468</v>
      </c>
      <c r="E71" t="s">
        <v>2184</v>
      </c>
    </row>
    <row r="72" spans="1:5" x14ac:dyDescent="0.25">
      <c r="A72" s="1" t="s">
        <v>83</v>
      </c>
      <c r="C72" t="s">
        <v>547</v>
      </c>
      <c r="D72" t="s">
        <v>1470</v>
      </c>
      <c r="E72" t="s">
        <v>2186</v>
      </c>
    </row>
    <row r="73" spans="1:5" x14ac:dyDescent="0.25">
      <c r="A73" s="1" t="s">
        <v>8</v>
      </c>
      <c r="C73" t="s">
        <v>548</v>
      </c>
      <c r="D73" t="s">
        <v>1472</v>
      </c>
      <c r="E73" t="s">
        <v>2188</v>
      </c>
    </row>
    <row r="74" spans="1:5" x14ac:dyDescent="0.25">
      <c r="A74" s="1" t="s">
        <v>313</v>
      </c>
      <c r="C74" t="s">
        <v>550</v>
      </c>
      <c r="D74" t="s">
        <v>1474</v>
      </c>
      <c r="E74" t="s">
        <v>2191</v>
      </c>
    </row>
    <row r="75" spans="1:5" x14ac:dyDescent="0.25">
      <c r="A75" s="1" t="s">
        <v>244</v>
      </c>
      <c r="C75" t="s">
        <v>551</v>
      </c>
      <c r="D75" t="s">
        <v>1476</v>
      </c>
      <c r="E75" t="s">
        <v>2194</v>
      </c>
    </row>
    <row r="76" spans="1:5" x14ac:dyDescent="0.25">
      <c r="A76" s="1" t="s">
        <v>180</v>
      </c>
      <c r="C76" t="s">
        <v>562</v>
      </c>
      <c r="D76" t="s">
        <v>1478</v>
      </c>
      <c r="E76" t="s">
        <v>2196</v>
      </c>
    </row>
    <row r="77" spans="1:5" x14ac:dyDescent="0.25">
      <c r="A77" s="1" t="s">
        <v>260</v>
      </c>
      <c r="C77" t="s">
        <v>554</v>
      </c>
      <c r="D77" t="s">
        <v>1480</v>
      </c>
      <c r="E77" t="s">
        <v>2198</v>
      </c>
    </row>
    <row r="78" spans="1:5" x14ac:dyDescent="0.25">
      <c r="A78" s="1" t="s">
        <v>43</v>
      </c>
      <c r="C78" t="s">
        <v>555</v>
      </c>
      <c r="D78" t="s">
        <v>1482</v>
      </c>
      <c r="E78" t="s">
        <v>2200</v>
      </c>
    </row>
    <row r="79" spans="1:5" x14ac:dyDescent="0.25">
      <c r="A79" s="1" t="s">
        <v>138</v>
      </c>
      <c r="C79" t="s">
        <v>576</v>
      </c>
      <c r="D79" t="s">
        <v>1484</v>
      </c>
      <c r="E79" t="s">
        <v>2202</v>
      </c>
    </row>
    <row r="80" spans="1:5" x14ac:dyDescent="0.25">
      <c r="A80" s="1" t="s">
        <v>155</v>
      </c>
      <c r="C80" t="s">
        <v>557</v>
      </c>
      <c r="D80" t="s">
        <v>1486</v>
      </c>
      <c r="E80" t="s">
        <v>2204</v>
      </c>
    </row>
    <row r="81" spans="1:5" x14ac:dyDescent="0.25">
      <c r="A81" s="1" t="s">
        <v>85</v>
      </c>
      <c r="C81" t="s">
        <v>575</v>
      </c>
      <c r="D81" t="s">
        <v>1489</v>
      </c>
      <c r="E81" t="s">
        <v>2206</v>
      </c>
    </row>
    <row r="82" spans="1:5" x14ac:dyDescent="0.25">
      <c r="A82" s="1" t="s">
        <v>381</v>
      </c>
      <c r="C82" t="s">
        <v>561</v>
      </c>
      <c r="D82" t="s">
        <v>1491</v>
      </c>
      <c r="E82" t="s">
        <v>2208</v>
      </c>
    </row>
    <row r="83" spans="1:5" x14ac:dyDescent="0.25">
      <c r="A83" s="1" t="s">
        <v>45</v>
      </c>
      <c r="C83" t="s">
        <v>642</v>
      </c>
      <c r="D83" t="s">
        <v>1494</v>
      </c>
      <c r="E83" t="s">
        <v>2210</v>
      </c>
    </row>
    <row r="84" spans="1:5" x14ac:dyDescent="0.25">
      <c r="A84" s="1" t="s">
        <v>232</v>
      </c>
      <c r="C84" t="s">
        <v>566</v>
      </c>
      <c r="D84" t="s">
        <v>1496</v>
      </c>
      <c r="E84" t="s">
        <v>2212</v>
      </c>
    </row>
    <row r="85" spans="1:5" x14ac:dyDescent="0.25">
      <c r="A85" s="1" t="s">
        <v>162</v>
      </c>
      <c r="C85" t="s">
        <v>568</v>
      </c>
      <c r="D85" t="s">
        <v>1499</v>
      </c>
      <c r="E85" t="s">
        <v>2214</v>
      </c>
    </row>
    <row r="86" spans="1:5" x14ac:dyDescent="0.25">
      <c r="A86" s="1" t="s">
        <v>233</v>
      </c>
      <c r="C86" t="s">
        <v>563</v>
      </c>
      <c r="D86" t="s">
        <v>1501</v>
      </c>
      <c r="E86" t="s">
        <v>2216</v>
      </c>
    </row>
    <row r="87" spans="1:5" x14ac:dyDescent="0.25">
      <c r="A87" s="1" t="s">
        <v>149</v>
      </c>
      <c r="C87" t="s">
        <v>569</v>
      </c>
      <c r="D87" t="s">
        <v>1503</v>
      </c>
      <c r="E87" t="s">
        <v>2218</v>
      </c>
    </row>
    <row r="88" spans="1:5" x14ac:dyDescent="0.25">
      <c r="A88" s="1" t="s">
        <v>234</v>
      </c>
      <c r="C88" t="s">
        <v>571</v>
      </c>
      <c r="D88" t="s">
        <v>1505</v>
      </c>
      <c r="E88" t="s">
        <v>2220</v>
      </c>
    </row>
    <row r="89" spans="1:5" x14ac:dyDescent="0.25">
      <c r="A89" s="1" t="s">
        <v>88</v>
      </c>
      <c r="C89" t="s">
        <v>572</v>
      </c>
      <c r="D89" t="s">
        <v>1507</v>
      </c>
      <c r="E89" t="s">
        <v>2222</v>
      </c>
    </row>
    <row r="90" spans="1:5" x14ac:dyDescent="0.25">
      <c r="A90" s="15" t="s">
        <v>159</v>
      </c>
      <c r="C90" t="s">
        <v>574</v>
      </c>
      <c r="D90" t="s">
        <v>1510</v>
      </c>
      <c r="E90" t="s">
        <v>2224</v>
      </c>
    </row>
    <row r="91" spans="1:5" x14ac:dyDescent="0.25">
      <c r="A91" s="15" t="s">
        <v>150</v>
      </c>
      <c r="C91" t="s">
        <v>616</v>
      </c>
      <c r="D91" t="s">
        <v>1512</v>
      </c>
      <c r="E91" t="s">
        <v>2226</v>
      </c>
    </row>
    <row r="92" spans="1:5" x14ac:dyDescent="0.25">
      <c r="A92" s="16" t="s">
        <v>89</v>
      </c>
      <c r="C92" t="s">
        <v>565</v>
      </c>
      <c r="D92" t="s">
        <v>1514</v>
      </c>
      <c r="E92" t="s">
        <v>2228</v>
      </c>
    </row>
    <row r="93" spans="1:5" x14ac:dyDescent="0.25">
      <c r="A93" s="15" t="s">
        <v>34</v>
      </c>
      <c r="C93" t="s">
        <v>581</v>
      </c>
      <c r="D93" t="s">
        <v>1517</v>
      </c>
      <c r="E93" t="s">
        <v>2230</v>
      </c>
    </row>
    <row r="94" spans="1:5" x14ac:dyDescent="0.25">
      <c r="A94" s="15" t="s">
        <v>235</v>
      </c>
      <c r="C94" t="s">
        <v>577</v>
      </c>
      <c r="D94" t="s">
        <v>1520</v>
      </c>
      <c r="E94" t="s">
        <v>2232</v>
      </c>
    </row>
    <row r="95" spans="1:5" x14ac:dyDescent="0.25">
      <c r="A95" s="15" t="s">
        <v>32</v>
      </c>
      <c r="C95" t="s">
        <v>580</v>
      </c>
      <c r="D95" t="s">
        <v>1522</v>
      </c>
      <c r="E95" t="s">
        <v>2235</v>
      </c>
    </row>
    <row r="96" spans="1:5" x14ac:dyDescent="0.25">
      <c r="A96" s="15" t="s">
        <v>54</v>
      </c>
      <c r="C96" t="s">
        <v>583</v>
      </c>
      <c r="D96" t="s">
        <v>1524</v>
      </c>
      <c r="E96" t="s">
        <v>2237</v>
      </c>
    </row>
    <row r="97" spans="1:5" x14ac:dyDescent="0.25">
      <c r="A97" s="15" t="s">
        <v>93</v>
      </c>
      <c r="C97" t="s">
        <v>585</v>
      </c>
      <c r="D97" t="s">
        <v>1526</v>
      </c>
      <c r="E97" t="s">
        <v>2239</v>
      </c>
    </row>
    <row r="98" spans="1:5" x14ac:dyDescent="0.25">
      <c r="A98" s="15" t="s">
        <v>258</v>
      </c>
      <c r="C98" t="s">
        <v>645</v>
      </c>
      <c r="D98" t="s">
        <v>1528</v>
      </c>
      <c r="E98" t="s">
        <v>2241</v>
      </c>
    </row>
    <row r="99" spans="1:5" x14ac:dyDescent="0.25">
      <c r="A99" s="17" t="s">
        <v>184</v>
      </c>
      <c r="C99" t="s">
        <v>582</v>
      </c>
      <c r="D99" t="s">
        <v>1530</v>
      </c>
      <c r="E99" t="s">
        <v>2245</v>
      </c>
    </row>
    <row r="100" spans="1:5" x14ac:dyDescent="0.25">
      <c r="A100" s="15" t="s">
        <v>373</v>
      </c>
      <c r="C100" t="s">
        <v>586</v>
      </c>
      <c r="D100" t="s">
        <v>1533</v>
      </c>
      <c r="E100" t="s">
        <v>2247</v>
      </c>
    </row>
    <row r="101" spans="1:5" x14ac:dyDescent="0.25">
      <c r="A101" s="15" t="s">
        <v>33</v>
      </c>
      <c r="C101" t="s">
        <v>587</v>
      </c>
      <c r="D101" t="s">
        <v>1535</v>
      </c>
      <c r="E101" t="s">
        <v>2249</v>
      </c>
    </row>
    <row r="102" spans="1:5" x14ac:dyDescent="0.25">
      <c r="A102" s="15" t="s">
        <v>329</v>
      </c>
      <c r="C102" t="s">
        <v>602</v>
      </c>
      <c r="D102" t="s">
        <v>428</v>
      </c>
      <c r="E102" t="s">
        <v>2251</v>
      </c>
    </row>
    <row r="103" spans="1:5" x14ac:dyDescent="0.25">
      <c r="A103" s="15" t="s">
        <v>97</v>
      </c>
      <c r="C103" t="s">
        <v>588</v>
      </c>
      <c r="D103" t="s">
        <v>1539</v>
      </c>
      <c r="E103" t="s">
        <v>2254</v>
      </c>
    </row>
    <row r="104" spans="1:5" x14ac:dyDescent="0.25">
      <c r="A104" s="15" t="s">
        <v>98</v>
      </c>
      <c r="C104" t="s">
        <v>589</v>
      </c>
      <c r="D104" t="s">
        <v>1542</v>
      </c>
      <c r="E104" t="s">
        <v>2256</v>
      </c>
    </row>
    <row r="105" spans="1:5" x14ac:dyDescent="0.25">
      <c r="A105" s="15" t="s">
        <v>391</v>
      </c>
      <c r="C105" t="s">
        <v>591</v>
      </c>
      <c r="D105" t="s">
        <v>1545</v>
      </c>
      <c r="E105" t="s">
        <v>2258</v>
      </c>
    </row>
    <row r="106" spans="1:5" x14ac:dyDescent="0.25">
      <c r="A106" s="15" t="s">
        <v>99</v>
      </c>
      <c r="C106" t="s">
        <v>593</v>
      </c>
      <c r="D106" t="s">
        <v>1547</v>
      </c>
      <c r="E106" t="s">
        <v>2260</v>
      </c>
    </row>
    <row r="107" spans="1:5" x14ac:dyDescent="0.25">
      <c r="A107" s="15" t="s">
        <v>248</v>
      </c>
      <c r="C107" t="s">
        <v>599</v>
      </c>
      <c r="D107" t="s">
        <v>1550</v>
      </c>
      <c r="E107" t="s">
        <v>2262</v>
      </c>
    </row>
    <row r="108" spans="1:5" x14ac:dyDescent="0.25">
      <c r="A108" s="15" t="s">
        <v>282</v>
      </c>
      <c r="C108" t="s">
        <v>597</v>
      </c>
      <c r="D108" t="s">
        <v>1552</v>
      </c>
      <c r="E108" t="s">
        <v>2264</v>
      </c>
    </row>
    <row r="109" spans="1:5" x14ac:dyDescent="0.25">
      <c r="A109" s="15" t="s">
        <v>100</v>
      </c>
      <c r="C109" t="s">
        <v>604</v>
      </c>
      <c r="D109" t="s">
        <v>1554</v>
      </c>
      <c r="E109" t="s">
        <v>2266</v>
      </c>
    </row>
    <row r="110" spans="1:5" x14ac:dyDescent="0.25">
      <c r="A110" s="15" t="s">
        <v>283</v>
      </c>
      <c r="C110" t="s">
        <v>605</v>
      </c>
      <c r="D110" t="s">
        <v>1556</v>
      </c>
      <c r="E110" t="s">
        <v>2268</v>
      </c>
    </row>
    <row r="111" spans="1:5" x14ac:dyDescent="0.25">
      <c r="A111" s="15" t="s">
        <v>38</v>
      </c>
      <c r="C111" t="s">
        <v>606</v>
      </c>
      <c r="D111" t="s">
        <v>1558</v>
      </c>
      <c r="E111" t="s">
        <v>2270</v>
      </c>
    </row>
    <row r="112" spans="1:5" x14ac:dyDescent="0.25">
      <c r="A112" s="17" t="s">
        <v>220</v>
      </c>
      <c r="C112" t="s">
        <v>617</v>
      </c>
      <c r="D112" t="s">
        <v>1560</v>
      </c>
      <c r="E112" t="s">
        <v>2272</v>
      </c>
    </row>
    <row r="113" spans="1:5" x14ac:dyDescent="0.25">
      <c r="A113" s="17" t="s">
        <v>221</v>
      </c>
      <c r="C113" t="s">
        <v>608</v>
      </c>
      <c r="D113" t="s">
        <v>1563</v>
      </c>
      <c r="E113" t="s">
        <v>2274</v>
      </c>
    </row>
    <row r="114" spans="1:5" x14ac:dyDescent="0.25">
      <c r="A114" s="15" t="s">
        <v>285</v>
      </c>
      <c r="C114" t="s">
        <v>607</v>
      </c>
      <c r="D114" t="s">
        <v>1565</v>
      </c>
      <c r="E114" t="s">
        <v>2276</v>
      </c>
    </row>
    <row r="115" spans="1:5" x14ac:dyDescent="0.25">
      <c r="A115" s="15" t="s">
        <v>356</v>
      </c>
      <c r="C115" t="s">
        <v>623</v>
      </c>
      <c r="D115" t="s">
        <v>1570</v>
      </c>
      <c r="E115" t="s">
        <v>2278</v>
      </c>
    </row>
    <row r="116" spans="1:5" x14ac:dyDescent="0.25">
      <c r="A116" s="15" t="s">
        <v>27</v>
      </c>
      <c r="C116" t="s">
        <v>611</v>
      </c>
      <c r="D116" t="s">
        <v>1573</v>
      </c>
      <c r="E116" t="s">
        <v>2280</v>
      </c>
    </row>
    <row r="117" spans="1:5" x14ac:dyDescent="0.25">
      <c r="A117" s="16" t="s">
        <v>102</v>
      </c>
      <c r="C117" t="s">
        <v>612</v>
      </c>
      <c r="D117" t="s">
        <v>1575</v>
      </c>
      <c r="E117" t="s">
        <v>2283</v>
      </c>
    </row>
    <row r="118" spans="1:5" x14ac:dyDescent="0.25">
      <c r="A118" s="15" t="s">
        <v>103</v>
      </c>
      <c r="C118" t="s">
        <v>610</v>
      </c>
      <c r="D118" t="s">
        <v>1577</v>
      </c>
      <c r="E118" t="s">
        <v>2285</v>
      </c>
    </row>
    <row r="119" spans="1:5" x14ac:dyDescent="0.25">
      <c r="A119" s="15" t="s">
        <v>104</v>
      </c>
      <c r="C119" t="s">
        <v>767</v>
      </c>
      <c r="D119" t="s">
        <v>1580</v>
      </c>
      <c r="E119" t="s">
        <v>2287</v>
      </c>
    </row>
    <row r="120" spans="1:5" x14ac:dyDescent="0.25">
      <c r="A120" s="15" t="s">
        <v>168</v>
      </c>
      <c r="C120" t="s">
        <v>629</v>
      </c>
      <c r="D120" t="s">
        <v>1582</v>
      </c>
      <c r="E120" t="s">
        <v>2289</v>
      </c>
    </row>
    <row r="121" spans="1:5" x14ac:dyDescent="0.25">
      <c r="A121" s="15" t="s">
        <v>58</v>
      </c>
      <c r="C121" t="s">
        <v>615</v>
      </c>
      <c r="D121" t="s">
        <v>1584</v>
      </c>
      <c r="E121" t="s">
        <v>2291</v>
      </c>
    </row>
    <row r="122" spans="1:5" x14ac:dyDescent="0.25">
      <c r="A122" s="15" t="s">
        <v>170</v>
      </c>
      <c r="C122" t="s">
        <v>632</v>
      </c>
      <c r="D122" t="s">
        <v>1586</v>
      </c>
      <c r="E122" t="s">
        <v>2293</v>
      </c>
    </row>
    <row r="123" spans="1:5" x14ac:dyDescent="0.25">
      <c r="A123" s="15" t="s">
        <v>383</v>
      </c>
      <c r="C123" t="s">
        <v>618</v>
      </c>
      <c r="D123" t="s">
        <v>1588</v>
      </c>
      <c r="E123" t="s">
        <v>2295</v>
      </c>
    </row>
    <row r="124" spans="1:5" x14ac:dyDescent="0.25">
      <c r="A124" s="17" t="s">
        <v>187</v>
      </c>
      <c r="C124" t="s">
        <v>613</v>
      </c>
      <c r="D124" t="s">
        <v>1591</v>
      </c>
      <c r="E124" t="s">
        <v>2298</v>
      </c>
    </row>
    <row r="125" spans="1:5" x14ac:dyDescent="0.25">
      <c r="A125" s="15" t="s">
        <v>67</v>
      </c>
      <c r="C125" t="s">
        <v>644</v>
      </c>
      <c r="D125" t="s">
        <v>1593</v>
      </c>
      <c r="E125" t="s">
        <v>2300</v>
      </c>
    </row>
    <row r="126" spans="1:5" x14ac:dyDescent="0.25">
      <c r="A126" s="15" t="s">
        <v>105</v>
      </c>
      <c r="C126" t="s">
        <v>621</v>
      </c>
      <c r="D126" t="s">
        <v>1595</v>
      </c>
      <c r="E126" t="s">
        <v>2302</v>
      </c>
    </row>
    <row r="127" spans="1:5" x14ac:dyDescent="0.25">
      <c r="A127" s="15" t="s">
        <v>289</v>
      </c>
      <c r="C127" t="s">
        <v>624</v>
      </c>
      <c r="D127" t="s">
        <v>1597</v>
      </c>
      <c r="E127" t="s">
        <v>421</v>
      </c>
    </row>
    <row r="128" spans="1:5" x14ac:dyDescent="0.25">
      <c r="A128" s="15" t="s">
        <v>35</v>
      </c>
      <c r="C128" t="s">
        <v>657</v>
      </c>
      <c r="D128" t="s">
        <v>1601</v>
      </c>
      <c r="E128" t="s">
        <v>2305</v>
      </c>
    </row>
    <row r="129" spans="1:5" x14ac:dyDescent="0.25">
      <c r="A129" s="18" t="s">
        <v>107</v>
      </c>
      <c r="C129" t="s">
        <v>626</v>
      </c>
      <c r="D129" t="s">
        <v>1603</v>
      </c>
      <c r="E129" t="s">
        <v>2307</v>
      </c>
    </row>
    <row r="130" spans="1:5" x14ac:dyDescent="0.25">
      <c r="A130" s="15" t="s">
        <v>291</v>
      </c>
      <c r="C130" t="s">
        <v>627</v>
      </c>
      <c r="D130" t="s">
        <v>1605</v>
      </c>
      <c r="E130" t="s">
        <v>2309</v>
      </c>
    </row>
    <row r="131" spans="1:5" x14ac:dyDescent="0.25">
      <c r="A131" s="15" t="s">
        <v>172</v>
      </c>
      <c r="C131" t="s">
        <v>631</v>
      </c>
      <c r="D131" t="s">
        <v>1607</v>
      </c>
      <c r="E131" t="s">
        <v>2311</v>
      </c>
    </row>
    <row r="132" spans="1:5" x14ac:dyDescent="0.25">
      <c r="A132" s="15" t="s">
        <v>394</v>
      </c>
      <c r="C132" t="s">
        <v>670</v>
      </c>
      <c r="D132" t="s">
        <v>1609</v>
      </c>
      <c r="E132" t="s">
        <v>2313</v>
      </c>
    </row>
    <row r="133" spans="1:5" x14ac:dyDescent="0.25">
      <c r="A133" s="17" t="s">
        <v>398</v>
      </c>
      <c r="C133" t="s">
        <v>634</v>
      </c>
      <c r="D133" t="s">
        <v>1612</v>
      </c>
      <c r="E133" t="s">
        <v>2315</v>
      </c>
    </row>
    <row r="134" spans="1:5" x14ac:dyDescent="0.25">
      <c r="A134" s="15" t="s">
        <v>252</v>
      </c>
      <c r="C134" t="s">
        <v>637</v>
      </c>
      <c r="D134" t="s">
        <v>1614</v>
      </c>
      <c r="E134" t="s">
        <v>2317</v>
      </c>
    </row>
    <row r="135" spans="1:5" x14ac:dyDescent="0.25">
      <c r="A135" s="15" t="s">
        <v>111</v>
      </c>
      <c r="C135" t="s">
        <v>635</v>
      </c>
      <c r="D135" t="s">
        <v>1616</v>
      </c>
      <c r="E135" t="s">
        <v>2320</v>
      </c>
    </row>
    <row r="136" spans="1:5" x14ac:dyDescent="0.25">
      <c r="A136" s="15" t="s">
        <v>173</v>
      </c>
      <c r="C136" t="s">
        <v>638</v>
      </c>
      <c r="D136" t="s">
        <v>1619</v>
      </c>
      <c r="E136" t="s">
        <v>2323</v>
      </c>
    </row>
    <row r="137" spans="1:5" x14ac:dyDescent="0.25">
      <c r="A137" s="15" t="s">
        <v>351</v>
      </c>
      <c r="C137" t="s">
        <v>639</v>
      </c>
      <c r="D137" t="s">
        <v>1621</v>
      </c>
      <c r="E137" t="s">
        <v>2325</v>
      </c>
    </row>
    <row r="138" spans="1:5" x14ac:dyDescent="0.25">
      <c r="A138" s="16" t="s">
        <v>78</v>
      </c>
      <c r="C138" t="s">
        <v>641</v>
      </c>
      <c r="D138" t="s">
        <v>1623</v>
      </c>
      <c r="E138" t="s">
        <v>2327</v>
      </c>
    </row>
    <row r="139" spans="1:5" x14ac:dyDescent="0.25">
      <c r="A139" s="15" t="s">
        <v>213</v>
      </c>
      <c r="C139" t="s">
        <v>647</v>
      </c>
      <c r="D139" t="s">
        <v>1625</v>
      </c>
      <c r="E139" t="s">
        <v>2329</v>
      </c>
    </row>
    <row r="140" spans="1:5" x14ac:dyDescent="0.25">
      <c r="A140" s="15" t="s">
        <v>257</v>
      </c>
      <c r="C140" t="s">
        <v>579</v>
      </c>
      <c r="D140" t="s">
        <v>1627</v>
      </c>
      <c r="E140" t="s">
        <v>2331</v>
      </c>
    </row>
    <row r="141" spans="1:5" x14ac:dyDescent="0.25">
      <c r="A141" s="15" t="s">
        <v>393</v>
      </c>
      <c r="C141" t="s">
        <v>771</v>
      </c>
      <c r="D141" t="s">
        <v>1629</v>
      </c>
      <c r="E141" t="s">
        <v>2333</v>
      </c>
    </row>
    <row r="142" spans="1:5" x14ac:dyDescent="0.25">
      <c r="A142" s="15" t="s">
        <v>112</v>
      </c>
      <c r="C142" t="s">
        <v>672</v>
      </c>
      <c r="D142" t="s">
        <v>1631</v>
      </c>
      <c r="E142" t="s">
        <v>2335</v>
      </c>
    </row>
    <row r="143" spans="1:5" x14ac:dyDescent="0.25">
      <c r="A143" s="15" t="s">
        <v>50</v>
      </c>
      <c r="C143" t="s">
        <v>703</v>
      </c>
      <c r="D143" t="s">
        <v>1633</v>
      </c>
      <c r="E143" t="s">
        <v>2337</v>
      </c>
    </row>
    <row r="144" spans="1:5" x14ac:dyDescent="0.25">
      <c r="A144" s="15" t="s">
        <v>253</v>
      </c>
      <c r="C144" t="s">
        <v>648</v>
      </c>
      <c r="D144" t="s">
        <v>1636</v>
      </c>
      <c r="E144" t="s">
        <v>2339</v>
      </c>
    </row>
    <row r="145" spans="1:5" x14ac:dyDescent="0.25">
      <c r="A145" s="15" t="s">
        <v>424</v>
      </c>
      <c r="C145" t="s">
        <v>646</v>
      </c>
      <c r="D145" t="s">
        <v>1639</v>
      </c>
      <c r="E145" t="s">
        <v>2341</v>
      </c>
    </row>
    <row r="146" spans="1:5" x14ac:dyDescent="0.25">
      <c r="A146" s="17" t="s">
        <v>191</v>
      </c>
      <c r="C146" t="s">
        <v>649</v>
      </c>
      <c r="D146" t="s">
        <v>1641</v>
      </c>
      <c r="E146" t="s">
        <v>2343</v>
      </c>
    </row>
    <row r="147" spans="1:5" x14ac:dyDescent="0.25">
      <c r="A147" s="15" t="s">
        <v>182</v>
      </c>
      <c r="C147" t="s">
        <v>654</v>
      </c>
      <c r="D147" t="s">
        <v>1643</v>
      </c>
      <c r="E147" t="s">
        <v>2345</v>
      </c>
    </row>
    <row r="148" spans="1:5" x14ac:dyDescent="0.25">
      <c r="A148" s="15" t="s">
        <v>59</v>
      </c>
      <c r="C148" t="s">
        <v>743</v>
      </c>
      <c r="D148" t="s">
        <v>1645</v>
      </c>
      <c r="E148" t="s">
        <v>2347</v>
      </c>
    </row>
    <row r="149" spans="1:5" x14ac:dyDescent="0.25">
      <c r="A149" s="15" t="s">
        <v>227</v>
      </c>
      <c r="C149" t="s">
        <v>650</v>
      </c>
      <c r="D149" t="s">
        <v>1647</v>
      </c>
      <c r="E149" t="s">
        <v>2349</v>
      </c>
    </row>
    <row r="150" spans="1:5" x14ac:dyDescent="0.25">
      <c r="A150" s="15" t="s">
        <v>237</v>
      </c>
      <c r="C150" t="s">
        <v>681</v>
      </c>
      <c r="D150" t="s">
        <v>1649</v>
      </c>
      <c r="E150" t="s">
        <v>2351</v>
      </c>
    </row>
    <row r="151" spans="1:5" x14ac:dyDescent="0.25">
      <c r="A151" s="18" t="s">
        <v>117</v>
      </c>
      <c r="C151" t="s">
        <v>651</v>
      </c>
      <c r="D151" t="s">
        <v>1651</v>
      </c>
      <c r="E151" t="s">
        <v>2353</v>
      </c>
    </row>
    <row r="152" spans="1:5" x14ac:dyDescent="0.25">
      <c r="A152" s="18" t="s">
        <v>118</v>
      </c>
      <c r="C152" t="s">
        <v>652</v>
      </c>
      <c r="D152" t="s">
        <v>436</v>
      </c>
      <c r="E152" t="s">
        <v>2355</v>
      </c>
    </row>
    <row r="153" spans="1:5" x14ac:dyDescent="0.25">
      <c r="A153" s="15" t="s">
        <v>42</v>
      </c>
      <c r="C153" t="s">
        <v>765</v>
      </c>
      <c r="D153" t="s">
        <v>1654</v>
      </c>
      <c r="E153" t="s">
        <v>2358</v>
      </c>
    </row>
    <row r="154" spans="1:5" x14ac:dyDescent="0.25">
      <c r="A154" s="15" t="s">
        <v>176</v>
      </c>
      <c r="C154" t="s">
        <v>695</v>
      </c>
      <c r="D154" t="s">
        <v>1657</v>
      </c>
      <c r="E154" t="s">
        <v>2361</v>
      </c>
    </row>
    <row r="155" spans="1:5" x14ac:dyDescent="0.25">
      <c r="A155" s="15" t="s">
        <v>119</v>
      </c>
      <c r="C155" t="s">
        <v>653</v>
      </c>
      <c r="D155" t="s">
        <v>1659</v>
      </c>
      <c r="E155" t="s">
        <v>2363</v>
      </c>
    </row>
    <row r="156" spans="1:5" x14ac:dyDescent="0.25">
      <c r="A156" s="15" t="s">
        <v>19</v>
      </c>
      <c r="C156" t="s">
        <v>656</v>
      </c>
      <c r="D156" t="s">
        <v>1661</v>
      </c>
      <c r="E156" t="s">
        <v>2365</v>
      </c>
    </row>
    <row r="157" spans="1:5" x14ac:dyDescent="0.25">
      <c r="A157" s="15" t="s">
        <v>238</v>
      </c>
      <c r="C157" t="s">
        <v>671</v>
      </c>
      <c r="D157" t="s">
        <v>1663</v>
      </c>
      <c r="E157" t="s">
        <v>2367</v>
      </c>
    </row>
    <row r="158" spans="1:5" x14ac:dyDescent="0.25">
      <c r="A158" s="15" t="s">
        <v>40</v>
      </c>
      <c r="C158" t="s">
        <v>678</v>
      </c>
      <c r="D158" t="s">
        <v>1665</v>
      </c>
      <c r="E158" t="s">
        <v>2370</v>
      </c>
    </row>
    <row r="159" spans="1:5" x14ac:dyDescent="0.25">
      <c r="A159" s="15" t="s">
        <v>22</v>
      </c>
      <c r="C159" t="s">
        <v>659</v>
      </c>
      <c r="D159" t="s">
        <v>1667</v>
      </c>
      <c r="E159" t="s">
        <v>2372</v>
      </c>
    </row>
    <row r="160" spans="1:5" x14ac:dyDescent="0.25">
      <c r="A160" s="16" t="s">
        <v>79</v>
      </c>
      <c r="C160" t="s">
        <v>661</v>
      </c>
      <c r="D160" t="s">
        <v>1670</v>
      </c>
      <c r="E160" t="s">
        <v>2374</v>
      </c>
    </row>
    <row r="161" spans="1:5" x14ac:dyDescent="0.25">
      <c r="A161" s="1" t="s">
        <v>18</v>
      </c>
      <c r="C161" t="s">
        <v>664</v>
      </c>
      <c r="D161" t="s">
        <v>1673</v>
      </c>
      <c r="E161" t="s">
        <v>2377</v>
      </c>
    </row>
    <row r="162" spans="1:5" x14ac:dyDescent="0.25">
      <c r="A162" s="13" t="s">
        <v>194</v>
      </c>
      <c r="C162" t="s">
        <v>667</v>
      </c>
      <c r="D162" t="s">
        <v>1676</v>
      </c>
      <c r="E162" t="s">
        <v>2379</v>
      </c>
    </row>
    <row r="163" spans="1:5" x14ac:dyDescent="0.25">
      <c r="A163" s="1" t="s">
        <v>239</v>
      </c>
      <c r="C163" t="s">
        <v>663</v>
      </c>
      <c r="D163" t="s">
        <v>1678</v>
      </c>
      <c r="E163" t="s">
        <v>2381</v>
      </c>
    </row>
    <row r="164" spans="1:5" x14ac:dyDescent="0.25">
      <c r="A164" s="1" t="s">
        <v>266</v>
      </c>
      <c r="C164" t="s">
        <v>691</v>
      </c>
      <c r="D164" t="s">
        <v>1680</v>
      </c>
      <c r="E164" t="s">
        <v>2383</v>
      </c>
    </row>
    <row r="165" spans="1:5" x14ac:dyDescent="0.25">
      <c r="A165" s="1" t="s">
        <v>336</v>
      </c>
      <c r="C165" t="s">
        <v>668</v>
      </c>
      <c r="D165" t="s">
        <v>1682</v>
      </c>
      <c r="E165" t="s">
        <v>2385</v>
      </c>
    </row>
    <row r="166" spans="1:5" x14ac:dyDescent="0.25">
      <c r="A166" s="1" t="s">
        <v>125</v>
      </c>
      <c r="C166" t="s">
        <v>669</v>
      </c>
      <c r="D166" t="s">
        <v>1684</v>
      </c>
      <c r="E166" t="s">
        <v>2387</v>
      </c>
    </row>
    <row r="167" spans="1:5" x14ac:dyDescent="0.25">
      <c r="A167" s="1" t="s">
        <v>126</v>
      </c>
      <c r="C167" t="s">
        <v>673</v>
      </c>
      <c r="D167" t="s">
        <v>1686</v>
      </c>
      <c r="E167" t="s">
        <v>2389</v>
      </c>
    </row>
    <row r="168" spans="1:5" x14ac:dyDescent="0.25">
      <c r="A168" s="1" t="s">
        <v>80</v>
      </c>
      <c r="C168" t="s">
        <v>675</v>
      </c>
      <c r="D168" t="s">
        <v>1688</v>
      </c>
      <c r="E168" t="s">
        <v>2391</v>
      </c>
    </row>
    <row r="169" spans="1:5" x14ac:dyDescent="0.25">
      <c r="A169" s="1" t="s">
        <v>384</v>
      </c>
      <c r="C169" t="s">
        <v>677</v>
      </c>
      <c r="D169" t="s">
        <v>1690</v>
      </c>
      <c r="E169" t="s">
        <v>2393</v>
      </c>
    </row>
    <row r="170" spans="1:5" x14ac:dyDescent="0.25">
      <c r="A170" s="1" t="s">
        <v>413</v>
      </c>
      <c r="C170" t="s">
        <v>698</v>
      </c>
      <c r="D170" t="s">
        <v>1692</v>
      </c>
      <c r="E170" t="s">
        <v>2395</v>
      </c>
    </row>
    <row r="171" spans="1:5" x14ac:dyDescent="0.25">
      <c r="A171" s="1" t="s">
        <v>44</v>
      </c>
      <c r="C171" t="s">
        <v>676</v>
      </c>
      <c r="D171" t="s">
        <v>1694</v>
      </c>
      <c r="E171" t="s">
        <v>2397</v>
      </c>
    </row>
    <row r="172" spans="1:5" x14ac:dyDescent="0.25">
      <c r="A172" s="1" t="s">
        <v>380</v>
      </c>
      <c r="C172" t="s">
        <v>679</v>
      </c>
      <c r="D172" t="s">
        <v>1696</v>
      </c>
      <c r="E172" t="s">
        <v>2399</v>
      </c>
    </row>
    <row r="173" spans="1:5" x14ac:dyDescent="0.25">
      <c r="A173" s="12" t="s">
        <v>82</v>
      </c>
      <c r="C173" t="s">
        <v>682</v>
      </c>
      <c r="D173" t="s">
        <v>1698</v>
      </c>
      <c r="E173" t="s">
        <v>2401</v>
      </c>
    </row>
    <row r="174" spans="1:5" x14ac:dyDescent="0.25">
      <c r="A174" s="1" t="s">
        <v>129</v>
      </c>
      <c r="C174" t="s">
        <v>683</v>
      </c>
      <c r="D174" t="s">
        <v>1700</v>
      </c>
      <c r="E174" t="s">
        <v>2403</v>
      </c>
    </row>
    <row r="175" spans="1:5" x14ac:dyDescent="0.25">
      <c r="A175" s="1" t="s">
        <v>60</v>
      </c>
      <c r="C175" t="s">
        <v>680</v>
      </c>
      <c r="D175" t="s">
        <v>1703</v>
      </c>
      <c r="E175" t="s">
        <v>2405</v>
      </c>
    </row>
    <row r="176" spans="1:5" x14ac:dyDescent="0.25">
      <c r="A176" s="1" t="s">
        <v>41</v>
      </c>
      <c r="C176" t="s">
        <v>684</v>
      </c>
      <c r="D176" t="s">
        <v>1705</v>
      </c>
      <c r="E176" t="s">
        <v>2408</v>
      </c>
    </row>
    <row r="177" spans="1:5" x14ac:dyDescent="0.25">
      <c r="A177" s="1" t="s">
        <v>363</v>
      </c>
      <c r="C177" t="s">
        <v>737</v>
      </c>
      <c r="D177" t="s">
        <v>1707</v>
      </c>
      <c r="E177" t="s">
        <v>2410</v>
      </c>
    </row>
    <row r="178" spans="1:5" x14ac:dyDescent="0.25">
      <c r="A178" s="15" t="s">
        <v>48</v>
      </c>
      <c r="C178" t="s">
        <v>685</v>
      </c>
      <c r="D178" t="s">
        <v>1710</v>
      </c>
      <c r="E178" t="s">
        <v>2412</v>
      </c>
    </row>
    <row r="179" spans="1:5" x14ac:dyDescent="0.25">
      <c r="A179" s="15" t="s">
        <v>84</v>
      </c>
      <c r="C179" t="s">
        <v>688</v>
      </c>
      <c r="D179" t="s">
        <v>1716</v>
      </c>
      <c r="E179" t="s">
        <v>2414</v>
      </c>
    </row>
    <row r="180" spans="1:5" x14ac:dyDescent="0.25">
      <c r="A180" s="15" t="s">
        <v>338</v>
      </c>
      <c r="C180" t="s">
        <v>730</v>
      </c>
      <c r="D180" t="s">
        <v>1718</v>
      </c>
      <c r="E180" t="s">
        <v>2416</v>
      </c>
    </row>
    <row r="181" spans="1:5" x14ac:dyDescent="0.25">
      <c r="A181" s="15" t="s">
        <v>308</v>
      </c>
      <c r="C181" t="s">
        <v>689</v>
      </c>
      <c r="D181" t="s">
        <v>1720</v>
      </c>
      <c r="E181" t="s">
        <v>2418</v>
      </c>
    </row>
    <row r="182" spans="1:5" x14ac:dyDescent="0.25">
      <c r="A182" s="15" t="s">
        <v>385</v>
      </c>
      <c r="C182" t="s">
        <v>692</v>
      </c>
      <c r="D182" t="s">
        <v>1722</v>
      </c>
      <c r="E182" t="s">
        <v>2420</v>
      </c>
    </row>
    <row r="183" spans="1:5" x14ac:dyDescent="0.25">
      <c r="A183" s="15" t="s">
        <v>23</v>
      </c>
      <c r="C183" t="s">
        <v>723</v>
      </c>
      <c r="D183" t="s">
        <v>1724</v>
      </c>
      <c r="E183" t="s">
        <v>2422</v>
      </c>
    </row>
    <row r="184" spans="1:5" x14ac:dyDescent="0.25">
      <c r="A184" s="15" t="s">
        <v>12</v>
      </c>
      <c r="C184" t="s">
        <v>693</v>
      </c>
      <c r="D184" t="s">
        <v>1727</v>
      </c>
      <c r="E184" t="s">
        <v>2424</v>
      </c>
    </row>
    <row r="185" spans="1:5" x14ac:dyDescent="0.25">
      <c r="A185" s="1" t="s">
        <v>21</v>
      </c>
      <c r="C185" t="s">
        <v>837</v>
      </c>
      <c r="D185" t="s">
        <v>1729</v>
      </c>
      <c r="E185" t="s">
        <v>2426</v>
      </c>
    </row>
    <row r="186" spans="1:5" x14ac:dyDescent="0.25">
      <c r="A186" s="15" t="s">
        <v>17</v>
      </c>
      <c r="C186" t="s">
        <v>694</v>
      </c>
      <c r="D186" t="s">
        <v>1731</v>
      </c>
      <c r="E186" t="s">
        <v>2429</v>
      </c>
    </row>
    <row r="187" spans="1:5" x14ac:dyDescent="0.25">
      <c r="A187" s="17" t="s">
        <v>215</v>
      </c>
      <c r="C187" t="s">
        <v>696</v>
      </c>
      <c r="D187" t="s">
        <v>1733</v>
      </c>
      <c r="E187" t="s">
        <v>2432</v>
      </c>
    </row>
    <row r="188" spans="1:5" x14ac:dyDescent="0.25">
      <c r="A188" s="1" t="s">
        <v>243</v>
      </c>
      <c r="C188" t="s">
        <v>701</v>
      </c>
      <c r="D188" t="s">
        <v>1735</v>
      </c>
      <c r="E188" t="s">
        <v>2434</v>
      </c>
    </row>
    <row r="189" spans="1:5" x14ac:dyDescent="0.25">
      <c r="A189" s="19" t="s">
        <v>256</v>
      </c>
      <c r="C189" t="s">
        <v>697</v>
      </c>
      <c r="D189" t="s">
        <v>1737</v>
      </c>
      <c r="E189" t="s">
        <v>2437</v>
      </c>
    </row>
    <row r="190" spans="1:5" x14ac:dyDescent="0.25">
      <c r="A190" s="17" t="s">
        <v>196</v>
      </c>
      <c r="C190" t="s">
        <v>712</v>
      </c>
      <c r="D190" t="s">
        <v>1740</v>
      </c>
      <c r="E190" t="s">
        <v>2439</v>
      </c>
    </row>
    <row r="191" spans="1:5" x14ac:dyDescent="0.25">
      <c r="A191" s="15" t="s">
        <v>340</v>
      </c>
      <c r="C191" t="s">
        <v>699</v>
      </c>
      <c r="D191" t="s">
        <v>1742</v>
      </c>
      <c r="E191" t="s">
        <v>2441</v>
      </c>
    </row>
    <row r="192" spans="1:5" x14ac:dyDescent="0.25">
      <c r="A192" s="17" t="s">
        <v>198</v>
      </c>
      <c r="C192" t="s">
        <v>700</v>
      </c>
      <c r="D192" t="s">
        <v>1745</v>
      </c>
      <c r="E192" t="s">
        <v>2443</v>
      </c>
    </row>
    <row r="193" spans="1:5" x14ac:dyDescent="0.25">
      <c r="A193" s="15" t="s">
        <v>36</v>
      </c>
      <c r="C193" t="s">
        <v>704</v>
      </c>
      <c r="D193" t="s">
        <v>1747</v>
      </c>
      <c r="E193" t="s">
        <v>2446</v>
      </c>
    </row>
    <row r="194" spans="1:5" x14ac:dyDescent="0.25">
      <c r="A194" s="15" t="s">
        <v>230</v>
      </c>
      <c r="C194" t="s">
        <v>706</v>
      </c>
      <c r="D194" t="s">
        <v>1749</v>
      </c>
      <c r="E194" t="s">
        <v>2448</v>
      </c>
    </row>
    <row r="195" spans="1:5" x14ac:dyDescent="0.25">
      <c r="A195" s="15" t="s">
        <v>136</v>
      </c>
      <c r="C195" t="s">
        <v>702</v>
      </c>
      <c r="D195" t="s">
        <v>1752</v>
      </c>
      <c r="E195" t="s">
        <v>2450</v>
      </c>
    </row>
    <row r="196" spans="1:5" x14ac:dyDescent="0.25">
      <c r="A196" s="15" t="s">
        <v>432</v>
      </c>
      <c r="C196" t="s">
        <v>705</v>
      </c>
      <c r="D196" t="s">
        <v>1754</v>
      </c>
      <c r="E196" t="s">
        <v>2452</v>
      </c>
    </row>
    <row r="197" spans="1:5" x14ac:dyDescent="0.25">
      <c r="A197" s="15" t="s">
        <v>30</v>
      </c>
      <c r="C197" t="s">
        <v>718</v>
      </c>
      <c r="D197" t="s">
        <v>1756</v>
      </c>
      <c r="E197" t="s">
        <v>2454</v>
      </c>
    </row>
    <row r="198" spans="1:5" x14ac:dyDescent="0.25">
      <c r="A198" s="19" t="s">
        <v>225</v>
      </c>
      <c r="C198" t="s">
        <v>710</v>
      </c>
      <c r="D198" t="s">
        <v>1758</v>
      </c>
      <c r="E198" t="s">
        <v>2456</v>
      </c>
    </row>
    <row r="199" spans="1:5" x14ac:dyDescent="0.25">
      <c r="A199" s="1" t="s">
        <v>140</v>
      </c>
      <c r="C199" t="s">
        <v>708</v>
      </c>
      <c r="D199" t="s">
        <v>1760</v>
      </c>
      <c r="E199" t="s">
        <v>2458</v>
      </c>
    </row>
    <row r="200" spans="1:5" x14ac:dyDescent="0.25">
      <c r="A200" s="1" t="s">
        <v>247</v>
      </c>
      <c r="C200" t="s">
        <v>709</v>
      </c>
      <c r="D200" t="s">
        <v>1762</v>
      </c>
      <c r="E200" t="s">
        <v>2461</v>
      </c>
    </row>
    <row r="201" spans="1:5" x14ac:dyDescent="0.25">
      <c r="A201" s="1" t="s">
        <v>55</v>
      </c>
      <c r="C201" t="s">
        <v>721</v>
      </c>
      <c r="D201" t="s">
        <v>1765</v>
      </c>
      <c r="E201" t="s">
        <v>2463</v>
      </c>
    </row>
    <row r="202" spans="1:5" x14ac:dyDescent="0.25">
      <c r="A202" s="1" t="s">
        <v>322</v>
      </c>
      <c r="C202" t="s">
        <v>711</v>
      </c>
      <c r="D202" t="s">
        <v>1767</v>
      </c>
      <c r="E202" t="s">
        <v>2465</v>
      </c>
    </row>
    <row r="203" spans="1:5" x14ac:dyDescent="0.25">
      <c r="A203" s="1" t="s">
        <v>49</v>
      </c>
      <c r="C203" t="s">
        <v>727</v>
      </c>
      <c r="D203" t="s">
        <v>1769</v>
      </c>
      <c r="E203" t="s">
        <v>2467</v>
      </c>
    </row>
    <row r="204" spans="1:5" x14ac:dyDescent="0.25">
      <c r="A204" s="1" t="s">
        <v>52</v>
      </c>
      <c r="C204" t="s">
        <v>717</v>
      </c>
      <c r="D204" t="s">
        <v>1771</v>
      </c>
      <c r="E204" t="s">
        <v>2469</v>
      </c>
    </row>
    <row r="205" spans="1:5" x14ac:dyDescent="0.25">
      <c r="A205" s="1" t="s">
        <v>37</v>
      </c>
      <c r="C205" t="s">
        <v>713</v>
      </c>
      <c r="D205" t="s">
        <v>1773</v>
      </c>
      <c r="E205" t="s">
        <v>2471</v>
      </c>
    </row>
    <row r="206" spans="1:5" x14ac:dyDescent="0.25">
      <c r="A206" s="1" t="s">
        <v>16</v>
      </c>
      <c r="C206" t="s">
        <v>731</v>
      </c>
      <c r="D206" t="s">
        <v>1775</v>
      </c>
      <c r="E206" t="s">
        <v>2474</v>
      </c>
    </row>
    <row r="207" spans="1:5" x14ac:dyDescent="0.25">
      <c r="A207" s="12" t="s">
        <v>143</v>
      </c>
      <c r="C207" t="s">
        <v>716</v>
      </c>
      <c r="D207" t="s">
        <v>1777</v>
      </c>
      <c r="E207" t="s">
        <v>2476</v>
      </c>
    </row>
    <row r="208" spans="1:5" x14ac:dyDescent="0.25">
      <c r="A208" s="1" t="s">
        <v>164</v>
      </c>
      <c r="C208" t="s">
        <v>719</v>
      </c>
      <c r="D208" t="s">
        <v>1780</v>
      </c>
      <c r="E208" t="s">
        <v>2479</v>
      </c>
    </row>
    <row r="209" spans="1:5" x14ac:dyDescent="0.25">
      <c r="A209" s="1" t="s">
        <v>144</v>
      </c>
      <c r="C209" t="s">
        <v>732</v>
      </c>
      <c r="D209" t="s">
        <v>1782</v>
      </c>
      <c r="E209" t="s">
        <v>2481</v>
      </c>
    </row>
    <row r="210" spans="1:5" x14ac:dyDescent="0.25">
      <c r="A210" s="1" t="s">
        <v>146</v>
      </c>
      <c r="C210" t="s">
        <v>714</v>
      </c>
      <c r="D210" t="s">
        <v>1784</v>
      </c>
      <c r="E210" t="s">
        <v>2483</v>
      </c>
    </row>
    <row r="211" spans="1:5" x14ac:dyDescent="0.25">
      <c r="A211" s="1" t="s">
        <v>390</v>
      </c>
      <c r="C211" t="s">
        <v>724</v>
      </c>
      <c r="D211" t="s">
        <v>1786</v>
      </c>
      <c r="E211" t="s">
        <v>2485</v>
      </c>
    </row>
    <row r="212" spans="1:5" x14ac:dyDescent="0.25">
      <c r="A212" s="1" t="s">
        <v>28</v>
      </c>
      <c r="C212" t="s">
        <v>725</v>
      </c>
      <c r="D212" t="s">
        <v>1788</v>
      </c>
      <c r="E212" t="s">
        <v>2487</v>
      </c>
    </row>
    <row r="213" spans="1:5" x14ac:dyDescent="0.25">
      <c r="A213" s="1" t="s">
        <v>437</v>
      </c>
      <c r="C213" t="s">
        <v>726</v>
      </c>
      <c r="D213" t="s">
        <v>1791</v>
      </c>
      <c r="E213" t="s">
        <v>2489</v>
      </c>
    </row>
    <row r="214" spans="1:5" x14ac:dyDescent="0.25">
      <c r="A214" s="1" t="s">
        <v>278</v>
      </c>
      <c r="C214" t="s">
        <v>818</v>
      </c>
      <c r="D214" t="s">
        <v>1793</v>
      </c>
      <c r="E214" t="s">
        <v>2491</v>
      </c>
    </row>
    <row r="215" spans="1:5" x14ac:dyDescent="0.25">
      <c r="A215" s="1" t="s">
        <v>245</v>
      </c>
      <c r="C215" t="s">
        <v>728</v>
      </c>
      <c r="D215" t="s">
        <v>1795</v>
      </c>
      <c r="E215" t="s">
        <v>2493</v>
      </c>
    </row>
    <row r="216" spans="1:5" x14ac:dyDescent="0.25">
      <c r="A216" s="1" t="s">
        <v>279</v>
      </c>
      <c r="C216" t="s">
        <v>729</v>
      </c>
      <c r="D216" t="s">
        <v>1797</v>
      </c>
      <c r="E216" t="s">
        <v>2495</v>
      </c>
    </row>
    <row r="217" spans="1:5" x14ac:dyDescent="0.25">
      <c r="A217" s="1" t="s">
        <v>216</v>
      </c>
      <c r="C217" t="s">
        <v>806</v>
      </c>
      <c r="D217" t="s">
        <v>1799</v>
      </c>
      <c r="E217" t="s">
        <v>2497</v>
      </c>
    </row>
    <row r="218" spans="1:5" x14ac:dyDescent="0.25">
      <c r="A218" s="1" t="s">
        <v>370</v>
      </c>
      <c r="C218" t="s">
        <v>827</v>
      </c>
      <c r="D218" t="s">
        <v>1802</v>
      </c>
      <c r="E218" t="s">
        <v>2499</v>
      </c>
    </row>
    <row r="219" spans="1:5" x14ac:dyDescent="0.25">
      <c r="A219" s="1" t="s">
        <v>280</v>
      </c>
      <c r="C219" t="s">
        <v>733</v>
      </c>
      <c r="D219" t="s">
        <v>1805</v>
      </c>
      <c r="E219" t="s">
        <v>2501</v>
      </c>
    </row>
    <row r="220" spans="1:5" x14ac:dyDescent="0.25">
      <c r="A220" s="1" t="s">
        <v>166</v>
      </c>
      <c r="C220" t="s">
        <v>735</v>
      </c>
      <c r="D220" t="s">
        <v>1807</v>
      </c>
      <c r="E220" t="s">
        <v>2504</v>
      </c>
    </row>
    <row r="221" spans="1:5" x14ac:dyDescent="0.25">
      <c r="A221" s="1" t="s">
        <v>369</v>
      </c>
      <c r="C221" t="s">
        <v>764</v>
      </c>
      <c r="D221" t="s">
        <v>1809</v>
      </c>
      <c r="E221" t="s">
        <v>2507</v>
      </c>
    </row>
    <row r="222" spans="1:5" x14ac:dyDescent="0.25">
      <c r="A222" s="1" t="s">
        <v>281</v>
      </c>
      <c r="C222" t="s">
        <v>736</v>
      </c>
      <c r="D222" t="s">
        <v>1811</v>
      </c>
      <c r="E222" t="s">
        <v>2509</v>
      </c>
    </row>
    <row r="223" spans="1:5" x14ac:dyDescent="0.25">
      <c r="A223" s="1" t="s">
        <v>273</v>
      </c>
      <c r="C223" t="s">
        <v>738</v>
      </c>
      <c r="D223" t="s">
        <v>1813</v>
      </c>
      <c r="E223" t="s">
        <v>2511</v>
      </c>
    </row>
    <row r="224" spans="1:5" x14ac:dyDescent="0.25">
      <c r="A224" s="13" t="s">
        <v>219</v>
      </c>
      <c r="C224" t="s">
        <v>744</v>
      </c>
      <c r="D224" t="s">
        <v>1815</v>
      </c>
      <c r="E224" t="s">
        <v>2513</v>
      </c>
    </row>
    <row r="225" spans="1:5" x14ac:dyDescent="0.25">
      <c r="A225" s="1" t="s">
        <v>284</v>
      </c>
      <c r="C225" t="s">
        <v>740</v>
      </c>
      <c r="D225" t="s">
        <v>1817</v>
      </c>
      <c r="E225" t="s">
        <v>2515</v>
      </c>
    </row>
    <row r="226" spans="1:5" x14ac:dyDescent="0.25">
      <c r="A226" s="1" t="s">
        <v>286</v>
      </c>
      <c r="C226" t="s">
        <v>762</v>
      </c>
      <c r="D226" t="s">
        <v>1819</v>
      </c>
      <c r="E226" t="s">
        <v>2517</v>
      </c>
    </row>
    <row r="227" spans="1:5" x14ac:dyDescent="0.25">
      <c r="A227" s="1" t="s">
        <v>406</v>
      </c>
      <c r="C227" t="s">
        <v>745</v>
      </c>
      <c r="D227" t="s">
        <v>1821</v>
      </c>
      <c r="E227" t="s">
        <v>2519</v>
      </c>
    </row>
    <row r="228" spans="1:5" x14ac:dyDescent="0.25">
      <c r="A228" s="1" t="s">
        <v>206</v>
      </c>
      <c r="C228" t="s">
        <v>742</v>
      </c>
      <c r="D228" t="s">
        <v>1823</v>
      </c>
      <c r="E228" t="s">
        <v>2521</v>
      </c>
    </row>
    <row r="229" spans="1:5" x14ac:dyDescent="0.25">
      <c r="A229" s="1" t="s">
        <v>287</v>
      </c>
      <c r="C229" t="s">
        <v>747</v>
      </c>
      <c r="D229" t="s">
        <v>1825</v>
      </c>
      <c r="E229" t="s">
        <v>2523</v>
      </c>
    </row>
    <row r="230" spans="1:5" x14ac:dyDescent="0.25">
      <c r="A230" s="1" t="s">
        <v>328</v>
      </c>
      <c r="C230" t="s">
        <v>749</v>
      </c>
      <c r="D230" t="s">
        <v>1827</v>
      </c>
      <c r="E230" t="s">
        <v>2526</v>
      </c>
    </row>
    <row r="231" spans="1:5" x14ac:dyDescent="0.25">
      <c r="A231" s="1" t="s">
        <v>171</v>
      </c>
      <c r="C231" t="s">
        <v>752</v>
      </c>
      <c r="D231" t="s">
        <v>1829</v>
      </c>
      <c r="E231" t="s">
        <v>2528</v>
      </c>
    </row>
    <row r="232" spans="1:5" x14ac:dyDescent="0.25">
      <c r="A232" s="1" t="s">
        <v>68</v>
      </c>
      <c r="C232" t="s">
        <v>750</v>
      </c>
      <c r="D232" t="s">
        <v>1831</v>
      </c>
      <c r="E232" t="s">
        <v>2530</v>
      </c>
    </row>
    <row r="233" spans="1:5" x14ac:dyDescent="0.25">
      <c r="A233" s="1" t="s">
        <v>387</v>
      </c>
      <c r="C233" t="s">
        <v>755</v>
      </c>
      <c r="D233" t="s">
        <v>1833</v>
      </c>
      <c r="E233" t="s">
        <v>2532</v>
      </c>
    </row>
    <row r="234" spans="1:5" x14ac:dyDescent="0.25">
      <c r="A234" s="1" t="s">
        <v>20</v>
      </c>
      <c r="C234" t="s">
        <v>757</v>
      </c>
      <c r="D234" t="s">
        <v>1835</v>
      </c>
      <c r="E234" t="s">
        <v>2534</v>
      </c>
    </row>
    <row r="235" spans="1:5" x14ac:dyDescent="0.25">
      <c r="A235" s="1" t="s">
        <v>345</v>
      </c>
      <c r="C235" t="s">
        <v>756</v>
      </c>
      <c r="D235" t="s">
        <v>1837</v>
      </c>
      <c r="E235" t="s">
        <v>2536</v>
      </c>
    </row>
    <row r="236" spans="1:5" x14ac:dyDescent="0.25">
      <c r="A236" s="1" t="s">
        <v>108</v>
      </c>
      <c r="C236" t="s">
        <v>760</v>
      </c>
      <c r="D236" t="s">
        <v>1839</v>
      </c>
      <c r="E236" t="s">
        <v>2538</v>
      </c>
    </row>
    <row r="237" spans="1:5" x14ac:dyDescent="0.25">
      <c r="A237" s="1" t="s">
        <v>110</v>
      </c>
      <c r="C237" t="s">
        <v>746</v>
      </c>
      <c r="D237" t="s">
        <v>1841</v>
      </c>
      <c r="E237" t="s">
        <v>2540</v>
      </c>
    </row>
    <row r="238" spans="1:5" x14ac:dyDescent="0.25">
      <c r="A238" s="1" t="s">
        <v>396</v>
      </c>
      <c r="C238" t="s">
        <v>758</v>
      </c>
      <c r="D238" t="s">
        <v>1843</v>
      </c>
      <c r="E238" t="s">
        <v>2542</v>
      </c>
    </row>
    <row r="239" spans="1:5" x14ac:dyDescent="0.25">
      <c r="A239" s="1" t="s">
        <v>331</v>
      </c>
      <c r="C239" t="s">
        <v>783</v>
      </c>
      <c r="D239" t="s">
        <v>1845</v>
      </c>
      <c r="E239" t="s">
        <v>2544</v>
      </c>
    </row>
    <row r="240" spans="1:5" x14ac:dyDescent="0.25">
      <c r="A240" s="1" t="s">
        <v>371</v>
      </c>
      <c r="C240" t="s">
        <v>759</v>
      </c>
      <c r="D240" t="s">
        <v>1847</v>
      </c>
      <c r="E240" t="s">
        <v>2548</v>
      </c>
    </row>
    <row r="241" spans="1:5" x14ac:dyDescent="0.25">
      <c r="A241" s="1" t="s">
        <v>262</v>
      </c>
      <c r="C241" t="s">
        <v>753</v>
      </c>
      <c r="D241" t="s">
        <v>1849</v>
      </c>
      <c r="E241" t="s">
        <v>2550</v>
      </c>
    </row>
    <row r="242" spans="1:5" x14ac:dyDescent="0.25">
      <c r="A242" s="1" t="s">
        <v>404</v>
      </c>
      <c r="C242" t="s">
        <v>792</v>
      </c>
      <c r="D242" t="s">
        <v>1851</v>
      </c>
      <c r="E242" t="s">
        <v>2552</v>
      </c>
    </row>
    <row r="243" spans="1:5" x14ac:dyDescent="0.25">
      <c r="A243" s="1" t="s">
        <v>175</v>
      </c>
      <c r="C243" t="s">
        <v>768</v>
      </c>
      <c r="D243" t="s">
        <v>1853</v>
      </c>
      <c r="E243" t="s">
        <v>2554</v>
      </c>
    </row>
    <row r="244" spans="1:5" x14ac:dyDescent="0.25">
      <c r="A244" s="1" t="s">
        <v>365</v>
      </c>
      <c r="C244" t="s">
        <v>766</v>
      </c>
      <c r="D244" t="s">
        <v>1855</v>
      </c>
      <c r="E244" t="s">
        <v>2556</v>
      </c>
    </row>
    <row r="245" spans="1:5" x14ac:dyDescent="0.25">
      <c r="A245" s="1" t="s">
        <v>435</v>
      </c>
      <c r="C245" t="s">
        <v>763</v>
      </c>
      <c r="D245" t="s">
        <v>1857</v>
      </c>
      <c r="E245" t="s">
        <v>2558</v>
      </c>
    </row>
    <row r="246" spans="1:5" x14ac:dyDescent="0.25">
      <c r="A246" s="1" t="s">
        <v>116</v>
      </c>
      <c r="C246" t="s">
        <v>794</v>
      </c>
      <c r="D246" t="s">
        <v>1859</v>
      </c>
      <c r="E246" t="s">
        <v>2560</v>
      </c>
    </row>
    <row r="247" spans="1:5" x14ac:dyDescent="0.25">
      <c r="A247" s="1" t="s">
        <v>153</v>
      </c>
      <c r="C247" t="s">
        <v>777</v>
      </c>
      <c r="D247" t="s">
        <v>1861</v>
      </c>
      <c r="E247" t="s">
        <v>2562</v>
      </c>
    </row>
    <row r="248" spans="1:5" x14ac:dyDescent="0.25">
      <c r="A248" s="1" t="s">
        <v>31</v>
      </c>
      <c r="C248" t="s">
        <v>842</v>
      </c>
      <c r="D248" t="s">
        <v>1863</v>
      </c>
      <c r="E248" t="s">
        <v>2563</v>
      </c>
    </row>
    <row r="249" spans="1:5" x14ac:dyDescent="0.25">
      <c r="A249" s="1" t="s">
        <v>299</v>
      </c>
      <c r="C249" t="s">
        <v>810</v>
      </c>
      <c r="D249" t="s">
        <v>1866</v>
      </c>
      <c r="E249" t="s">
        <v>2565</v>
      </c>
    </row>
    <row r="250" spans="1:5" x14ac:dyDescent="0.25">
      <c r="A250" s="1" t="s">
        <v>249</v>
      </c>
      <c r="C250" t="s">
        <v>784</v>
      </c>
      <c r="D250" t="s">
        <v>1868</v>
      </c>
      <c r="E250" t="s">
        <v>2567</v>
      </c>
    </row>
    <row r="251" spans="1:5" x14ac:dyDescent="0.25">
      <c r="A251" s="14" t="s">
        <v>121</v>
      </c>
      <c r="C251" t="s">
        <v>811</v>
      </c>
      <c r="D251" t="s">
        <v>1870</v>
      </c>
      <c r="E251" t="s">
        <v>2569</v>
      </c>
    </row>
    <row r="252" spans="1:5" x14ac:dyDescent="0.25">
      <c r="A252" s="13" t="s">
        <v>192</v>
      </c>
      <c r="C252" t="s">
        <v>791</v>
      </c>
      <c r="D252" t="s">
        <v>1872</v>
      </c>
      <c r="E252" t="s">
        <v>2571</v>
      </c>
    </row>
    <row r="253" spans="1:5" x14ac:dyDescent="0.25">
      <c r="A253" s="13" t="s">
        <v>193</v>
      </c>
      <c r="C253" t="s">
        <v>770</v>
      </c>
      <c r="D253" t="s">
        <v>1874</v>
      </c>
      <c r="E253" t="s">
        <v>2573</v>
      </c>
    </row>
    <row r="254" spans="1:5" x14ac:dyDescent="0.25">
      <c r="A254" s="1" t="s">
        <v>301</v>
      </c>
      <c r="C254" t="s">
        <v>769</v>
      </c>
      <c r="D254" t="s">
        <v>1876</v>
      </c>
      <c r="E254" t="s">
        <v>2575</v>
      </c>
    </row>
    <row r="255" spans="1:5" x14ac:dyDescent="0.25">
      <c r="A255" s="1" t="s">
        <v>124</v>
      </c>
      <c r="C255" t="s">
        <v>772</v>
      </c>
      <c r="D255" t="s">
        <v>1878</v>
      </c>
      <c r="E255" t="s">
        <v>2577</v>
      </c>
    </row>
    <row r="256" spans="1:5" x14ac:dyDescent="0.25">
      <c r="A256" s="1" t="s">
        <v>61</v>
      </c>
      <c r="C256" t="s">
        <v>774</v>
      </c>
      <c r="D256" t="s">
        <v>1880</v>
      </c>
      <c r="E256" t="s">
        <v>2579</v>
      </c>
    </row>
    <row r="257" spans="1:5" x14ac:dyDescent="0.25">
      <c r="A257" s="1" t="s">
        <v>302</v>
      </c>
      <c r="C257" t="s">
        <v>773</v>
      </c>
      <c r="D257" t="s">
        <v>1882</v>
      </c>
      <c r="E257" t="s">
        <v>2581</v>
      </c>
    </row>
    <row r="258" spans="1:5" x14ac:dyDescent="0.25">
      <c r="A258" s="1" t="s">
        <v>303</v>
      </c>
      <c r="C258" t="s">
        <v>779</v>
      </c>
      <c r="D258" t="s">
        <v>1884</v>
      </c>
      <c r="E258" t="s">
        <v>2583</v>
      </c>
    </row>
    <row r="259" spans="1:5" x14ac:dyDescent="0.25">
      <c r="A259" s="1" t="s">
        <v>418</v>
      </c>
      <c r="C259" t="s">
        <v>775</v>
      </c>
      <c r="D259" t="s">
        <v>1887</v>
      </c>
      <c r="E259" t="s">
        <v>2585</v>
      </c>
    </row>
    <row r="260" spans="1:5" x14ac:dyDescent="0.25">
      <c r="A260" s="1" t="s">
        <v>304</v>
      </c>
      <c r="C260" t="s">
        <v>839</v>
      </c>
      <c r="D260" t="s">
        <v>1889</v>
      </c>
      <c r="E260" t="s">
        <v>2587</v>
      </c>
    </row>
    <row r="261" spans="1:5" x14ac:dyDescent="0.25">
      <c r="A261" s="1" t="s">
        <v>209</v>
      </c>
      <c r="C261" t="s">
        <v>830</v>
      </c>
      <c r="D261" t="s">
        <v>1891</v>
      </c>
      <c r="E261" t="s">
        <v>2589</v>
      </c>
    </row>
    <row r="262" spans="1:5" x14ac:dyDescent="0.25">
      <c r="A262" s="1" t="s">
        <v>407</v>
      </c>
      <c r="C262" t="s">
        <v>802</v>
      </c>
      <c r="D262" t="s">
        <v>1894</v>
      </c>
      <c r="E262" t="s">
        <v>2591</v>
      </c>
    </row>
    <row r="263" spans="1:5" x14ac:dyDescent="0.25">
      <c r="A263" s="1" t="s">
        <v>376</v>
      </c>
      <c r="C263" t="s">
        <v>780</v>
      </c>
      <c r="D263" t="s">
        <v>1896</v>
      </c>
      <c r="E263" t="s">
        <v>2593</v>
      </c>
    </row>
    <row r="264" spans="1:5" x14ac:dyDescent="0.25">
      <c r="A264" s="1" t="s">
        <v>128</v>
      </c>
      <c r="C264" t="s">
        <v>782</v>
      </c>
      <c r="D264" t="s">
        <v>1898</v>
      </c>
      <c r="E264" t="s">
        <v>2595</v>
      </c>
    </row>
    <row r="265" spans="1:5" x14ac:dyDescent="0.25">
      <c r="A265" s="1" t="s">
        <v>130</v>
      </c>
      <c r="C265" t="s">
        <v>785</v>
      </c>
      <c r="D265" t="s">
        <v>1901</v>
      </c>
      <c r="E265" t="s">
        <v>2597</v>
      </c>
    </row>
    <row r="266" spans="1:5" x14ac:dyDescent="0.25">
      <c r="A266" s="1" t="s">
        <v>416</v>
      </c>
      <c r="C266" t="s">
        <v>786</v>
      </c>
      <c r="D266" t="s">
        <v>1903</v>
      </c>
      <c r="E266" t="s">
        <v>2599</v>
      </c>
    </row>
    <row r="267" spans="1:5" x14ac:dyDescent="0.25">
      <c r="A267" s="1" t="s">
        <v>388</v>
      </c>
      <c r="C267" t="s">
        <v>824</v>
      </c>
      <c r="D267" t="s">
        <v>1905</v>
      </c>
      <c r="E267" t="s">
        <v>2601</v>
      </c>
    </row>
    <row r="268" spans="1:5" x14ac:dyDescent="0.25">
      <c r="A268" s="1" t="s">
        <v>337</v>
      </c>
      <c r="C268" t="s">
        <v>788</v>
      </c>
      <c r="D268" t="s">
        <v>1907</v>
      </c>
      <c r="E268" t="s">
        <v>2603</v>
      </c>
    </row>
    <row r="269" spans="1:5" x14ac:dyDescent="0.25">
      <c r="A269" s="1" t="s">
        <v>271</v>
      </c>
      <c r="C269" t="s">
        <v>789</v>
      </c>
      <c r="D269" t="s">
        <v>1909</v>
      </c>
      <c r="E269" t="s">
        <v>2605</v>
      </c>
    </row>
    <row r="270" spans="1:5" x14ac:dyDescent="0.25">
      <c r="A270" s="1" t="s">
        <v>339</v>
      </c>
      <c r="C270" t="s">
        <v>787</v>
      </c>
      <c r="D270" t="s">
        <v>1911</v>
      </c>
      <c r="E270" t="s">
        <v>2607</v>
      </c>
    </row>
    <row r="271" spans="1:5" x14ac:dyDescent="0.25">
      <c r="A271" s="1" t="s">
        <v>131</v>
      </c>
      <c r="C271" t="s">
        <v>793</v>
      </c>
      <c r="D271" t="s">
        <v>1913</v>
      </c>
      <c r="E271" t="s">
        <v>2609</v>
      </c>
    </row>
    <row r="272" spans="1:5" x14ac:dyDescent="0.25">
      <c r="A272" s="1" t="s">
        <v>64</v>
      </c>
      <c r="C272" t="s">
        <v>803</v>
      </c>
      <c r="D272" t="s">
        <v>1915</v>
      </c>
      <c r="E272" t="s">
        <v>2611</v>
      </c>
    </row>
    <row r="273" spans="1:5" x14ac:dyDescent="0.25">
      <c r="A273" s="1" t="s">
        <v>202</v>
      </c>
      <c r="C273" t="s">
        <v>795</v>
      </c>
      <c r="D273" t="s">
        <v>1917</v>
      </c>
      <c r="E273" t="s">
        <v>2613</v>
      </c>
    </row>
    <row r="274" spans="1:5" x14ac:dyDescent="0.25">
      <c r="A274" s="1" t="s">
        <v>132</v>
      </c>
      <c r="C274" t="s">
        <v>797</v>
      </c>
      <c r="D274" t="s">
        <v>1919</v>
      </c>
      <c r="E274" t="s">
        <v>2615</v>
      </c>
    </row>
    <row r="275" spans="1:5" x14ac:dyDescent="0.25">
      <c r="A275" s="13" t="s">
        <v>197</v>
      </c>
      <c r="C275" t="s">
        <v>796</v>
      </c>
      <c r="D275" t="s">
        <v>1921</v>
      </c>
      <c r="E275" t="s">
        <v>2617</v>
      </c>
    </row>
    <row r="276" spans="1:5" x14ac:dyDescent="0.25">
      <c r="A276" s="1" t="s">
        <v>355</v>
      </c>
      <c r="C276" t="s">
        <v>821</v>
      </c>
      <c r="D276" t="s">
        <v>1923</v>
      </c>
      <c r="E276" t="s">
        <v>2620</v>
      </c>
    </row>
    <row r="277" spans="1:5" x14ac:dyDescent="0.25">
      <c r="A277" s="1" t="s">
        <v>408</v>
      </c>
      <c r="C277" t="s">
        <v>805</v>
      </c>
      <c r="D277" t="s">
        <v>1925</v>
      </c>
      <c r="E277" t="s">
        <v>2622</v>
      </c>
    </row>
    <row r="278" spans="1:5" x14ac:dyDescent="0.25">
      <c r="A278" s="1" t="s">
        <v>350</v>
      </c>
      <c r="C278" t="s">
        <v>798</v>
      </c>
      <c r="D278" t="s">
        <v>1927</v>
      </c>
      <c r="E278" t="s">
        <v>2624</v>
      </c>
    </row>
    <row r="279" spans="1:5" x14ac:dyDescent="0.25">
      <c r="A279" s="1" t="s">
        <v>203</v>
      </c>
      <c r="C279" t="s">
        <v>808</v>
      </c>
      <c r="D279" t="s">
        <v>1929</v>
      </c>
      <c r="E279" t="s">
        <v>2626</v>
      </c>
    </row>
    <row r="280" spans="1:5" x14ac:dyDescent="0.25">
      <c r="A280" s="1" t="s">
        <v>228</v>
      </c>
      <c r="C280" t="s">
        <v>801</v>
      </c>
      <c r="D280" t="s">
        <v>1931</v>
      </c>
      <c r="E280" t="s">
        <v>2628</v>
      </c>
    </row>
    <row r="281" spans="1:5" x14ac:dyDescent="0.25">
      <c r="A281" s="1" t="s">
        <v>315</v>
      </c>
      <c r="C281" t="s">
        <v>800</v>
      </c>
      <c r="D281" t="s">
        <v>1933</v>
      </c>
      <c r="E281" t="s">
        <v>2630</v>
      </c>
    </row>
    <row r="282" spans="1:5" x14ac:dyDescent="0.25">
      <c r="A282" s="1" t="s">
        <v>264</v>
      </c>
      <c r="C282" t="s">
        <v>799</v>
      </c>
      <c r="D282" t="s">
        <v>1935</v>
      </c>
      <c r="E282" t="s">
        <v>2632</v>
      </c>
    </row>
    <row r="283" spans="1:5" x14ac:dyDescent="0.25">
      <c r="A283" s="1" t="s">
        <v>53</v>
      </c>
      <c r="C283" t="s">
        <v>813</v>
      </c>
      <c r="D283" t="s">
        <v>1937</v>
      </c>
      <c r="E283" t="s">
        <v>2634</v>
      </c>
    </row>
    <row r="284" spans="1:5" x14ac:dyDescent="0.25">
      <c r="A284" s="1" t="s">
        <v>389</v>
      </c>
      <c r="C284" t="s">
        <v>814</v>
      </c>
      <c r="D284" t="s">
        <v>1940</v>
      </c>
      <c r="E284" t="s">
        <v>2636</v>
      </c>
    </row>
    <row r="285" spans="1:5" x14ac:dyDescent="0.25">
      <c r="A285" s="1" t="s">
        <v>135</v>
      </c>
      <c r="C285" t="s">
        <v>807</v>
      </c>
      <c r="D285" t="s">
        <v>1942</v>
      </c>
      <c r="E285" t="s">
        <v>2638</v>
      </c>
    </row>
    <row r="286" spans="1:5" x14ac:dyDescent="0.25">
      <c r="A286" s="1" t="s">
        <v>316</v>
      </c>
      <c r="C286" t="s">
        <v>817</v>
      </c>
      <c r="D286" t="s">
        <v>1944</v>
      </c>
      <c r="E286" t="s">
        <v>2640</v>
      </c>
    </row>
    <row r="287" spans="1:5" x14ac:dyDescent="0.25">
      <c r="A287" s="13" t="s">
        <v>214</v>
      </c>
      <c r="C287" t="s">
        <v>834</v>
      </c>
      <c r="D287" t="s">
        <v>1946</v>
      </c>
      <c r="E287" t="s">
        <v>2642</v>
      </c>
    </row>
    <row r="288" spans="1:5" x14ac:dyDescent="0.25">
      <c r="A288" s="1" t="s">
        <v>139</v>
      </c>
      <c r="C288" t="s">
        <v>809</v>
      </c>
      <c r="D288" t="s">
        <v>1949</v>
      </c>
      <c r="E288" t="s">
        <v>2644</v>
      </c>
    </row>
    <row r="289" spans="1:5" x14ac:dyDescent="0.25">
      <c r="A289" s="1" t="s">
        <v>319</v>
      </c>
      <c r="C289" t="s">
        <v>841</v>
      </c>
      <c r="D289" t="s">
        <v>1951</v>
      </c>
      <c r="E289" t="s">
        <v>2646</v>
      </c>
    </row>
    <row r="290" spans="1:5" x14ac:dyDescent="0.25">
      <c r="A290" s="1" t="s">
        <v>163</v>
      </c>
      <c r="C290" t="s">
        <v>838</v>
      </c>
      <c r="D290" t="s">
        <v>1953</v>
      </c>
      <c r="E290" t="s">
        <v>2648</v>
      </c>
    </row>
    <row r="291" spans="1:5" x14ac:dyDescent="0.25">
      <c r="A291" s="1" t="s">
        <v>324</v>
      </c>
      <c r="C291" t="s">
        <v>815</v>
      </c>
      <c r="D291" t="s">
        <v>1955</v>
      </c>
      <c r="E291" t="s">
        <v>2650</v>
      </c>
    </row>
    <row r="292" spans="1:5" x14ac:dyDescent="0.25">
      <c r="A292" s="1" t="s">
        <v>352</v>
      </c>
      <c r="C292" t="s">
        <v>835</v>
      </c>
      <c r="D292" t="s">
        <v>1958</v>
      </c>
      <c r="E292" t="s">
        <v>2652</v>
      </c>
    </row>
    <row r="293" spans="1:5" x14ac:dyDescent="0.25">
      <c r="A293" s="13" t="s">
        <v>217</v>
      </c>
      <c r="C293" t="s">
        <v>819</v>
      </c>
      <c r="D293" t="s">
        <v>1960</v>
      </c>
      <c r="E293" t="s">
        <v>2654</v>
      </c>
    </row>
    <row r="294" spans="1:5" x14ac:dyDescent="0.25">
      <c r="A294" s="1" t="s">
        <v>10</v>
      </c>
      <c r="C294" t="s">
        <v>832</v>
      </c>
      <c r="D294" t="s">
        <v>1963</v>
      </c>
      <c r="E294" t="s">
        <v>2657</v>
      </c>
    </row>
    <row r="295" spans="1:5" x14ac:dyDescent="0.25">
      <c r="A295" s="1" t="s">
        <v>275</v>
      </c>
      <c r="C295" t="s">
        <v>820</v>
      </c>
      <c r="D295" t="s">
        <v>1965</v>
      </c>
      <c r="E295" t="s">
        <v>2659</v>
      </c>
    </row>
    <row r="296" spans="1:5" x14ac:dyDescent="0.25">
      <c r="A296" s="1" t="s">
        <v>276</v>
      </c>
      <c r="C296" t="s">
        <v>823</v>
      </c>
      <c r="D296" t="s">
        <v>1967</v>
      </c>
      <c r="E296" t="s">
        <v>2661</v>
      </c>
    </row>
    <row r="297" spans="1:5" x14ac:dyDescent="0.25">
      <c r="A297" s="1" t="s">
        <v>344</v>
      </c>
      <c r="C297" t="s">
        <v>826</v>
      </c>
      <c r="D297" t="s">
        <v>1969</v>
      </c>
      <c r="E297" t="s">
        <v>2663</v>
      </c>
    </row>
    <row r="298" spans="1:5" x14ac:dyDescent="0.25">
      <c r="A298" s="1" t="s">
        <v>333</v>
      </c>
      <c r="C298" t="s">
        <v>829</v>
      </c>
      <c r="D298" t="s">
        <v>1971</v>
      </c>
      <c r="E298" t="s">
        <v>2665</v>
      </c>
    </row>
    <row r="299" spans="1:5" x14ac:dyDescent="0.25">
      <c r="A299" s="1" t="s">
        <v>400</v>
      </c>
      <c r="C299" t="s">
        <v>825</v>
      </c>
      <c r="D299" t="s">
        <v>1973</v>
      </c>
      <c r="E299" t="s">
        <v>2667</v>
      </c>
    </row>
    <row r="300" spans="1:5" x14ac:dyDescent="0.25">
      <c r="A300" s="1" t="s">
        <v>357</v>
      </c>
      <c r="C300" t="s">
        <v>840</v>
      </c>
      <c r="D300" t="s">
        <v>1975</v>
      </c>
      <c r="E300" t="s">
        <v>2669</v>
      </c>
    </row>
    <row r="301" spans="1:5" x14ac:dyDescent="0.25">
      <c r="A301" s="12" t="s">
        <v>183</v>
      </c>
      <c r="C301" t="s">
        <v>833</v>
      </c>
      <c r="D301" t="s">
        <v>1977</v>
      </c>
      <c r="E301" t="s">
        <v>2671</v>
      </c>
    </row>
    <row r="302" spans="1:5" x14ac:dyDescent="0.25">
      <c r="A302" s="1" t="s">
        <v>397</v>
      </c>
      <c r="D302" t="s">
        <v>1979</v>
      </c>
      <c r="E302" t="s">
        <v>2673</v>
      </c>
    </row>
    <row r="303" spans="1:5" x14ac:dyDescent="0.25">
      <c r="A303" s="13" t="s">
        <v>185</v>
      </c>
      <c r="D303" t="s">
        <v>1981</v>
      </c>
      <c r="E303" t="s">
        <v>2675</v>
      </c>
    </row>
    <row r="304" spans="1:5" x14ac:dyDescent="0.25">
      <c r="A304" s="1" t="s">
        <v>65</v>
      </c>
      <c r="D304" t="s">
        <v>1983</v>
      </c>
      <c r="E304" t="s">
        <v>2677</v>
      </c>
    </row>
    <row r="305" spans="1:5" x14ac:dyDescent="0.25">
      <c r="A305" s="1" t="s">
        <v>330</v>
      </c>
      <c r="D305" t="s">
        <v>1985</v>
      </c>
      <c r="E305" t="s">
        <v>2679</v>
      </c>
    </row>
    <row r="306" spans="1:5" x14ac:dyDescent="0.25">
      <c r="A306" s="1" t="s">
        <v>167</v>
      </c>
      <c r="D306" t="s">
        <v>1987</v>
      </c>
      <c r="E306" t="s">
        <v>2681</v>
      </c>
    </row>
    <row r="307" spans="1:5" x14ac:dyDescent="0.25">
      <c r="A307" s="13" t="s">
        <v>186</v>
      </c>
      <c r="D307" t="s">
        <v>1990</v>
      </c>
      <c r="E307" t="s">
        <v>2683</v>
      </c>
    </row>
    <row r="308" spans="1:5" x14ac:dyDescent="0.25">
      <c r="A308" s="1" t="s">
        <v>431</v>
      </c>
      <c r="D308" t="s">
        <v>1993</v>
      </c>
      <c r="E308" t="s">
        <v>2685</v>
      </c>
    </row>
    <row r="309" spans="1:5" x14ac:dyDescent="0.25">
      <c r="A309" s="1" t="s">
        <v>288</v>
      </c>
      <c r="D309" t="s">
        <v>1995</v>
      </c>
      <c r="E309" t="s">
        <v>2687</v>
      </c>
    </row>
    <row r="310" spans="1:5" x14ac:dyDescent="0.25">
      <c r="A310" s="1" t="s">
        <v>274</v>
      </c>
      <c r="D310" t="s">
        <v>1997</v>
      </c>
      <c r="E310" t="s">
        <v>2689</v>
      </c>
    </row>
    <row r="311" spans="1:5" x14ac:dyDescent="0.25">
      <c r="A311" s="1" t="s">
        <v>224</v>
      </c>
      <c r="D311" t="s">
        <v>1999</v>
      </c>
      <c r="E311" t="s">
        <v>2691</v>
      </c>
    </row>
    <row r="312" spans="1:5" x14ac:dyDescent="0.25">
      <c r="A312" s="1" t="s">
        <v>259</v>
      </c>
      <c r="D312" t="s">
        <v>2001</v>
      </c>
      <c r="E312" t="s">
        <v>2693</v>
      </c>
    </row>
    <row r="313" spans="1:5" x14ac:dyDescent="0.25">
      <c r="A313" s="1" t="s">
        <v>292</v>
      </c>
      <c r="D313" t="s">
        <v>2004</v>
      </c>
      <c r="E313" t="s">
        <v>2695</v>
      </c>
    </row>
    <row r="314" spans="1:5" x14ac:dyDescent="0.25">
      <c r="A314" s="1" t="s">
        <v>251</v>
      </c>
      <c r="D314" t="s">
        <v>2006</v>
      </c>
      <c r="E314" t="s">
        <v>2697</v>
      </c>
    </row>
    <row r="315" spans="1:5" x14ac:dyDescent="0.25">
      <c r="A315" s="1" t="s">
        <v>109</v>
      </c>
      <c r="D315" t="s">
        <v>2008</v>
      </c>
      <c r="E315" t="s">
        <v>2699</v>
      </c>
    </row>
    <row r="316" spans="1:5" x14ac:dyDescent="0.25">
      <c r="A316" s="13" t="s">
        <v>222</v>
      </c>
      <c r="D316" t="s">
        <v>2010</v>
      </c>
      <c r="E316" t="s">
        <v>2701</v>
      </c>
    </row>
    <row r="317" spans="1:5" x14ac:dyDescent="0.25">
      <c r="A317" s="1" t="s">
        <v>174</v>
      </c>
      <c r="D317" t="s">
        <v>2012</v>
      </c>
      <c r="E317" t="s">
        <v>2703</v>
      </c>
    </row>
    <row r="318" spans="1:5" x14ac:dyDescent="0.25">
      <c r="A318" s="1" t="s">
        <v>346</v>
      </c>
      <c r="D318" t="s">
        <v>2015</v>
      </c>
      <c r="E318" t="s">
        <v>2705</v>
      </c>
    </row>
    <row r="319" spans="1:5" x14ac:dyDescent="0.25">
      <c r="A319" s="1" t="s">
        <v>152</v>
      </c>
      <c r="E319" t="s">
        <v>2707</v>
      </c>
    </row>
    <row r="320" spans="1:5" x14ac:dyDescent="0.25">
      <c r="A320" s="1" t="s">
        <v>265</v>
      </c>
      <c r="E320" t="s">
        <v>2710</v>
      </c>
    </row>
    <row r="321" spans="1:5" x14ac:dyDescent="0.25">
      <c r="A321" s="1" t="s">
        <v>334</v>
      </c>
      <c r="E321" t="s">
        <v>2712</v>
      </c>
    </row>
    <row r="322" spans="1:5" x14ac:dyDescent="0.25">
      <c r="A322" s="1" t="s">
        <v>250</v>
      </c>
      <c r="E322" t="s">
        <v>2714</v>
      </c>
    </row>
    <row r="323" spans="1:5" x14ac:dyDescent="0.25">
      <c r="A323" s="1" t="s">
        <v>69</v>
      </c>
      <c r="E323" t="s">
        <v>2716</v>
      </c>
    </row>
    <row r="324" spans="1:5" x14ac:dyDescent="0.25">
      <c r="A324" s="1" t="s">
        <v>294</v>
      </c>
      <c r="E324" t="s">
        <v>2718</v>
      </c>
    </row>
    <row r="325" spans="1:5" x14ac:dyDescent="0.25">
      <c r="A325" s="1" t="s">
        <v>295</v>
      </c>
      <c r="E325" t="s">
        <v>2720</v>
      </c>
    </row>
    <row r="326" spans="1:5" x14ac:dyDescent="0.25">
      <c r="A326" s="1" t="s">
        <v>296</v>
      </c>
      <c r="E326" t="s">
        <v>2722</v>
      </c>
    </row>
    <row r="327" spans="1:5" x14ac:dyDescent="0.25">
      <c r="A327" s="1" t="s">
        <v>297</v>
      </c>
      <c r="E327" t="s">
        <v>2724</v>
      </c>
    </row>
    <row r="328" spans="1:5" x14ac:dyDescent="0.25">
      <c r="A328" s="1" t="s">
        <v>347</v>
      </c>
      <c r="E328" t="s">
        <v>2726</v>
      </c>
    </row>
    <row r="329" spans="1:5" x14ac:dyDescent="0.25">
      <c r="A329" s="12" t="s">
        <v>120</v>
      </c>
      <c r="E329" t="s">
        <v>2729</v>
      </c>
    </row>
    <row r="330" spans="1:5" x14ac:dyDescent="0.25">
      <c r="A330" s="1" t="s">
        <v>123</v>
      </c>
      <c r="E330" t="s">
        <v>2731</v>
      </c>
    </row>
    <row r="331" spans="1:5" x14ac:dyDescent="0.25">
      <c r="A331" s="1" t="s">
        <v>62</v>
      </c>
      <c r="E331" t="s">
        <v>2733</v>
      </c>
    </row>
    <row r="332" spans="1:5" x14ac:dyDescent="0.25">
      <c r="A332" s="1" t="s">
        <v>372</v>
      </c>
      <c r="E332" t="s">
        <v>2735</v>
      </c>
    </row>
    <row r="333" spans="1:5" x14ac:dyDescent="0.25">
      <c r="A333" s="1" t="s">
        <v>332</v>
      </c>
      <c r="E333" t="s">
        <v>2737</v>
      </c>
    </row>
    <row r="334" spans="1:5" x14ac:dyDescent="0.25">
      <c r="A334" s="1" t="s">
        <v>63</v>
      </c>
      <c r="E334" t="s">
        <v>2739</v>
      </c>
    </row>
    <row r="335" spans="1:5" x14ac:dyDescent="0.25">
      <c r="A335" s="1" t="s">
        <v>306</v>
      </c>
      <c r="E335" t="s">
        <v>2741</v>
      </c>
    </row>
    <row r="336" spans="1:5" x14ac:dyDescent="0.25">
      <c r="A336" s="1" t="s">
        <v>348</v>
      </c>
      <c r="E336" t="s">
        <v>2743</v>
      </c>
    </row>
    <row r="337" spans="1:5" x14ac:dyDescent="0.25">
      <c r="A337" s="1" t="s">
        <v>177</v>
      </c>
      <c r="E337" t="s">
        <v>2745</v>
      </c>
    </row>
    <row r="338" spans="1:5" x14ac:dyDescent="0.25">
      <c r="A338" s="1" t="s">
        <v>154</v>
      </c>
      <c r="E338" t="s">
        <v>2747</v>
      </c>
    </row>
    <row r="339" spans="1:5" x14ac:dyDescent="0.25">
      <c r="A339" s="1" t="s">
        <v>359</v>
      </c>
      <c r="E339" t="s">
        <v>2749</v>
      </c>
    </row>
    <row r="340" spans="1:5" x14ac:dyDescent="0.25">
      <c r="A340" s="1" t="s">
        <v>240</v>
      </c>
      <c r="E340" t="s">
        <v>2751</v>
      </c>
    </row>
    <row r="341" spans="1:5" x14ac:dyDescent="0.25">
      <c r="A341" s="1" t="s">
        <v>241</v>
      </c>
      <c r="E341" t="s">
        <v>2753</v>
      </c>
    </row>
    <row r="342" spans="1:5" x14ac:dyDescent="0.25">
      <c r="A342" s="1" t="s">
        <v>349</v>
      </c>
      <c r="E342" t="s">
        <v>2755</v>
      </c>
    </row>
    <row r="343" spans="1:5" x14ac:dyDescent="0.25">
      <c r="A343" s="1" t="s">
        <v>242</v>
      </c>
      <c r="E343" t="s">
        <v>2757</v>
      </c>
    </row>
    <row r="344" spans="1:5" x14ac:dyDescent="0.25">
      <c r="A344" s="1" t="s">
        <v>368</v>
      </c>
      <c r="E344" t="s">
        <v>2759</v>
      </c>
    </row>
    <row r="345" spans="1:5" x14ac:dyDescent="0.25">
      <c r="A345" s="1" t="s">
        <v>311</v>
      </c>
      <c r="E345" t="s">
        <v>2761</v>
      </c>
    </row>
    <row r="346" spans="1:5" x14ac:dyDescent="0.25">
      <c r="A346" s="1" t="s">
        <v>133</v>
      </c>
      <c r="E346" t="s">
        <v>2763</v>
      </c>
    </row>
    <row r="347" spans="1:5" x14ac:dyDescent="0.25">
      <c r="A347" s="1" t="s">
        <v>367</v>
      </c>
      <c r="E347" t="s">
        <v>2765</v>
      </c>
    </row>
    <row r="348" spans="1:5" x14ac:dyDescent="0.25">
      <c r="A348" s="1" t="s">
        <v>11</v>
      </c>
      <c r="E348" t="s">
        <v>2767</v>
      </c>
    </row>
    <row r="349" spans="1:5" x14ac:dyDescent="0.25">
      <c r="A349" s="1" t="s">
        <v>438</v>
      </c>
      <c r="E349" t="s">
        <v>2769</v>
      </c>
    </row>
    <row r="350" spans="1:5" x14ac:dyDescent="0.25">
      <c r="A350" s="1" t="s">
        <v>341</v>
      </c>
      <c r="E350" t="s">
        <v>2771</v>
      </c>
    </row>
    <row r="351" spans="1:5" x14ac:dyDescent="0.25">
      <c r="A351" s="13" t="s">
        <v>200</v>
      </c>
      <c r="E351" t="s">
        <v>2773</v>
      </c>
    </row>
    <row r="352" spans="1:5" x14ac:dyDescent="0.25">
      <c r="A352" s="1" t="s">
        <v>320</v>
      </c>
      <c r="E352" t="s">
        <v>2775</v>
      </c>
    </row>
    <row r="353" spans="1:5" x14ac:dyDescent="0.25">
      <c r="A353" s="1" t="s">
        <v>321</v>
      </c>
      <c r="E353" t="s">
        <v>2777</v>
      </c>
    </row>
    <row r="354" spans="1:5" x14ac:dyDescent="0.25">
      <c r="A354" s="1" t="s">
        <v>156</v>
      </c>
      <c r="E354" t="s">
        <v>2779</v>
      </c>
    </row>
    <row r="355" spans="1:5" x14ac:dyDescent="0.25">
      <c r="A355" s="1" t="s">
        <v>181</v>
      </c>
      <c r="E355" t="s">
        <v>2781</v>
      </c>
    </row>
    <row r="356" spans="1:5" x14ac:dyDescent="0.25">
      <c r="A356" s="1" t="s">
        <v>392</v>
      </c>
      <c r="E356" t="s">
        <v>2783</v>
      </c>
    </row>
    <row r="357" spans="1:5" x14ac:dyDescent="0.25">
      <c r="A357" s="1" t="s">
        <v>354</v>
      </c>
      <c r="E357" t="s">
        <v>2785</v>
      </c>
    </row>
    <row r="358" spans="1:5" x14ac:dyDescent="0.25">
      <c r="A358" s="1" t="s">
        <v>147</v>
      </c>
      <c r="E358" t="s">
        <v>2787</v>
      </c>
    </row>
    <row r="359" spans="1:5" x14ac:dyDescent="0.25">
      <c r="A359" s="1" t="s">
        <v>208</v>
      </c>
      <c r="E359" t="s">
        <v>2789</v>
      </c>
    </row>
    <row r="360" spans="1:5" x14ac:dyDescent="0.25">
      <c r="A360" s="1" t="s">
        <v>165</v>
      </c>
      <c r="E360" t="s">
        <v>2792</v>
      </c>
    </row>
    <row r="361" spans="1:5" x14ac:dyDescent="0.25">
      <c r="A361" s="1" t="s">
        <v>229</v>
      </c>
      <c r="E361" t="s">
        <v>2794</v>
      </c>
    </row>
    <row r="362" spans="1:5" x14ac:dyDescent="0.25">
      <c r="A362" s="1" t="s">
        <v>395</v>
      </c>
      <c r="E362" t="s">
        <v>2796</v>
      </c>
    </row>
    <row r="363" spans="1:5" x14ac:dyDescent="0.25">
      <c r="A363" s="1" t="s">
        <v>415</v>
      </c>
      <c r="E363" t="s">
        <v>2798</v>
      </c>
    </row>
    <row r="364" spans="1:5" x14ac:dyDescent="0.25">
      <c r="A364" s="1" t="s">
        <v>91</v>
      </c>
      <c r="E364" t="s">
        <v>2800</v>
      </c>
    </row>
    <row r="365" spans="1:5" x14ac:dyDescent="0.25">
      <c r="A365" s="1" t="s">
        <v>92</v>
      </c>
      <c r="E365" t="s">
        <v>2802</v>
      </c>
    </row>
    <row r="366" spans="1:5" x14ac:dyDescent="0.25">
      <c r="A366" s="14" t="s">
        <v>74</v>
      </c>
      <c r="E366" t="s">
        <v>2804</v>
      </c>
    </row>
    <row r="367" spans="1:5" x14ac:dyDescent="0.25">
      <c r="A367" s="1" t="s">
        <v>231</v>
      </c>
      <c r="E367" t="s">
        <v>2806</v>
      </c>
    </row>
    <row r="368" spans="1:5" x14ac:dyDescent="0.25">
      <c r="A368" s="14" t="s">
        <v>95</v>
      </c>
      <c r="E368" t="s">
        <v>2808</v>
      </c>
    </row>
    <row r="369" spans="1:5" x14ac:dyDescent="0.25">
      <c r="A369" s="1" t="s">
        <v>366</v>
      </c>
      <c r="E369" t="s">
        <v>2811</v>
      </c>
    </row>
    <row r="370" spans="1:5" x14ac:dyDescent="0.25">
      <c r="A370" s="1" t="s">
        <v>270</v>
      </c>
      <c r="E370" t="s">
        <v>2813</v>
      </c>
    </row>
    <row r="371" spans="1:5" x14ac:dyDescent="0.25">
      <c r="A371" s="1" t="s">
        <v>414</v>
      </c>
      <c r="E371" t="s">
        <v>2815</v>
      </c>
    </row>
    <row r="372" spans="1:5" x14ac:dyDescent="0.25">
      <c r="A372" s="1" t="s">
        <v>403</v>
      </c>
      <c r="E372" t="s">
        <v>2817</v>
      </c>
    </row>
    <row r="373" spans="1:5" x14ac:dyDescent="0.25">
      <c r="A373" s="1" t="s">
        <v>57</v>
      </c>
      <c r="E373" t="s">
        <v>2819</v>
      </c>
    </row>
    <row r="374" spans="1:5" x14ac:dyDescent="0.25">
      <c r="A374" s="1" t="s">
        <v>66</v>
      </c>
      <c r="E374" t="s">
        <v>2821</v>
      </c>
    </row>
    <row r="375" spans="1:5" x14ac:dyDescent="0.25">
      <c r="A375" s="1" t="s">
        <v>201</v>
      </c>
      <c r="E375" t="s">
        <v>2823</v>
      </c>
    </row>
    <row r="376" spans="1:5" x14ac:dyDescent="0.25">
      <c r="A376" s="1" t="s">
        <v>263</v>
      </c>
      <c r="E376" t="s">
        <v>2825</v>
      </c>
    </row>
    <row r="377" spans="1:5" x14ac:dyDescent="0.25">
      <c r="A377" s="1" t="s">
        <v>246</v>
      </c>
      <c r="E377" t="s">
        <v>2827</v>
      </c>
    </row>
    <row r="378" spans="1:5" x14ac:dyDescent="0.25">
      <c r="A378" s="1" t="s">
        <v>422</v>
      </c>
      <c r="E378" t="s">
        <v>2829</v>
      </c>
    </row>
    <row r="379" spans="1:5" x14ac:dyDescent="0.25">
      <c r="A379" s="13" t="s">
        <v>188</v>
      </c>
      <c r="E379" t="s">
        <v>2831</v>
      </c>
    </row>
    <row r="380" spans="1:5" x14ac:dyDescent="0.25">
      <c r="A380" s="1" t="s">
        <v>374</v>
      </c>
      <c r="E380" t="s">
        <v>2833</v>
      </c>
    </row>
    <row r="381" spans="1:5" x14ac:dyDescent="0.25">
      <c r="A381" s="1" t="s">
        <v>402</v>
      </c>
      <c r="E381" t="s">
        <v>2835</v>
      </c>
    </row>
    <row r="382" spans="1:5" x14ac:dyDescent="0.25">
      <c r="A382" s="1" t="s">
        <v>411</v>
      </c>
      <c r="E382" t="s">
        <v>2837</v>
      </c>
    </row>
    <row r="383" spans="1:5" x14ac:dyDescent="0.25">
      <c r="A383" s="13" t="s">
        <v>190</v>
      </c>
      <c r="E383" t="s">
        <v>2839</v>
      </c>
    </row>
    <row r="384" spans="1:5" x14ac:dyDescent="0.25">
      <c r="A384" s="1" t="s">
        <v>298</v>
      </c>
      <c r="E384" t="s">
        <v>2841</v>
      </c>
    </row>
    <row r="385" spans="1:5" x14ac:dyDescent="0.25">
      <c r="A385" s="1" t="s">
        <v>335</v>
      </c>
      <c r="E385" t="s">
        <v>2843</v>
      </c>
    </row>
    <row r="386" spans="1:5" x14ac:dyDescent="0.25">
      <c r="A386" s="1" t="s">
        <v>382</v>
      </c>
      <c r="E386" t="s">
        <v>2845</v>
      </c>
    </row>
    <row r="387" spans="1:5" x14ac:dyDescent="0.25">
      <c r="A387" s="1" t="s">
        <v>358</v>
      </c>
      <c r="E387" t="s">
        <v>2847</v>
      </c>
    </row>
    <row r="388" spans="1:5" x14ac:dyDescent="0.25">
      <c r="A388" s="1" t="s">
        <v>364</v>
      </c>
      <c r="E388" t="s">
        <v>2849</v>
      </c>
    </row>
    <row r="389" spans="1:5" x14ac:dyDescent="0.25">
      <c r="A389" s="1" t="s">
        <v>305</v>
      </c>
      <c r="E389" t="s">
        <v>2851</v>
      </c>
    </row>
    <row r="390" spans="1:5" x14ac:dyDescent="0.25">
      <c r="A390" s="1" t="s">
        <v>412</v>
      </c>
      <c r="E390" t="s">
        <v>2853</v>
      </c>
    </row>
    <row r="391" spans="1:5" x14ac:dyDescent="0.25">
      <c r="A391" s="1" t="s">
        <v>127</v>
      </c>
      <c r="E391" t="s">
        <v>2855</v>
      </c>
    </row>
    <row r="392" spans="1:5" x14ac:dyDescent="0.25">
      <c r="A392" s="13" t="s">
        <v>195</v>
      </c>
      <c r="E392" t="s">
        <v>2857</v>
      </c>
    </row>
    <row r="393" spans="1:5" x14ac:dyDescent="0.25">
      <c r="A393" s="1" t="s">
        <v>307</v>
      </c>
      <c r="E393" t="s">
        <v>2859</v>
      </c>
    </row>
    <row r="394" spans="1:5" x14ac:dyDescent="0.25">
      <c r="A394" s="1" t="s">
        <v>178</v>
      </c>
      <c r="E394" t="s">
        <v>2862</v>
      </c>
    </row>
    <row r="395" spans="1:5" x14ac:dyDescent="0.25">
      <c r="A395" s="1" t="s">
        <v>362</v>
      </c>
      <c r="E395" t="s">
        <v>2864</v>
      </c>
    </row>
    <row r="396" spans="1:5" x14ac:dyDescent="0.25">
      <c r="A396" s="1" t="s">
        <v>409</v>
      </c>
      <c r="E396" t="s">
        <v>2866</v>
      </c>
    </row>
    <row r="397" spans="1:5" x14ac:dyDescent="0.25">
      <c r="A397" s="1" t="s">
        <v>267</v>
      </c>
      <c r="E397" t="s">
        <v>2868</v>
      </c>
    </row>
    <row r="398" spans="1:5" x14ac:dyDescent="0.25">
      <c r="A398" s="1" t="s">
        <v>310</v>
      </c>
      <c r="E398" t="s">
        <v>2870</v>
      </c>
    </row>
    <row r="399" spans="1:5" x14ac:dyDescent="0.25">
      <c r="A399" s="1" t="s">
        <v>312</v>
      </c>
      <c r="E399" t="s">
        <v>2872</v>
      </c>
    </row>
    <row r="400" spans="1:5" x14ac:dyDescent="0.25">
      <c r="A400" s="1" t="s">
        <v>272</v>
      </c>
      <c r="E400" t="s">
        <v>2875</v>
      </c>
    </row>
    <row r="401" spans="1:5" x14ac:dyDescent="0.25">
      <c r="A401" s="1" t="s">
        <v>425</v>
      </c>
      <c r="E401" t="s">
        <v>2877</v>
      </c>
    </row>
    <row r="402" spans="1:5" x14ac:dyDescent="0.25">
      <c r="A402" s="1" t="s">
        <v>417</v>
      </c>
      <c r="E402" t="s">
        <v>2879</v>
      </c>
    </row>
    <row r="403" spans="1:5" x14ac:dyDescent="0.25">
      <c r="A403" s="1" t="s">
        <v>199</v>
      </c>
      <c r="E403" t="s">
        <v>2881</v>
      </c>
    </row>
    <row r="404" spans="1:5" x14ac:dyDescent="0.25">
      <c r="A404" s="12" t="s">
        <v>141</v>
      </c>
      <c r="E404" t="s">
        <v>2883</v>
      </c>
    </row>
    <row r="405" spans="1:5" x14ac:dyDescent="0.25">
      <c r="A405" s="1" t="s">
        <v>323</v>
      </c>
      <c r="E405" t="s">
        <v>2885</v>
      </c>
    </row>
    <row r="406" spans="1:5" x14ac:dyDescent="0.25">
      <c r="A406" s="1" t="s">
        <v>325</v>
      </c>
      <c r="E406" t="s">
        <v>2887</v>
      </c>
    </row>
    <row r="407" spans="1:5" x14ac:dyDescent="0.25">
      <c r="A407" s="1" t="s">
        <v>269</v>
      </c>
      <c r="E407" t="s">
        <v>2889</v>
      </c>
    </row>
    <row r="408" spans="1:5" x14ac:dyDescent="0.25">
      <c r="A408" s="1" t="s">
        <v>326</v>
      </c>
      <c r="E408" t="s">
        <v>2891</v>
      </c>
    </row>
    <row r="409" spans="1:5" x14ac:dyDescent="0.25">
      <c r="A409" s="13"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29</vt:i4>
      </vt:variant>
    </vt:vector>
  </HeadingPairs>
  <TitlesOfParts>
    <vt:vector size="29" baseType="lpstr">
      <vt:lpstr>Main</vt:lpstr>
      <vt:lpstr>Sheet1</vt:lpstr>
      <vt:lpstr>Useful_Notes</vt:lpstr>
      <vt:lpstr>Sources</vt:lpstr>
      <vt:lpstr>Market_Notes</vt:lpstr>
      <vt:lpstr>Linovia-TopShelf</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2024-08-28T15:50:16Z</dcterms:modified>
</cp:coreProperties>
</file>