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C6B20435-1F6F-4780-A19C-83E524A59003}" xr6:coauthVersionLast="47" xr6:coauthVersionMax="47" xr10:uidLastSave="{00000000-0000-0000-0000-000000000000}"/>
  <bookViews>
    <workbookView xWindow="-120" yWindow="-120" windowWidth="29040" windowHeight="17640" xr2:uid="{00000000-000D-0000-FFFF-FFFF00000000}"/>
  </bookViews>
  <sheets>
    <sheet name="Main" sheetId="1" r:id="rId1"/>
    <sheet name="Useful_Notes" sheetId="16" r:id="rId2"/>
    <sheet name="Sources" sheetId="37" r:id="rId3"/>
    <sheet name="Market_Notes" sheetId="36" r:id="rId4"/>
    <sheet name="WatchList" sheetId="26" r:id="rId5"/>
    <sheet name="Already_Analyzed" sheetId="38" r:id="rId6"/>
    <sheet name="Initial_WatchList" sheetId="25" r:id="rId7"/>
    <sheet name="ETFs" sheetId="34" r:id="rId8"/>
    <sheet name="Thematic ETF" sheetId="35" r:id="rId9"/>
    <sheet name="MOMO List" sheetId="13" r:id="rId10"/>
    <sheet name="Potentials-LGCap500" sheetId="32" r:id="rId11"/>
    <sheet name="Potentials-MidCap400" sheetId="24" r:id="rId12"/>
    <sheet name="Potentials-SmallCap600" sheetId="23" r:id="rId13"/>
    <sheet name="ARKF-Holdings" sheetId="31" r:id="rId14"/>
    <sheet name="ARKG-Holdings" sheetId="30" r:id="rId15"/>
    <sheet name="ARKK-Holdings" sheetId="27" r:id="rId16"/>
    <sheet name="ARKQ-Holdings" sheetId="28" r:id="rId17"/>
    <sheet name="ARKW-Holdings" sheetId="29" r:id="rId18"/>
    <sheet name="NDAQ100" sheetId="18" r:id="rId19"/>
    <sheet name="S&amp;P500" sheetId="14" r:id="rId20"/>
    <sheet name="S&amp;PMidCap400" sheetId="15" r:id="rId21"/>
    <sheet name="S&amp;PSmallCap600" sheetId="17" r:id="rId22"/>
    <sheet name="Not_in_S&amp;P1500" sheetId="19" r:id="rId23"/>
    <sheet name="Ann" sheetId="22" r:id="rId24"/>
    <sheet name="Sundeep" sheetId="21" r:id="rId25"/>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2" i="26" l="1"/>
  <c r="H52" i="26" l="1"/>
  <c r="R45" i="26" l="1"/>
  <c r="N45"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<sst xmlns="http://schemas.openxmlformats.org/spreadsheetml/2006/main" count="26514" uniqueCount="6858">
  <si>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</si>
  <si>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</si>
  <si>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</si>
  <si>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</si>
  <si>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</si>
  <si>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</si>
  <si>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</si>
  <si>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</si>
  <si>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</si>
  <si>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</si>
  <si>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</si>
  <si>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</si>
  <si>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</si>
  <si>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</si>
  <si>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</si>
  <si>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</si>
  <si>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</si>
  <si>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</si>
  <si>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</si>
  <si>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</si>
  <si>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</si>
  <si>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</si>
  <si>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</si>
  <si>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</si>
  <si>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</si>
  <si>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</si>
  <si>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</si>
  <si>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</si>
  <si>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</si>
  <si>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</si>
  <si>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</si>
  <si>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</si>
  <si>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</si>
  <si>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</si>
  <si>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</si>
  <si>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</si>
  <si>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</si>
  <si>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</si>
  <si>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</si>
  <si>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</si>
  <si>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</si>
  <si>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</si>
  <si>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</si>
  <si>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</si>
  <si>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</si>
  <si>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</si>
  <si>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</si>
  <si>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</si>
  <si>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</si>
  <si>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</si>
  <si>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</si>
  <si>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</si>
  <si>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</si>
  <si>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</si>
  <si>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</si>
  <si>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</si>
  <si>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</si>
  <si>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</si>
  <si>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</si>
  <si>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</si>
  <si>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</si>
  <si>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</si>
  <si>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</si>
  <si>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</si>
  <si>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</si>
  <si>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</si>
  <si>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</si>
  <si>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</si>
  <si>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</si>
  <si>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</si>
  <si>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</si>
  <si>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</si>
  <si>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</si>
  <si>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</si>
  <si>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</si>
  <si>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</si>
  <si>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</si>
  <si>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</si>
  <si>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</si>
  <si>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</si>
  <si>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</si>
  <si>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</si>
  <si>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</si>
  <si>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</si>
  <si>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</si>
  <si>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</si>
  <si>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</si>
  <si>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</si>
  <si>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</si>
  <si>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</si>
  <si>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</si>
  <si>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</si>
  <si>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</si>
  <si>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</si>
  <si>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</si>
  <si>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</si>
  <si>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</si>
  <si>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</si>
  <si>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</si>
  <si>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</si>
  <si>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</si>
  <si>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</si>
  <si>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</si>
  <si>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</si>
  <si>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</si>
  <si>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</si>
  <si>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</si>
  <si>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</si>
  <si>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</si>
  <si>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</si>
  <si>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</si>
  <si>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</si>
  <si>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</si>
  <si>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</si>
  <si>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</si>
  <si>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</si>
  <si>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</si>
  <si>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</si>
  <si>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</si>
  <si>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</si>
  <si>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</si>
  <si>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</si>
  <si>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</si>
  <si>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</si>
  <si>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</si>
  <si>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</si>
  <si>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</si>
  <si>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</si>
  <si>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</si>
  <si>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</si>
  <si>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</si>
  <si>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</si>
  <si>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</si>
  <si>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</si>
  <si>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</si>
  <si>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</si>
  <si>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</si>
  <si>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</si>
  <si>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</si>
  <si>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</si>
  <si>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</si>
  <si>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</si>
  <si>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</si>
  <si>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</si>
  <si>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</si>
  <si>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</si>
  <si>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</si>
  <si>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</si>
  <si>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</si>
  <si>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</si>
  <si>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</si>
  <si>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</si>
  <si>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</si>
  <si>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</si>
  <si>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</si>
  <si>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</si>
  <si>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</si>
  <si>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</si>
  <si>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</si>
  <si>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</si>
  <si>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</si>
  <si>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</si>
  <si>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</si>
  <si>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</si>
  <si>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</si>
  <si>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</si>
  <si>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</si>
  <si>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</si>
  <si>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</si>
  <si>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</si>
  <si>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</si>
  <si>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</si>
  <si>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</si>
  <si>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</si>
  <si>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</si>
  <si>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</si>
  <si>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</si>
  <si>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</si>
  <si>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</si>
  <si>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</si>
  <si>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</si>
  <si>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</si>
  <si>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</si>
  <si>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</si>
  <si>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</si>
  <si>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</si>
  <si>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</si>
  <si>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</si>
  <si>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</si>
  <si>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</si>
  <si>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</si>
  <si>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</si>
  <si>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</si>
  <si>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</si>
  <si>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</si>
  <si>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</si>
  <si>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</si>
  <si>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</si>
  <si>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</si>
  <si>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</si>
  <si>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</si>
  <si>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</si>
  <si>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</si>
  <si>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</si>
  <si>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</si>
  <si>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</si>
  <si>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</si>
  <si>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</si>
  <si>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</si>
  <si>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</si>
  <si>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</si>
  <si>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</si>
  <si>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</si>
  <si>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</si>
  <si>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</si>
  <si>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</si>
  <si>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</si>
  <si>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</si>
  <si>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</si>
  <si>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</si>
  <si>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</si>
  <si>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</si>
  <si>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</si>
  <si>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</si>
  <si>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</si>
  <si>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</si>
  <si>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</si>
  <si>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</si>
  <si>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</si>
  <si>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</si>
  <si>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</si>
  <si>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</si>
  <si>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</si>
  <si>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</si>
  <si>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</si>
  <si>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</si>
  <si>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</si>
  <si>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</si>
  <si>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</si>
  <si>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</si>
  <si>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</si>
  <si>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</si>
  <si>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</si>
  <si>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</si>
  <si>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</si>
  <si>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</si>
  <si>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</si>
  <si>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</si>
  <si>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</si>
  <si>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</si>
  <si>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</si>
  <si>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</si>
  <si>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</si>
  <si>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</si>
  <si>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</si>
  <si>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</si>
  <si>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</si>
  <si>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</si>
  <si>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</si>
  <si>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</si>
  <si>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</si>
  <si>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</si>
  <si>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</si>
  <si>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</si>
  <si>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</si>
  <si>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</si>
  <si>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</si>
  <si>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</si>
  <si>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</si>
  <si>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</si>
  <si>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</si>
  <si>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</si>
  <si>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</si>
  <si>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</si>
  <si>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</si>
  <si>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</si>
  <si>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</si>
  <si>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</si>
  <si>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</si>
  <si>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</si>
  <si>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</si>
  <si>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</si>
  <si>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</si>
  <si>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</si>
  <si>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</si>
  <si>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</si>
  <si>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</si>
  <si>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</si>
  <si>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</si>
  <si>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</si>
  <si>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</si>
  <si>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</si>
  <si>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</si>
  <si>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</si>
  <si>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</si>
  <si>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</si>
  <si>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</si>
  <si>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</si>
  <si>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</si>
  <si>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</si>
  <si>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</si>
  <si>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</si>
  <si>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</si>
  <si>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</si>
  <si>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</si>
  <si>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</si>
  <si>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</si>
  <si>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</si>
  <si>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</si>
  <si>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</si>
  <si>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</si>
  <si>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</si>
  <si>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</si>
  <si>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</si>
  <si>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</si>
  <si>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</si>
  <si>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</si>
  <si>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</si>
  <si>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</si>
  <si>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</si>
  <si>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</si>
  <si>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</si>
  <si>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</si>
  <si>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</si>
  <si>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</si>
  <si>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</si>
  <si>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</si>
  <si>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</si>
  <si>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</si>
  <si>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</si>
  <si>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</si>
  <si>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</si>
  <si>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</si>
  <si>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</si>
  <si>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</si>
  <si>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</si>
  <si>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</si>
  <si>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</si>
  <si>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</si>
  <si>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</si>
  <si>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</si>
  <si>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</si>
  <si>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</si>
  <si>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</si>
  <si>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</si>
  <si>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</si>
  <si>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</si>
  <si>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</si>
  <si>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</si>
  <si>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</si>
  <si>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</si>
  <si>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</si>
  <si>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</si>
  <si>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</si>
  <si>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</si>
  <si>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</si>
  <si>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</si>
  <si>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</si>
  <si>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</si>
  <si>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</si>
  <si>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</si>
  <si>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</si>
  <si>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</si>
  <si>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</si>
  <si>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</si>
  <si>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</si>
  <si>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</si>
  <si>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</si>
  <si>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</si>
  <si>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</si>
  <si>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</si>
  <si>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</si>
  <si>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</si>
  <si>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</si>
  <si>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</si>
  <si>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</si>
  <si>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</si>
  <si>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</si>
  <si>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</si>
  <si>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</si>
  <si>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</si>
  <si>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</si>
  <si>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</si>
  <si>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</si>
  <si>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</si>
  <si>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</si>
  <si>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</si>
  <si>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</si>
  <si>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</si>
  <si>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</si>
  <si>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</si>
  <si>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</si>
  <si>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</si>
  <si>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</si>
  <si>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</si>
  <si>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</si>
  <si>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</si>
  <si>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</si>
  <si>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</si>
  <si>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</si>
  <si>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</si>
  <si>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</si>
  <si>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</si>
  <si>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</si>
  <si>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</si>
  <si>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</si>
  <si>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</si>
  <si>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</si>
  <si>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</si>
  <si>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</si>
  <si>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</si>
  <si>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</si>
  <si>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</si>
  <si>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</si>
  <si>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</si>
  <si>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</si>
  <si>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</si>
  <si>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</si>
  <si>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</si>
  <si>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</si>
  <si>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</si>
  <si>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</si>
  <si>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</si>
  <si>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</si>
  <si>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</si>
  <si>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</si>
  <si>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</si>
  <si>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</si>
  <si>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</si>
  <si>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</si>
  <si>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</si>
  <si>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</si>
  <si>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</si>
  <si>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</si>
  <si>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</si>
  <si>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</si>
  <si>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</si>
  <si>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</si>
  <si>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</si>
  <si>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</si>
  <si>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</si>
  <si>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</si>
  <si>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</si>
  <si>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</si>
  <si>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</si>
  <si>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</si>
  <si>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</si>
  <si>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</si>
  <si>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</si>
  <si>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</si>
  <si>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</si>
  <si>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</si>
  <si>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</si>
  <si>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</si>
  <si>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</si>
  <si>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</si>
  <si>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</si>
  <si>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</si>
  <si>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</si>
  <si>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</si>
  <si>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</si>
  <si>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</si>
  <si>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</si>
  <si>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</si>
  <si>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</si>
  <si>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</si>
  <si>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</si>
  <si>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</si>
  <si>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</si>
  <si>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</si>
  <si>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</si>
  <si>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</si>
  <si>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</si>
  <si>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</si>
  <si>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</si>
  <si>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</si>
  <si>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</si>
  <si>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</si>
  <si>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</si>
  <si>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</si>
  <si>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</si>
  <si>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</si>
  <si>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</si>
  <si>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</si>
  <si>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</si>
  <si>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</si>
  <si>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</si>
  <si>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</si>
  <si>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</si>
  <si>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</si>
  <si>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</si>
  <si>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</si>
  <si>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</si>
  <si>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</si>
  <si>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</si>
  <si>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</si>
  <si>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</si>
  <si>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</si>
  <si>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</si>
  <si>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</si>
  <si>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</si>
  <si>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</si>
  <si>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</si>
  <si>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</si>
  <si>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</si>
  <si>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</si>
  <si>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</si>
  <si>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</si>
  <si>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</si>
  <si>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</si>
  <si>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</si>
  <si>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</si>
  <si>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</si>
  <si>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</si>
  <si>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</si>
  <si>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</si>
  <si>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</si>
  <si>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</si>
  <si>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</si>
  <si>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</si>
  <si>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</si>
  <si>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</si>
  <si>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</si>
  <si>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</si>
  <si>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</si>
  <si>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</si>
  <si>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</si>
  <si>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</si>
  <si>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</si>
  <si>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</si>
  <si>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</si>
  <si>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</si>
  <si>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</si>
  <si>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</si>
  <si>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</si>
  <si>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</si>
  <si>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</si>
  <si>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</si>
  <si>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</si>
  <si>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</si>
  <si>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</si>
  <si>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</si>
  <si>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</si>
  <si>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</si>
  <si>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</si>
  <si>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</si>
  <si>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</si>
  <si>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</si>
  <si>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</si>
  <si>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</si>
  <si>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</si>
  <si>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</si>
  <si>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</si>
  <si>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</si>
  <si>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</si>
  <si>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</si>
  <si>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</si>
  <si>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</si>
  <si>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</si>
  <si>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</si>
  <si>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</si>
  <si>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</si>
  <si>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</si>
  <si>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</si>
  <si>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</si>
  <si>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</si>
  <si>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</si>
  <si>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</si>
  <si>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</si>
  <si>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</si>
  <si>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</si>
  <si>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</si>
  <si>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</si>
  <si>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</si>
  <si>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</si>
  <si>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</si>
  <si>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</si>
  <si>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</si>
  <si>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</si>
  <si>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</si>
  <si>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</si>
  <si>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</si>
  <si>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</si>
  <si>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</si>
  <si>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</si>
  <si>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</si>
  <si>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</si>
  <si>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</si>
  <si>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</si>
  <si>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</si>
  <si>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</si>
  <si>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</si>
  <si>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</si>
  <si>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</si>
  <si>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</si>
  <si>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</si>
  <si>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</si>
  <si>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</si>
  <si>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</si>
  <si>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</si>
  <si>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</si>
  <si>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</si>
  <si>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</si>
  <si>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</si>
  <si>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</si>
  <si>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</si>
  <si>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</si>
  <si>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</si>
  <si>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</si>
  <si>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</si>
  <si>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</si>
  <si>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</si>
  <si>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</si>
  <si>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</si>
  <si>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</si>
  <si>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</si>
  <si>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</si>
  <si>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</si>
  <si>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</si>
  <si>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</si>
  <si>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</si>
  <si>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</si>
  <si>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</si>
  <si>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</si>
  <si>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</si>
  <si>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</si>
  <si>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</si>
  <si>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</si>
  <si>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</si>
  <si>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</si>
  <si>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</si>
  <si>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</si>
  <si>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</si>
  <si>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</si>
  <si>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</si>
  <si>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</si>
  <si>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</si>
  <si>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</si>
  <si>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</si>
  <si>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</si>
  <si>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</si>
  <si>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</si>
  <si>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</si>
  <si>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</si>
  <si>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</si>
  <si>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</si>
  <si>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</si>
  <si>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</si>
  <si>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</si>
  <si>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</si>
  <si>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</si>
  <si>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</si>
  <si>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</si>
  <si>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</si>
  <si>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</si>
  <si>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</si>
  <si>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</si>
  <si>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</si>
  <si>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</si>
  <si>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</si>
  <si>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</si>
  <si>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</si>
  <si>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</si>
  <si>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</si>
  <si>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</si>
  <si>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</si>
  <si>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</si>
  <si>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</si>
  <si>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</si>
  <si>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</si>
  <si>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</si>
  <si>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</si>
  <si>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</si>
  <si>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</si>
  <si>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</si>
  <si>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</si>
  <si>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</si>
  <si>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</si>
  <si>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</si>
  <si>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</si>
  <si>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</si>
  <si>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</si>
  <si>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</si>
  <si>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</si>
  <si>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</si>
  <si>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</si>
  <si>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</si>
  <si>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</si>
  <si>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</si>
  <si>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</si>
  <si>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</si>
  <si>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</si>
  <si>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</si>
  <si>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</si>
  <si>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</si>
  <si>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</si>
  <si>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</si>
  <si>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</si>
  <si>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</si>
  <si>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</si>
  <si>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</si>
  <si>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</si>
  <si>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</si>
  <si>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</si>
  <si>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</si>
  <si>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</si>
  <si>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</si>
  <si>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</si>
  <si>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</si>
  <si>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</si>
  <si>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</si>
  <si>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</si>
  <si>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</si>
  <si>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</si>
  <si>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</si>
  <si>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</si>
  <si>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</si>
  <si>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</si>
  <si>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</si>
  <si>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</si>
  <si>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</si>
  <si>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</si>
  <si>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</si>
  <si>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</si>
  <si>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</si>
  <si>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</si>
  <si>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</si>
  <si>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</si>
  <si>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</si>
  <si>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</si>
  <si>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</si>
  <si>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</si>
  <si>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</si>
  <si>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</si>
  <si>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</si>
  <si>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</si>
  <si>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</si>
  <si>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</si>
  <si>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</si>
  <si>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</si>
  <si>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</si>
  <si>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</si>
  <si>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</si>
  <si>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</si>
  <si>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</si>
  <si>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</si>
  <si>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</si>
  <si>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</si>
  <si>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</si>
  <si>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</si>
  <si>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</si>
  <si>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</si>
  <si>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</si>
  <si>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</si>
  <si>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</si>
  <si>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</si>
  <si>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</si>
  <si>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</si>
  <si>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</si>
  <si>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</si>
  <si>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</si>
  <si>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</si>
  <si>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</si>
  <si>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</si>
  <si>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</si>
  <si>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</si>
  <si>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</si>
  <si>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</si>
  <si>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</si>
  <si>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</si>
  <si>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</si>
  <si>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</si>
  <si>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</si>
  <si>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</si>
  <si>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</si>
  <si>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</si>
  <si>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</si>
  <si>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</si>
  <si>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</si>
  <si>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</si>
  <si>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</si>
  <si>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</si>
  <si>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</si>
  <si>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</si>
  <si>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</si>
  <si>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</si>
  <si>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</si>
  <si>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</si>
  <si>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</si>
  <si>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</si>
  <si>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</si>
  <si>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</si>
  <si>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</si>
  <si>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</si>
  <si>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</si>
  <si>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</si>
  <si>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</si>
  <si>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</si>
  <si>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</si>
  <si>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</si>
  <si>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</si>
  <si>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</si>
  <si>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</si>
  <si>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</si>
  <si>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</si>
  <si>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</si>
  <si>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</si>
  <si>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</si>
  <si>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</si>
  <si>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</si>
  <si>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</si>
  <si>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</si>
  <si>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</si>
  <si>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</si>
  <si>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</si>
  <si>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</si>
  <si>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</si>
  <si>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</si>
  <si>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</si>
  <si>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</si>
  <si>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</si>
  <si>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</si>
  <si>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</si>
  <si>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</si>
  <si>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</si>
  <si>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</si>
  <si>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</si>
  <si>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</si>
  <si>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</si>
  <si>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</si>
  <si>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</si>
  <si>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</si>
  <si>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</si>
  <si>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</si>
  <si>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</si>
  <si>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</si>
  <si>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</si>
  <si>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</si>
  <si>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</si>
  <si>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</si>
  <si>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</si>
  <si>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</si>
  <si>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</si>
  <si>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</si>
  <si>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</si>
  <si>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</si>
  <si>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</si>
  <si>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</si>
  <si>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</si>
  <si>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</si>
  <si>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</si>
  <si>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</si>
  <si>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</si>
  <si>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</si>
  <si>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</si>
  <si>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</si>
  <si>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</si>
  <si>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</si>
  <si>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</si>
  <si>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</si>
  <si>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</si>
  <si>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</si>
  <si>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</si>
  <si>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</si>
  <si>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</si>
  <si>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</si>
  <si>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</si>
  <si>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</si>
  <si>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</si>
  <si>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</si>
  <si>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</si>
  <si>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</si>
  <si>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</si>
  <si>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</si>
  <si>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</si>
  <si>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</si>
  <si>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</si>
  <si>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</si>
  <si>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</si>
  <si>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</si>
  <si>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</si>
  <si>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</si>
  <si>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</si>
  <si>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</si>
  <si>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</si>
  <si>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</si>
  <si>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</si>
  <si>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</si>
  <si>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</si>
  <si>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</si>
  <si>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</si>
  <si>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</si>
  <si>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</si>
  <si>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</si>
  <si>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</si>
  <si>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</si>
  <si>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</si>
  <si>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</si>
  <si>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</si>
  <si>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</si>
  <si>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</si>
  <si>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</si>
  <si>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</si>
  <si>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</si>
  <si>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</si>
  <si>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</si>
  <si>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</si>
  <si>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</si>
  <si>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</si>
  <si>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</si>
  <si>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</si>
  <si>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</si>
  <si>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</si>
  <si>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</si>
  <si>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</si>
  <si>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</si>
  <si>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</si>
  <si>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</si>
  <si>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</si>
  <si>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</si>
  <si>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</si>
  <si>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</si>
  <si>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</si>
  <si>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</si>
  <si>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</si>
  <si>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</si>
  <si>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</si>
  <si>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</si>
  <si>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</si>
  <si>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</si>
  <si>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</si>
  <si>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</si>
  <si>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</si>
  <si>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</si>
  <si>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</si>
  <si>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</si>
  <si>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</si>
  <si>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</si>
  <si>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</si>
  <si>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</si>
  <si>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</si>
  <si>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</si>
  <si>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</si>
  <si>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</si>
  <si>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</si>
  <si>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</si>
  <si>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</si>
  <si>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</si>
  <si>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</si>
  <si>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</si>
  <si>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</si>
  <si>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</si>
  <si>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</si>
  <si>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</si>
  <si>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</si>
  <si>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</si>
  <si>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</si>
  <si>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</si>
  <si>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</si>
  <si>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</si>
  <si>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</si>
  <si>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</si>
  <si>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</si>
  <si>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</si>
  <si>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</si>
  <si>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</si>
  <si>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</si>
  <si>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</si>
  <si>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</si>
  <si>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</si>
  <si>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</si>
  <si>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</si>
  <si>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</si>
  <si>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</si>
  <si>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</si>
  <si>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</si>
  <si>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</si>
  <si>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</si>
  <si>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</si>
  <si>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</si>
  <si>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</si>
  <si>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</si>
  <si>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</si>
  <si>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</si>
  <si>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</si>
  <si>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</si>
  <si>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</si>
  <si>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</si>
  <si>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</si>
  <si>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</si>
  <si>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</si>
  <si>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</si>
  <si>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</si>
  <si>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</si>
  <si>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</si>
  <si>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</si>
  <si>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</si>
  <si>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</si>
  <si>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</si>
  <si>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</si>
  <si>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</si>
  <si>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</si>
  <si>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</si>
  <si>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</si>
  <si>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</si>
  <si>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</si>
  <si>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</si>
  <si>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</si>
  <si>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</si>
  <si>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</si>
  <si>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</si>
  <si>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</si>
  <si>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</si>
  <si>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</si>
  <si>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</si>
  <si>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</si>
  <si>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</si>
  <si>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</si>
  <si>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</si>
  <si>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</si>
  <si>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</si>
  <si>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</si>
  <si>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</si>
  <si>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</si>
  <si>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</si>
  <si>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</si>
  <si>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</si>
  <si>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</si>
  <si>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</si>
  <si>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</si>
  <si>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</si>
  <si>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</si>
  <si>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</si>
  <si>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</si>
  <si>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</si>
  <si>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</si>
  <si>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</si>
  <si>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</si>
  <si>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</si>
  <si>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</si>
  <si>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</si>
  <si>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</si>
  <si>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</si>
  <si>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</si>
  <si>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</si>
  <si>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</si>
  <si>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</si>
  <si>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</si>
  <si>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</si>
  <si>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</si>
  <si>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</si>
  <si>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</si>
  <si>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</si>
  <si>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</si>
  <si>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</si>
  <si>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</si>
  <si>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</si>
  <si>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</si>
  <si>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</si>
  <si>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</si>
  <si>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</si>
  <si>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</si>
  <si>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</si>
  <si>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</si>
  <si>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</si>
  <si>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</si>
  <si>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</si>
  <si>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</si>
  <si>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</si>
  <si>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</si>
  <si>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</si>
  <si>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</si>
  <si>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</si>
  <si>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</si>
  <si>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</si>
  <si>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</si>
  <si>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</si>
  <si>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</si>
  <si>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</si>
  <si>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</si>
  <si>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</si>
  <si>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</si>
  <si>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</si>
  <si>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</si>
  <si>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</si>
  <si>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</si>
  <si>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</si>
  <si>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</si>
  <si>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</si>
  <si>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</si>
  <si>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</si>
  <si>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</si>
  <si>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</si>
  <si>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</si>
  <si>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</si>
  <si>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</si>
  <si>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</si>
  <si>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</si>
  <si>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</si>
  <si>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</si>
  <si>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</si>
  <si>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</si>
  <si>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</si>
  <si>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</si>
  <si>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</si>
  <si>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</si>
  <si>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</si>
  <si>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</si>
  <si>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</si>
  <si>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</si>
  <si>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</si>
  <si>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</si>
  <si>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</si>
  <si>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</si>
  <si>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</si>
  <si>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</si>
  <si>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</si>
  <si>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</si>
  <si>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</si>
  <si>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</si>
  <si>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</si>
  <si>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</si>
  <si>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</si>
  <si>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</si>
  <si>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</si>
  <si>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</si>
  <si>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</si>
  <si>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</si>
  <si>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</si>
  <si>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</si>
  <si>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</si>
  <si>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</si>
  <si>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</si>
  <si>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</si>
  <si>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</si>
  <si>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</si>
  <si>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</si>
  <si>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</si>
  <si>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</si>
  <si>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</si>
  <si>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</si>
  <si>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</si>
  <si>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</si>
  <si>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</si>
  <si>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</si>
  <si>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</si>
  <si>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</si>
  <si>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</si>
  <si>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</si>
  <si>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</si>
  <si>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</si>
  <si>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</si>
  <si>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</si>
  <si>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</si>
  <si>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</si>
  <si>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</si>
  <si>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</si>
  <si>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</si>
  <si>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</si>
  <si>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</si>
  <si>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</si>
  <si>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</si>
  <si>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</si>
  <si>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</si>
  <si>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</si>
  <si>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</si>
  <si>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</si>
  <si>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</si>
  <si>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</si>
  <si>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</si>
  <si>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</si>
  <si>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</si>
  <si>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</si>
  <si>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</si>
  <si>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</si>
  <si>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</si>
  <si>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</si>
  <si>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</si>
  <si>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</si>
  <si>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</si>
  <si>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</si>
  <si>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</si>
  <si>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</si>
  <si>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</si>
  <si>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</si>
  <si>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</si>
  <si>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</si>
  <si>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</si>
  <si>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</si>
  <si>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</si>
  <si>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</si>
  <si>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</si>
  <si>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</si>
  <si>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</si>
  <si>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</si>
  <si>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</si>
  <si>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</si>
  <si>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</si>
  <si>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</si>
  <si>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</si>
  <si>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</si>
  <si>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</si>
  <si>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</si>
  <si>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</si>
  <si>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</si>
  <si>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</si>
  <si>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</si>
  <si>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</si>
  <si>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</si>
  <si>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</si>
  <si>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</si>
  <si>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</si>
  <si>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</si>
  <si>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</si>
  <si>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</si>
  <si>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</si>
  <si>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</si>
  <si>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</si>
  <si>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</si>
  <si>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</si>
  <si>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</si>
  <si>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</si>
  <si>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</si>
  <si>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</si>
  <si>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</si>
  <si>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</si>
  <si>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</si>
  <si>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</si>
  <si>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</si>
  <si>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</si>
  <si>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</si>
  <si>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</si>
  <si>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</si>
  <si>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</si>
  <si>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</si>
  <si>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</si>
  <si>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</si>
  <si>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</si>
  <si>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</si>
  <si>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</si>
  <si>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</si>
  <si>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</si>
  <si>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</si>
  <si>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</si>
  <si>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</si>
  <si>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</si>
  <si>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</si>
  <si>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</si>
  <si>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</si>
  <si>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</si>
  <si>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</si>
  <si>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</si>
  <si>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</si>
  <si>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</si>
  <si>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</si>
  <si>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</si>
  <si>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</si>
  <si>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</si>
  <si>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</si>
  <si>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</si>
  <si>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</si>
  <si>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</si>
  <si>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</si>
  <si>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</si>
  <si>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</si>
  <si>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</si>
  <si>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</si>
  <si>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</si>
  <si>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</si>
  <si>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</si>
  <si>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</si>
  <si>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</si>
  <si>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</si>
  <si>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</si>
  <si>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</si>
  <si>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</si>
  <si>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</si>
  <si>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</si>
  <si>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</si>
  <si>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</si>
  <si>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</si>
  <si>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</si>
  <si>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</si>
  <si>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</si>
  <si>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</si>
  <si>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</si>
  <si>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</si>
  <si>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</si>
  <si>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</si>
  <si>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</si>
  <si>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</si>
  <si>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</si>
  <si>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</si>
  <si>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</si>
  <si>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</si>
  <si>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</si>
  <si>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</si>
  <si>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</si>
  <si>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</si>
  <si>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</si>
  <si>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</si>
  <si>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</si>
  <si>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</si>
  <si>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</si>
  <si>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</si>
  <si>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</si>
  <si>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</si>
  <si>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</si>
  <si>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</si>
  <si>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</si>
  <si>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</si>
  <si>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</si>
  <si>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</si>
  <si>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</si>
  <si>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</si>
  <si>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</si>
  <si>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</si>
  <si>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</si>
  <si>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</si>
  <si>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</si>
  <si>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</si>
  <si>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</si>
  <si>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</si>
  <si>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</si>
  <si>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</si>
  <si>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</si>
  <si>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</si>
  <si>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</si>
  <si>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</si>
  <si>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</si>
  <si>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</si>
  <si>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</si>
  <si>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</si>
  <si>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</si>
  <si>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</si>
  <si>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</si>
  <si>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</si>
  <si>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</si>
  <si>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</si>
  <si>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</si>
  <si>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</si>
  <si>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</si>
  <si>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</si>
  <si>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</si>
  <si>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</si>
  <si>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</si>
  <si>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</si>
  <si>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</si>
  <si>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</si>
  <si>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</si>
  <si>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</si>
  <si>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</si>
  <si>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</si>
  <si>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</si>
  <si>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</si>
  <si>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</si>
  <si>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</si>
  <si>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</si>
  <si>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</si>
  <si>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</si>
  <si>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</si>
  <si>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</si>
  <si>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</si>
  <si>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</si>
  <si>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</si>
  <si>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</si>
  <si>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</si>
  <si>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</si>
  <si>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</si>
  <si>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</si>
  <si>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</si>
  <si>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</si>
  <si>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</si>
  <si>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</si>
  <si>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</si>
  <si>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</si>
  <si>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</si>
  <si>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</si>
  <si>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</si>
  <si>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</si>
  <si>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</si>
  <si>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</si>
  <si>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</si>
  <si>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</si>
  <si>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</si>
  <si>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</si>
  <si>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</si>
  <si>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</si>
  <si>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</si>
  <si>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</si>
  <si>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</si>
  <si>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</si>
  <si>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</si>
  <si>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</si>
  <si>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</si>
  <si>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</si>
  <si>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</si>
  <si>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</si>
  <si>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</si>
  <si>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</si>
  <si>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</si>
  <si>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</si>
  <si>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</si>
  <si>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</si>
  <si>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</si>
  <si>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</si>
  <si>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</si>
  <si>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</si>
  <si>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</si>
  <si>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</si>
  <si>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</si>
  <si>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</si>
  <si>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</si>
  <si>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</si>
  <si>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</si>
  <si>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</si>
  <si>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</si>
  <si>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</si>
  <si>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</si>
  <si>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</si>
  <si>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</si>
  <si>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</si>
  <si>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</si>
  <si>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</si>
  <si>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</si>
  <si>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</si>
  <si>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</si>
  <si>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</si>
  <si>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</si>
  <si>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</si>
  <si>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</si>
  <si>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</si>
  <si>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</si>
  <si>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</si>
  <si>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</si>
  <si>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</si>
  <si>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</si>
  <si>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</si>
  <si>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</si>
  <si>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</si>
  <si>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</si>
  <si>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</si>
  <si>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</si>
  <si>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</si>
  <si>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</si>
  <si>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</si>
  <si>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</si>
  <si>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</si>
  <si>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</si>
  <si>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</si>
  <si>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</si>
  <si>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</si>
  <si>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</si>
  <si>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</si>
  <si>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</si>
  <si>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</si>
  <si>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</si>
  <si>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</si>
  <si>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</si>
  <si>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</si>
  <si>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</si>
  <si>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</si>
  <si>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</si>
  <si>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</si>
  <si>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</si>
  <si>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</si>
  <si>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</si>
  <si>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</si>
  <si>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</si>
  <si>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</si>
  <si>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</si>
  <si>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</si>
  <si>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</si>
  <si>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</si>
  <si>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</si>
  <si>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</si>
  <si>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</si>
  <si>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</si>
  <si>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</si>
  <si>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</si>
  <si>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</si>
  <si>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</si>
  <si>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</si>
  <si>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</si>
  <si>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</si>
  <si>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</si>
  <si>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</si>
  <si>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</si>
  <si>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</si>
  <si>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</si>
  <si>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</si>
  <si>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</si>
  <si>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</si>
  <si>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</si>
  <si>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</si>
  <si>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</si>
  <si>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</si>
  <si>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</si>
  <si>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</si>
  <si>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</si>
  <si>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</si>
  <si>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</si>
  <si>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</si>
  <si>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</si>
  <si>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</si>
  <si>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</si>
  <si>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</si>
  <si>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</si>
  <si>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</si>
  <si>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</si>
  <si>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</si>
  <si>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</si>
  <si>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</si>
  <si>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</si>
  <si>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</si>
  <si>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</si>
  <si>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</si>
  <si>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</si>
  <si>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</si>
  <si>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</si>
  <si>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</si>
  <si>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</si>
  <si>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</si>
  <si>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</si>
  <si>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</si>
  <si>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</si>
  <si>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</si>
  <si>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</si>
  <si>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</si>
  <si>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</si>
  <si>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</si>
  <si>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</si>
  <si>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</si>
  <si>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</si>
  <si>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</si>
  <si>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</si>
  <si>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</si>
  <si>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</si>
  <si>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</si>
  <si>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</si>
  <si>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</si>
  <si>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</si>
  <si>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</si>
  <si>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</si>
  <si>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</si>
  <si>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</si>
  <si>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</si>
  <si>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</si>
  <si>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</si>
  <si>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</si>
  <si>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</si>
  <si>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</si>
  <si>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</si>
  <si>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</si>
  <si>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</si>
  <si>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</si>
  <si>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</si>
  <si>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</si>
  <si>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</si>
  <si>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</si>
  <si>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</si>
  <si>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</si>
  <si>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</si>
  <si>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</si>
  <si>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</si>
  <si>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</si>
  <si>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</si>
  <si>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</si>
  <si>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</si>
  <si>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</si>
  <si>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</si>
  <si>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</si>
  <si>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</si>
  <si>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</si>
  <si>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</si>
  <si>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</si>
  <si>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</si>
  <si>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</si>
  <si>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</si>
  <si>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</si>
  <si>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</si>
  <si>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</si>
  <si>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</si>
  <si>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</si>
  <si>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</si>
  <si>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</si>
  <si>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</si>
  <si>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</si>
  <si>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</si>
  <si>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</si>
  <si>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</si>
  <si>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</si>
  <si>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</si>
  <si>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</si>
  <si>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</si>
  <si>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</si>
  <si>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</si>
  <si>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</si>
  <si>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</si>
  <si>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</si>
  <si>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</si>
  <si>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</si>
  <si>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</si>
  <si>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</si>
  <si>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</si>
  <si>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</si>
  <si>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</si>
  <si>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</si>
  <si>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</si>
  <si>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</si>
  <si>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</si>
  <si>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</si>
  <si>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</si>
  <si>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</si>
  <si>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</si>
  <si>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</si>
  <si>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</si>
  <si>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</si>
  <si>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</si>
  <si>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</si>
  <si>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</si>
  <si>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</si>
  <si>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</si>
  <si>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</si>
  <si>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</si>
  <si>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</si>
  <si>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</si>
  <si>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</si>
  <si>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</si>
  <si>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</si>
  <si>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</si>
  <si>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</si>
  <si>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</si>
  <si>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</si>
  <si>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</si>
  <si>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</si>
  <si>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</si>
  <si>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</si>
  <si>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</si>
  <si>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</si>
  <si>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</si>
  <si>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</si>
  <si>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</si>
  <si>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</si>
  <si>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</si>
  <si>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</si>
  <si>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</si>
  <si>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</si>
  <si>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</si>
  <si>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</si>
  <si>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</si>
  <si>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</si>
  <si>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</si>
  <si>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</si>
  <si>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</si>
  <si>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</si>
  <si>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</si>
  <si>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</si>
  <si>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</si>
  <si>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</si>
  <si>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</si>
  <si>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</si>
  <si>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</si>
  <si>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</si>
  <si>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</si>
  <si>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</si>
  <si>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</si>
  <si>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</si>
  <si>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</si>
  <si>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</si>
  <si>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</si>
  <si>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</si>
  <si>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</si>
  <si>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</si>
  <si>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</si>
  <si>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</si>
  <si>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</si>
  <si>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</si>
  <si>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</si>
  <si>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</si>
  <si>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</si>
  <si>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</si>
  <si>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</si>
  <si>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</si>
  <si>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</si>
  <si>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</si>
  <si>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</si>
  <si>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</si>
  <si>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</si>
  <si>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</si>
  <si>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</si>
  <si>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</si>
  <si>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</si>
  <si>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</si>
  <si>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</si>
  <si>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</si>
  <si>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</si>
  <si>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</si>
  <si>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</si>
  <si>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</si>
  <si>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</si>
  <si>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</si>
  <si>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</si>
  <si>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</si>
  <si>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</si>
  <si>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</si>
  <si>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</si>
  <si>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</si>
  <si>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</si>
  <si>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</si>
  <si>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</si>
  <si>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</si>
  <si>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</si>
  <si>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</si>
  <si>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</si>
  <si>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</si>
  <si>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</si>
  <si>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</si>
  <si>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</si>
  <si>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</si>
  <si>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</si>
  <si>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</si>
  <si>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</si>
  <si>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</si>
  <si>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</si>
  <si>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</si>
  <si>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</si>
  <si>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</si>
  <si>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</si>
  <si>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</si>
  <si>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</si>
  <si>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</si>
  <si>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</si>
  <si>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</si>
  <si>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</si>
  <si>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</si>
  <si>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</si>
  <si>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</si>
  <si>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</si>
  <si>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</si>
  <si>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</si>
  <si>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</si>
  <si>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</si>
  <si>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</si>
  <si>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</si>
  <si>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</si>
  <si>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</si>
  <si>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</si>
  <si>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</si>
  <si>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</si>
  <si>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</si>
  <si>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</si>
  <si>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</si>
  <si>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</si>
  <si>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</si>
  <si>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</si>
  <si>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</si>
  <si>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</si>
  <si>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</si>
  <si>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</si>
  <si>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</si>
  <si>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</si>
  <si>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</si>
  <si>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</si>
  <si>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</si>
  <si>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</si>
  <si>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</si>
  <si>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</si>
  <si>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</si>
  <si>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</si>
  <si>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</si>
  <si>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</si>
  <si>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</si>
  <si>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</si>
  <si>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</si>
  <si>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</si>
  <si>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</si>
  <si>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</si>
  <si>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</si>
  <si>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</si>
  <si>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</si>
  <si>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</si>
  <si>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</si>
  <si>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</si>
  <si>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</si>
  <si>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</si>
  <si>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</si>
  <si>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</si>
  <si>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</si>
  <si>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</si>
  <si>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</si>
  <si>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</si>
  <si>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</si>
  <si>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</si>
  <si>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</si>
  <si>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</si>
  <si>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</si>
  <si>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</si>
  <si>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</si>
  <si>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</si>
  <si>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</si>
  <si>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</si>
  <si>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</si>
  <si>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</si>
  <si>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</si>
  <si>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</si>
  <si>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</si>
  <si>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</si>
  <si>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</si>
  <si>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</si>
  <si>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</si>
  <si>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</si>
  <si>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</si>
  <si>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</si>
  <si>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</si>
  <si>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</si>
  <si>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</si>
  <si>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</si>
  <si>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</si>
  <si>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</si>
  <si>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</si>
  <si>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</si>
  <si>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</si>
  <si>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</si>
  <si>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</si>
  <si>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</si>
  <si>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</si>
  <si>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</si>
  <si>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</si>
  <si>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</si>
  <si>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</si>
  <si>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</si>
  <si>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</si>
  <si>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</si>
  <si>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</si>
  <si>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</si>
  <si>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</si>
  <si>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</si>
  <si>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</si>
  <si>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</si>
  <si>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</si>
  <si>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</si>
  <si>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</si>
  <si>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</si>
  <si>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</si>
  <si>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</si>
  <si>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</si>
  <si>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</si>
  <si>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</si>
  <si>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</si>
  <si>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</si>
  <si>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</si>
  <si>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</si>
  <si>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</si>
  <si>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</si>
  <si>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</si>
  <si>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</si>
  <si>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</si>
  <si>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</si>
  <si>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</si>
  <si>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</si>
  <si>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</si>
  <si>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</si>
  <si>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</si>
  <si>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</si>
  <si>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</si>
  <si>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</si>
  <si>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</si>
  <si>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</si>
  <si>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</si>
  <si>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</si>
  <si>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</si>
  <si>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</si>
  <si>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</si>
  <si>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</si>
  <si>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</si>
  <si>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</si>
  <si>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</si>
  <si>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</si>
  <si>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</si>
  <si>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</si>
  <si>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</si>
  <si>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</si>
  <si>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</si>
  <si>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</si>
  <si>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</si>
  <si>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</si>
  <si>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</si>
  <si>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</si>
  <si>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</si>
  <si>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</si>
  <si>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</si>
  <si>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</si>
  <si>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</si>
  <si>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</si>
  <si>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</si>
  <si>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</si>
  <si>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</si>
  <si>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</si>
  <si>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</si>
  <si>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</si>
  <si>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</si>
  <si>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</si>
  <si>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</si>
  <si>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</si>
  <si>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</si>
  <si>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</si>
  <si>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</si>
  <si>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</si>
  <si>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</si>
  <si>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</si>
  <si>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</si>
  <si>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</si>
  <si>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</si>
  <si>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</si>
  <si>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</si>
  <si>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</si>
  <si>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</si>
  <si>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</si>
  <si>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</si>
  <si>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</si>
  <si>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</si>
  <si>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</si>
  <si>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</si>
  <si>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</si>
  <si>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</si>
  <si>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</si>
  <si>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</si>
  <si>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</si>
  <si>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</si>
  <si>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</si>
  <si>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</si>
  <si>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</si>
  <si>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</si>
  <si>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</si>
  <si>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</si>
  <si>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</si>
  <si>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</si>
  <si>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</si>
  <si>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</si>
  <si>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</si>
  <si>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</si>
  <si>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</si>
  <si>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</si>
  <si>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</si>
  <si>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</si>
  <si>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</si>
  <si>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</si>
  <si>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</si>
  <si>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</si>
  <si>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</si>
  <si>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</si>
  <si>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</si>
  <si>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</si>
  <si>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</si>
  <si>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</si>
  <si>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</si>
  <si>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</si>
  <si>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</si>
  <si>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</si>
  <si>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</si>
  <si>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</si>
  <si>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</si>
  <si>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</si>
  <si>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</si>
  <si>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</si>
  <si>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</si>
  <si>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</si>
  <si>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</si>
  <si>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</si>
  <si>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</si>
  <si>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</si>
  <si>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</si>
  <si>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</si>
  <si>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</si>
  <si>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</si>
  <si>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</si>
  <si>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</si>
  <si>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</si>
  <si>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</si>
  <si>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</si>
  <si>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</si>
  <si>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</si>
  <si>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</si>
  <si>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</si>
  <si>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</si>
  <si>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</si>
  <si>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</si>
  <si>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</si>
  <si>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</si>
  <si>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</si>
  <si>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</si>
  <si>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</si>
  <si>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</si>
  <si>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</si>
  <si>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</si>
  <si>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</si>
  <si>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</si>
  <si>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</si>
  <si>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</si>
  <si>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</si>
  <si>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</si>
  <si>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</si>
  <si>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</si>
  <si>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</si>
  <si>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</si>
  <si>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</si>
  <si>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</si>
  <si>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</si>
  <si>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</si>
  <si>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</si>
  <si>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</si>
  <si>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</si>
  <si>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</si>
  <si>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</si>
  <si>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</si>
  <si>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</si>
  <si>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</si>
  <si>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</si>
  <si>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</si>
  <si>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</si>
  <si>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</si>
  <si>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</si>
  <si>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</si>
  <si>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</si>
  <si>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</si>
  <si>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</si>
  <si>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</si>
  <si>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</si>
  <si>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</si>
  <si>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</si>
  <si>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</si>
  <si>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</si>
  <si>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</si>
  <si>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</si>
  <si>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</si>
  <si>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</si>
  <si>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</si>
  <si>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</si>
  <si>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</si>
  <si>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</si>
  <si>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</si>
  <si>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</si>
  <si>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</si>
  <si>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</si>
  <si>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</si>
  <si>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</si>
  <si>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</si>
  <si>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</si>
  <si>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</si>
  <si>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</si>
  <si>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</si>
  <si>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</si>
  <si>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</si>
  <si>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</si>
  <si>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</si>
  <si>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</si>
  <si>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</si>
  <si>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</si>
  <si>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</si>
  <si>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</si>
  <si>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</si>
  <si>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</si>
  <si>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</si>
  <si>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</si>
  <si>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</si>
  <si>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</si>
  <si>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</si>
  <si>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</si>
  <si>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</si>
  <si>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</si>
  <si>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</si>
  <si>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</si>
  <si>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</si>
  <si>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</si>
  <si>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</si>
  <si>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</si>
  <si>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</si>
  <si>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</si>
  <si>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</si>
  <si>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</si>
  <si>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</si>
  <si>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</si>
  <si>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</si>
  <si>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</si>
  <si>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</si>
  <si>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</si>
  <si>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</si>
  <si>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</si>
  <si>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</si>
  <si>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</si>
  <si>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</si>
  <si>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</si>
  <si>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</si>
  <si>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</si>
  <si>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</si>
  <si>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</si>
  <si>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</si>
  <si>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</si>
  <si>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</si>
  <si>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</si>
  <si>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</si>
  <si>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</si>
  <si>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</si>
  <si>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</si>
  <si>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</si>
  <si>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</si>
  <si>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</si>
  <si>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</si>
  <si>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</si>
  <si>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</si>
  <si>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</si>
  <si>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</si>
  <si>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</si>
  <si>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</si>
  <si>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</si>
  <si>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</si>
  <si>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</si>
  <si>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</si>
  <si>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</si>
  <si>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</si>
  <si>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</si>
  <si>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</si>
  <si>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</si>
  <si>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</si>
  <si>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</si>
  <si>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</si>
  <si>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</si>
  <si>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</si>
  <si>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</si>
  <si>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</si>
  <si>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</si>
  <si>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</si>
  <si>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</si>
  <si>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</si>
  <si>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</si>
  <si>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</si>
  <si>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</si>
  <si>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</si>
  <si>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</si>
  <si>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</si>
  <si>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</si>
  <si>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</si>
  <si>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</si>
  <si>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</si>
  <si>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</si>
  <si>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</si>
  <si>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</si>
  <si>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</si>
  <si>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</si>
  <si>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</si>
  <si>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</si>
  <si>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</si>
  <si>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</si>
  <si>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</si>
  <si>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</si>
  <si>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</si>
  <si>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</si>
  <si>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</si>
  <si>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</si>
  <si>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</si>
  <si>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</si>
  <si>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</si>
  <si>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</si>
  <si>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</si>
  <si>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</si>
  <si>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</si>
  <si>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</si>
  <si>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</si>
  <si>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</si>
  <si>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</si>
  <si>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</si>
  <si>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</si>
  <si>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</si>
  <si>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</si>
  <si>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</si>
  <si>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</si>
  <si>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</si>
  <si>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</si>
  <si>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</si>
  <si>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</si>
  <si>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</si>
  <si>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</si>
  <si>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</si>
  <si>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</si>
  <si>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</si>
  <si>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</si>
  <si>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</si>
  <si>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</si>
  <si>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</si>
  <si>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</si>
  <si>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</si>
  <si>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</si>
  <si>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</si>
  <si>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</si>
  <si>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</si>
  <si>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</si>
  <si>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</si>
  <si>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</si>
  <si>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</si>
  <si>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</si>
  <si>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</si>
  <si>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</si>
  <si>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</si>
  <si>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</si>
  <si>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</si>
  <si>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</si>
  <si>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</si>
  <si>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</si>
  <si>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</si>
  <si>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</si>
  <si>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</si>
  <si>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</si>
  <si>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</si>
  <si>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</si>
  <si>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</si>
  <si>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</si>
  <si>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</si>
  <si>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</si>
  <si>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</si>
  <si>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</si>
  <si>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</si>
  <si>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</si>
  <si>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</si>
  <si>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</si>
  <si>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</si>
  <si>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</si>
  <si>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</si>
  <si>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</si>
  <si>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</si>
  <si>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</si>
  <si>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</si>
  <si>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</si>
  <si>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</si>
  <si>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</si>
  <si>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</si>
  <si>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</si>
  <si>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</si>
  <si>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</si>
  <si>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</si>
  <si>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</si>
  <si>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</si>
  <si>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</si>
  <si>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</si>
  <si>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</si>
  <si>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</si>
  <si>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</si>
  <si>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</si>
  <si>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</si>
  <si>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</si>
  <si>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</si>
  <si>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</si>
  <si>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</si>
  <si>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</si>
  <si>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</si>
  <si>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</si>
  <si>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</si>
  <si>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</si>
  <si>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</si>
  <si>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</si>
  <si>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</si>
  <si>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</si>
  <si>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</si>
  <si>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</si>
  <si>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</si>
  <si>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</si>
  <si>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</si>
  <si>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</si>
  <si>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</si>
  <si>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</si>
  <si>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</si>
  <si>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</si>
  <si>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</si>
  <si>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</si>
  <si>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</si>
  <si>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</si>
  <si>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</si>
  <si>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</si>
  <si>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</si>
  <si>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</si>
  <si>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</si>
  <si>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</si>
  <si>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</si>
  <si>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</si>
  <si>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</si>
  <si>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</si>
  <si>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</si>
  <si>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</si>
  <si>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</si>
  <si>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</si>
  <si>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</si>
  <si>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</si>
  <si>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</si>
  <si>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</si>
  <si>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</si>
  <si>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</si>
  <si>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</si>
  <si>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</si>
  <si>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</si>
  <si>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</si>
  <si>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</si>
  <si>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</si>
  <si>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</si>
  <si>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</si>
  <si>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</si>
  <si>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</si>
  <si>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</si>
  <si>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</si>
  <si>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</si>
  <si>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</si>
  <si>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</si>
  <si>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</si>
  <si>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</si>
  <si>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</si>
  <si>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</si>
  <si>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</si>
  <si>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</si>
  <si>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</si>
  <si>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</si>
  <si>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</si>
  <si>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</si>
  <si>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</si>
  <si>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</si>
  <si>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</si>
  <si>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</si>
  <si>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</si>
  <si>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</si>
  <si>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</si>
  <si>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</si>
  <si>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</si>
  <si>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</si>
  <si>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</si>
  <si>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</si>
  <si>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</si>
  <si>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</si>
  <si>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</si>
  <si>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</si>
  <si>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</si>
  <si>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</si>
  <si>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</si>
  <si>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</si>
  <si>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</si>
  <si>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</si>
  <si>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</si>
  <si>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</si>
  <si>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</si>
  <si>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</si>
  <si>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</si>
  <si>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</si>
  <si>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</si>
  <si>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</si>
  <si>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</si>
  <si>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</si>
  <si>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</si>
  <si>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</si>
  <si>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</si>
  <si>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</si>
  <si>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</si>
  <si>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</si>
  <si>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</si>
  <si>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</si>
  <si>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</si>
  <si>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</si>
  <si>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</si>
  <si>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</si>
  <si>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</si>
  <si>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</si>
  <si>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</si>
  <si>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</si>
  <si>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</si>
  <si>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</si>
  <si>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</si>
  <si>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</si>
  <si>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</si>
  <si>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</si>
  <si>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</si>
  <si>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</si>
  <si>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</si>
  <si>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</si>
  <si>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</si>
  <si>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</si>
  <si>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</si>
  <si>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</si>
  <si>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</si>
  <si>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</si>
  <si>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</si>
  <si>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</si>
  <si>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</si>
  <si>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</si>
  <si>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</si>
  <si>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</si>
  <si>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</si>
  <si>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</si>
  <si>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</si>
  <si>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</si>
  <si>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</si>
  <si>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</si>
  <si>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</si>
  <si>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</si>
  <si>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</si>
  <si>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</si>
  <si>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</si>
  <si>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</si>
  <si>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</si>
  <si>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</si>
  <si>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</si>
  <si>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</si>
  <si>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</si>
  <si>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</si>
  <si>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</si>
  <si>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</si>
  <si>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</si>
  <si>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</si>
  <si>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</si>
  <si>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</si>
  <si>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</si>
  <si>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</si>
  <si>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</si>
  <si>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</si>
  <si>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</si>
  <si>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</si>
  <si>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</si>
  <si>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</si>
  <si>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</si>
  <si>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</si>
  <si>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</si>
  <si>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</si>
  <si>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</si>
  <si>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</si>
  <si>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</si>
  <si>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</si>
  <si>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</si>
  <si>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</si>
  <si>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</si>
  <si>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</si>
  <si>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</si>
  <si>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</si>
  <si>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</si>
  <si>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</si>
  <si>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</si>
  <si>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</si>
  <si>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</si>
  <si>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</si>
  <si>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</si>
  <si>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</si>
  <si>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</si>
  <si>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</si>
  <si>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</si>
  <si>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</si>
  <si>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</si>
  <si>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</si>
  <si>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</si>
  <si>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</si>
  <si>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</si>
  <si>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</si>
  <si>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</si>
  <si>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</si>
  <si>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</si>
  <si>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</si>
  <si>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</si>
  <si>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</si>
  <si>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</si>
  <si>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</si>
  <si>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</si>
  <si>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</si>
  <si>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</si>
  <si>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</si>
  <si>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</si>
  <si>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</si>
  <si>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</si>
  <si>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</si>
  <si>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</si>
  <si>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</si>
  <si>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</si>
  <si>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</si>
  <si>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</si>
  <si>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</si>
  <si>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</si>
  <si>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</si>
  <si>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</si>
  <si>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</si>
  <si>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</si>
  <si>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</si>
  <si>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</si>
  <si>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</si>
  <si>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</si>
  <si>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</si>
  <si>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</si>
  <si>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</si>
  <si>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</si>
  <si>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</si>
  <si>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</si>
  <si>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</si>
  <si>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</si>
  <si>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</si>
  <si>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</si>
  <si>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</si>
  <si>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</si>
  <si>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</si>
  <si>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</si>
  <si>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</si>
  <si>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</si>
  <si>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</si>
  <si>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</si>
  <si>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</si>
  <si>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</si>
  <si>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</si>
  <si>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</si>
  <si>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</si>
  <si>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</si>
  <si>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</si>
  <si>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</si>
  <si>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</si>
  <si>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</si>
  <si>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</si>
  <si>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</si>
  <si>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</si>
  <si>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</si>
  <si>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</si>
  <si>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</si>
  <si>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</si>
  <si>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</si>
  <si>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</si>
  <si>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</si>
  <si>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</si>
  <si>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</si>
  <si>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</si>
  <si>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</si>
  <si>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</si>
  <si>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</si>
  <si>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</si>
  <si>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</si>
  <si>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</si>
  <si>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</si>
  <si>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</si>
  <si>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</si>
  <si>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</si>
  <si>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</si>
  <si>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</si>
  <si>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</si>
  <si>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</si>
  <si>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</si>
  <si>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</si>
  <si>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</si>
  <si>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</si>
  <si>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</si>
  <si>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</si>
  <si>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</si>
  <si>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</si>
  <si>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</si>
  <si>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</si>
  <si>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</si>
  <si>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</si>
  <si>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</si>
  <si>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</si>
  <si>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</si>
  <si>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</si>
  <si>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</si>
  <si>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</si>
  <si>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</si>
  <si>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</si>
  <si>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</si>
  <si>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</si>
  <si>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</si>
  <si>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</si>
  <si>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</si>
  <si>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</si>
  <si>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</si>
  <si>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</si>
  <si>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</si>
  <si>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</si>
  <si>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</si>
  <si>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</si>
  <si>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</si>
  <si>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</si>
  <si>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</si>
  <si>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</si>
  <si>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</si>
  <si>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</si>
  <si>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</si>
  <si>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</si>
  <si>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</si>
  <si>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</si>
  <si>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</si>
  <si>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</si>
  <si>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</si>
  <si>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</si>
  <si>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</si>
  <si>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</si>
  <si>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</si>
  <si>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</si>
  <si>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</si>
  <si>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</si>
  <si>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</si>
  <si>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</si>
  <si>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</si>
  <si>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</si>
  <si>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</si>
  <si>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</si>
  <si>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</si>
  <si>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</si>
  <si>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</si>
  <si>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</si>
  <si>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</si>
  <si>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</si>
  <si>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</si>
  <si>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</si>
  <si>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</si>
  <si>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</si>
  <si>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</si>
  <si>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</si>
  <si>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</si>
  <si>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</si>
  <si>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</si>
  <si>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</si>
  <si>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</si>
  <si>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</si>
  <si>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</si>
  <si>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</si>
  <si>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</si>
  <si>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</si>
  <si>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</si>
  <si>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</si>
  <si>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</si>
  <si>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</si>
  <si>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</si>
  <si>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</si>
  <si>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</si>
  <si>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</si>
  <si>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</si>
  <si>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</si>
  <si>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</si>
  <si>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</si>
  <si>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</si>
  <si>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</si>
  <si>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</si>
  <si>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</si>
  <si>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</si>
  <si>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</si>
  <si>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</si>
  <si>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</si>
  <si>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</si>
  <si>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</si>
  <si>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</si>
  <si>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</si>
  <si>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</si>
  <si>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</si>
  <si>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</si>
  <si>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</si>
  <si>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</si>
  <si>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</si>
  <si>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</si>
  <si>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</si>
  <si>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</si>
  <si>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</si>
  <si>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</si>
  <si>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</si>
  <si>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</si>
  <si>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</si>
  <si>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</si>
  <si>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</si>
  <si>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</si>
  <si>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</si>
  <si>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</si>
  <si>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</si>
  <si>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</si>
  <si>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</si>
  <si>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</si>
  <si>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</si>
  <si>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</si>
  <si>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</si>
  <si>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</si>
  <si>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</si>
  <si>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</si>
  <si>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</si>
  <si>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</si>
  <si>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</si>
  <si>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</si>
  <si>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</si>
  <si>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</si>
  <si>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</si>
  <si>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</si>
  <si>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</si>
  <si>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</si>
  <si>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</si>
  <si>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</si>
  <si>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</si>
  <si>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</si>
  <si>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</si>
  <si>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</si>
  <si>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</si>
  <si>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</si>
  <si>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</si>
  <si>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</si>
  <si>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</si>
  <si>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</si>
  <si>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</si>
  <si>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</si>
  <si>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</si>
  <si>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</si>
  <si>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</si>
  <si>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</si>
  <si>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</si>
  <si>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</si>
  <si>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</si>
  <si>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</si>
  <si>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</si>
  <si>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</si>
  <si>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</si>
  <si>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</si>
  <si>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</si>
  <si>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</si>
  <si>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</si>
  <si>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</si>
  <si>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</si>
  <si>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</si>
  <si>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</si>
  <si>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</si>
  <si>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</si>
  <si>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</si>
  <si>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</si>
  <si>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</si>
  <si>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</si>
  <si>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</si>
  <si>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</si>
  <si>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</si>
  <si>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</si>
  <si>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</si>
  <si>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</si>
  <si>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</si>
  <si>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</si>
  <si>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</si>
  <si>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</si>
  <si>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</si>
  <si>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</si>
  <si>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</si>
  <si>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</si>
  <si>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</si>
  <si>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</si>
  <si>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</si>
  <si>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</si>
  <si>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</si>
  <si>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</si>
  <si>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</si>
  <si>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</si>
  <si>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</si>
  <si>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</si>
  <si>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</si>
  <si>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</si>
  <si>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</si>
  <si>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</si>
  <si>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</si>
  <si>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</si>
  <si>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</si>
  <si>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</si>
  <si>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</si>
  <si>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</si>
  <si>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</si>
  <si>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</si>
  <si>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</si>
  <si>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</si>
  <si>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</si>
  <si>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</si>
  <si>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</si>
  <si>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</si>
  <si>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</si>
  <si>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</si>
  <si>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</si>
  <si>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</si>
  <si>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</si>
  <si>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</si>
  <si>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</si>
  <si>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</si>
  <si>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</si>
  <si>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</si>
  <si>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</si>
  <si>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</si>
  <si>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</si>
  <si>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</si>
  <si>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</si>
  <si>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</si>
  <si>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</si>
  <si>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</si>
  <si>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</si>
  <si>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</si>
  <si>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</si>
  <si>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</si>
  <si>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</si>
  <si>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</si>
  <si>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</si>
  <si>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</si>
  <si>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</si>
  <si>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</si>
  <si>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</si>
  <si>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</si>
  <si>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</si>
  <si>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</si>
  <si>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</si>
  <si>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</si>
  <si>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</si>
  <si>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</si>
  <si>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</si>
  <si>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</si>
  <si>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</si>
  <si>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</si>
  <si>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</si>
  <si>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</si>
  <si>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</si>
  <si>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</si>
  <si>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</si>
  <si>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</si>
  <si>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</si>
  <si>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</si>
  <si>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</si>
  <si>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</si>
  <si>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</si>
  <si>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</si>
  <si>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</si>
  <si>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</si>
  <si>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</si>
  <si>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</si>
  <si>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</si>
  <si>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</si>
  <si>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</si>
  <si>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</si>
  <si>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</si>
  <si>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</si>
  <si>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</si>
  <si>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</si>
  <si>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</si>
  <si>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</si>
  <si>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</si>
  <si>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</si>
  <si>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</si>
  <si>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</si>
  <si>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</si>
  <si>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</si>
  <si>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</si>
  <si>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</si>
  <si>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</si>
  <si>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</si>
  <si>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</si>
  <si>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</si>
  <si>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</si>
  <si>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</si>
  <si>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</si>
  <si>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</si>
  <si>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</si>
  <si>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</si>
  <si>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</si>
  <si>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</si>
  <si>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</si>
  <si>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</si>
  <si>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</si>
  <si>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</si>
  <si>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</si>
  <si>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</si>
  <si>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</si>
  <si>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</si>
  <si>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</si>
  <si>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</si>
  <si>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</si>
  <si>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</si>
  <si>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</si>
  <si>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</si>
  <si>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</si>
  <si>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</si>
  <si>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</si>
  <si>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</si>
  <si>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</si>
  <si>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</si>
  <si>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</si>
  <si>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</si>
  <si>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</si>
  <si>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</si>
  <si>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</si>
  <si>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</si>
  <si>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</si>
  <si>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</si>
  <si>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</si>
  <si>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</si>
  <si>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</si>
  <si>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</si>
  <si>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</si>
  <si>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</si>
  <si>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</si>
  <si>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</si>
  <si>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</si>
  <si>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</si>
  <si>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</si>
  <si>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</si>
  <si>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</si>
  <si>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</si>
  <si>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</si>
  <si>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</si>
  <si>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</si>
  <si>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</si>
  <si>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</si>
  <si>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</si>
  <si>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</si>
  <si>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</si>
  <si>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</si>
  <si>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</si>
  <si>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</si>
  <si>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</si>
  <si>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</si>
  <si>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</si>
  <si>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</si>
  <si>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</si>
  <si>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</si>
  <si>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</si>
  <si>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</si>
  <si>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</si>
  <si>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</si>
  <si>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</si>
  <si>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</si>
  <si>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</si>
  <si>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</si>
  <si>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</si>
  <si>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</si>
  <si>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</si>
  <si>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</si>
  <si>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</si>
  <si>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</si>
  <si>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</si>
  <si>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</si>
  <si>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</si>
  <si>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</si>
  <si>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</si>
  <si>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</si>
  <si>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</si>
  <si>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</si>
  <si>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</si>
  <si>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</si>
  <si>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</si>
  <si>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</si>
  <si>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</si>
  <si>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</si>
  <si>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</si>
  <si>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</si>
  <si>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</si>
  <si>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</si>
  <si>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</si>
  <si>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</si>
  <si>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</si>
  <si>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</si>
  <si>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</si>
  <si>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</si>
  <si>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</si>
  <si>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</si>
  <si>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</si>
  <si>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</si>
  <si>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</si>
  <si>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</si>
  <si>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</si>
  <si>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</si>
  <si>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</si>
  <si>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</si>
  <si>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</si>
  <si>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</si>
  <si>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</si>
  <si>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</si>
  <si>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</si>
  <si>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</si>
  <si>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</si>
  <si>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</si>
  <si>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</si>
  <si>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</si>
  <si>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</si>
  <si>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</si>
  <si>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</si>
  <si>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</si>
  <si>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</si>
  <si>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</si>
  <si>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</si>
  <si>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</si>
  <si>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</si>
  <si>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</si>
  <si>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</si>
  <si>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</si>
  <si>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</si>
  <si>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</si>
  <si>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</si>
  <si>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</si>
  <si>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</si>
  <si>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</si>
  <si>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</si>
  <si>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</si>
  <si>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</si>
  <si>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</si>
  <si>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</si>
  <si>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</si>
  <si>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</si>
  <si>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</si>
  <si>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</si>
  <si>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</si>
  <si>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</si>
  <si>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</si>
  <si>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</si>
  <si>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</si>
  <si>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</si>
  <si>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</si>
  <si>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</si>
  <si>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</si>
  <si>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</si>
  <si>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</si>
  <si>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</si>
  <si>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</si>
  <si>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</si>
  <si>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</si>
  <si>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</si>
  <si>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</si>
  <si>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</si>
  <si>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</si>
  <si>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</si>
  <si>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</si>
  <si>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</si>
  <si>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</si>
  <si>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</si>
  <si>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</si>
  <si>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</si>
  <si>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</si>
  <si>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</si>
  <si>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</si>
  <si>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</si>
  <si>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</si>
  <si>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</si>
  <si>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</si>
  <si>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</si>
  <si>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</si>
  <si>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</si>
  <si>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</si>
  <si>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</si>
  <si>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</si>
  <si>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</si>
  <si>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</si>
  <si>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</si>
  <si>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</si>
  <si>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</si>
  <si>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</si>
  <si>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</si>
  <si>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</si>
  <si>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</si>
  <si>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</si>
  <si>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</si>
  <si>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</si>
  <si>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</si>
  <si>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</si>
  <si>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</si>
  <si>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</si>
  <si>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</si>
  <si>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</si>
  <si>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</si>
  <si>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</si>
  <si>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</si>
  <si>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</si>
  <si>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</si>
  <si>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</si>
  <si>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</si>
  <si>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</si>
  <si>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</si>
  <si>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</si>
  <si>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</si>
  <si>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</si>
  <si>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</si>
  <si>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</si>
  <si>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</si>
  <si>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</si>
  <si>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</si>
  <si>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</si>
  <si>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</si>
  <si>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</si>
  <si>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</si>
  <si>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</si>
  <si>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</si>
  <si>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</si>
  <si>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</si>
  <si>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</si>
  <si>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</si>
  <si>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</si>
  <si>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</si>
  <si>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</si>
  <si>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</si>
  <si>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</si>
  <si>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</si>
  <si>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</si>
  <si>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</si>
  <si>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</si>
  <si>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</si>
  <si>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</si>
  <si>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</si>
  <si>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</si>
  <si>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</si>
  <si>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</si>
  <si>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</si>
  <si>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</si>
  <si>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</si>
  <si>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</si>
  <si>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</si>
  <si>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</si>
  <si>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</si>
  <si>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</si>
  <si>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</si>
  <si>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</si>
  <si>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</si>
  <si>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</si>
  <si>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</si>
  <si>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</si>
  <si>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</si>
  <si>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</si>
  <si>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</si>
  <si>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</si>
  <si>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</si>
  <si>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</si>
  <si>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</si>
  <si>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</si>
  <si>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</si>
  <si>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</si>
  <si>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</si>
  <si>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</si>
  <si>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</si>
  <si>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</si>
  <si>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</si>
  <si>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</si>
  <si>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</si>
  <si>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</si>
  <si>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</si>
  <si>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</si>
  <si>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</si>
  <si>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</si>
  <si>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</si>
  <si>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</si>
  <si>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</si>
  <si>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</si>
  <si>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</si>
  <si>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</si>
  <si>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</si>
  <si>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</si>
  <si>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</si>
  <si>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</si>
  <si>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</si>
  <si>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</si>
  <si>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</si>
  <si>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</si>
  <si>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</si>
  <si>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</si>
  <si>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</si>
  <si>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</si>
  <si>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</si>
  <si>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</si>
  <si>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</si>
  <si>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</si>
  <si>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</si>
  <si>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</si>
  <si>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</si>
  <si>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</si>
  <si>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</si>
  <si>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</si>
  <si>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</si>
  <si>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</si>
  <si>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</si>
  <si>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</si>
  <si>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</si>
  <si>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</si>
  <si>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</si>
  <si>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</si>
  <si>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</si>
  <si>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</si>
  <si>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</si>
  <si>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</si>
  <si>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</si>
  <si>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</si>
  <si>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</si>
  <si>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</si>
  <si>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</si>
  <si>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</si>
  <si>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</si>
  <si>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</si>
  <si>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</si>
  <si>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</si>
  <si>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</si>
  <si>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</si>
  <si>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</si>
  <si>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</si>
  <si>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</si>
  <si>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</si>
  <si>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</si>
  <si>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</si>
  <si>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</si>
  <si>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</si>
  <si>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</si>
  <si>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</si>
  <si>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</si>
  <si>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</si>
  <si>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</si>
  <si>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</si>
  <si>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</si>
  <si>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</si>
  <si>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</si>
  <si>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</si>
  <si>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</si>
  <si>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</si>
  <si>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</si>
  <si>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</si>
  <si>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</si>
  <si>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</si>
  <si>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</si>
  <si>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</si>
  <si>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</si>
  <si>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</si>
  <si>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</si>
  <si>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</si>
  <si>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</si>
  <si>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</si>
  <si>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</si>
  <si>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</si>
  <si>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</si>
  <si>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</si>
  <si>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</si>
  <si>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</si>
  <si>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</si>
  <si>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</si>
  <si>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</si>
  <si>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</si>
  <si>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</si>
  <si>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</si>
  <si>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</si>
  <si>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</si>
  <si>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</si>
  <si>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</si>
  <si>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</si>
  <si>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</si>
  <si>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</si>
  <si>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</si>
  <si>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</si>
  <si>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</si>
  <si>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</si>
  <si>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</si>
  <si>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</si>
  <si>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</si>
  <si>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</si>
  <si>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</si>
  <si>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</si>
  <si>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</si>
  <si>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</si>
  <si>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</si>
  <si>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</si>
  <si>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</si>
  <si>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</si>
  <si>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</si>
  <si>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</si>
  <si>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</si>
  <si>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</si>
  <si>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</si>
  <si>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</si>
  <si>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</si>
  <si>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</si>
  <si>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</si>
  <si>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</si>
  <si>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</si>
  <si>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</si>
  <si>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</si>
  <si>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</si>
  <si>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</si>
  <si>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</si>
  <si>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</si>
  <si>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</si>
  <si>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</si>
  <si>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</si>
  <si>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</si>
  <si>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</si>
  <si>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</si>
  <si>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</si>
  <si>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</si>
  <si>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</si>
  <si>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</si>
  <si>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</si>
  <si>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</si>
  <si>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</si>
  <si>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</si>
  <si>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</si>
  <si>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</si>
  <si>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</si>
  <si>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</si>
  <si>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</si>
  <si>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</si>
  <si>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</si>
  <si>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</si>
  <si>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</si>
  <si>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</si>
  <si>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</si>
  <si>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</si>
  <si>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</si>
  <si>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</si>
  <si>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</si>
  <si>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</si>
  <si>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</si>
  <si>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</si>
  <si>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</si>
  <si>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</si>
  <si>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</si>
  <si>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</si>
  <si>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</si>
  <si>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</si>
  <si>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</si>
  <si>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</si>
  <si>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</si>
  <si>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</si>
  <si>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</si>
  <si>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</si>
  <si>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</si>
  <si>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</si>
  <si>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</si>
  <si>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</si>
  <si>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</si>
  <si>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</si>
  <si>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</si>
  <si>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</si>
  <si>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</si>
  <si>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</si>
  <si>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</si>
  <si>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</si>
  <si>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</si>
  <si>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</si>
  <si>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</si>
  <si>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</si>
  <si>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</si>
  <si>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</si>
  <si>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</si>
  <si>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</si>
  <si>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</si>
  <si>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</si>
  <si>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</si>
  <si>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</si>
  <si>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</si>
  <si>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</si>
  <si>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</si>
  <si>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</si>
  <si>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</si>
  <si>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</si>
  <si>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</si>
  <si>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</si>
  <si>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</si>
  <si>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</si>
  <si>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</si>
  <si>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</si>
  <si>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</si>
  <si>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</si>
  <si>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</si>
  <si>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</si>
  <si>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</si>
  <si>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</si>
  <si>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</si>
  <si>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</si>
  <si>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</si>
  <si>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</si>
  <si>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</si>
  <si>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</si>
  <si>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</si>
  <si>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</si>
  <si>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</si>
  <si>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</si>
  <si>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</si>
  <si>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</si>
  <si>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</si>
  <si>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</si>
  <si>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</si>
  <si>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</si>
  <si>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</si>
  <si>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</si>
  <si>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</si>
  <si>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</si>
  <si>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</si>
  <si>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</si>
  <si>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</si>
  <si>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</si>
  <si>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</si>
  <si>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</si>
  <si>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</si>
  <si>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</si>
  <si>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</si>
  <si>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</si>
  <si>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</si>
  <si>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</si>
  <si>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</si>
  <si>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</si>
  <si>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</si>
  <si>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</si>
  <si>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</si>
  <si>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</si>
  <si>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</si>
  <si>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</si>
  <si>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</si>
  <si>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</si>
  <si>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</si>
  <si>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</si>
  <si>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</si>
  <si>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</si>
  <si>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</si>
  <si>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</si>
  <si>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</si>
  <si>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</si>
  <si>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</si>
  <si>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</si>
  <si>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</si>
  <si>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</si>
  <si>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</si>
  <si>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</si>
  <si>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</si>
  <si>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</si>
  <si>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</si>
  <si>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</si>
  <si>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</si>
  <si>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</si>
  <si>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</si>
  <si>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</si>
  <si>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</si>
  <si>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</si>
  <si>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</si>
  <si>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</si>
  <si>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</si>
  <si>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</si>
  <si>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</si>
  <si>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</si>
  <si>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</si>
  <si>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</si>
  <si>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</si>
  <si>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</si>
  <si>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</si>
  <si>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</si>
  <si>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</si>
  <si>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</si>
  <si>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</si>
  <si>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</si>
  <si>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</si>
  <si>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</si>
  <si>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</si>
  <si>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</si>
  <si>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</si>
  <si>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</si>
  <si>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</si>
  <si>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</si>
  <si>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</si>
  <si>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</si>
  <si>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</si>
  <si>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</si>
  <si>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</si>
  <si>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</si>
  <si>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</si>
  <si>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</si>
  <si>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</si>
  <si>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</si>
  <si>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</si>
  <si>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</si>
  <si>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</si>
  <si>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</si>
  <si>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</si>
  <si>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</si>
  <si>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</si>
  <si>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</si>
  <si>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</si>
  <si>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</si>
  <si>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</si>
  <si>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</si>
  <si>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</si>
  <si>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</si>
  <si>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</si>
  <si>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</si>
  <si>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</si>
  <si>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</si>
  <si>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</si>
  <si>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</si>
  <si>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</si>
  <si>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</si>
  <si>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</si>
  <si>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</si>
  <si>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</si>
  <si>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</si>
  <si>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</si>
  <si>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</si>
  <si>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</si>
  <si>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</si>
  <si>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</si>
  <si>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</si>
  <si>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</si>
  <si>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</si>
  <si>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</si>
  <si>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</si>
  <si>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</si>
  <si>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</si>
  <si>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</si>
  <si>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</si>
  <si>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</si>
  <si>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</si>
  <si>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</si>
  <si>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</si>
  <si>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</si>
  <si>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</si>
  <si>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</si>
  <si>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</si>
  <si>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</si>
  <si>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</si>
  <si>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</si>
  <si>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</si>
  <si>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</si>
  <si>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</si>
  <si>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</si>
  <si>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</si>
  <si>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</si>
  <si>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</si>
  <si>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</si>
  <si>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</si>
  <si>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</si>
  <si>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</si>
  <si>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</si>
  <si>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</si>
  <si>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</si>
  <si>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</si>
  <si>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</si>
  <si>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</si>
  <si>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</si>
  <si>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</si>
  <si>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</si>
  <si>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</si>
  <si>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</si>
  <si>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</si>
  <si>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</si>
  <si>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</si>
  <si>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</si>
  <si>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</si>
  <si>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</si>
  <si>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</si>
  <si>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</si>
  <si>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</si>
  <si>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</si>
  <si>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</si>
  <si>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</si>
  <si>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</si>
  <si>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</si>
  <si>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</si>
  <si>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</si>
  <si>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</si>
  <si>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</si>
  <si>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</si>
  <si>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</si>
  <si>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</si>
  <si>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</si>
  <si>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</si>
  <si>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</si>
  <si>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</si>
  <si>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</si>
  <si>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</si>
  <si>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</si>
  <si>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</si>
  <si>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</si>
  <si>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</si>
  <si>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</si>
  <si>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</si>
  <si>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</si>
  <si>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</si>
  <si>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</si>
  <si>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</si>
  <si>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</si>
  <si>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</si>
  <si>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</si>
  <si>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</si>
  <si>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</si>
  <si>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</si>
  <si>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</si>
  <si>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</si>
  <si>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</si>
  <si>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</si>
  <si>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</si>
  <si>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</si>
  <si>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</si>
  <si>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</si>
  <si>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</si>
  <si>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</si>
  <si>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</si>
  <si>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</si>
  <si>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</si>
  <si>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</si>
  <si>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</si>
  <si>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</si>
  <si>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</si>
  <si>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</si>
  <si>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</si>
  <si>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</si>
  <si>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</si>
  <si>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</si>
  <si>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</si>
  <si>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</si>
  <si>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</si>
  <si>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</si>
  <si>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</si>
  <si>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</si>
  <si>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</si>
  <si>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</si>
  <si>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</si>
  <si>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</si>
  <si>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</si>
  <si>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</si>
  <si>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</si>
  <si>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</si>
  <si>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</si>
  <si>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</si>
  <si>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</si>
  <si>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</si>
  <si>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</si>
  <si>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</si>
  <si>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</si>
  <si>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</si>
  <si>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</si>
  <si>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</si>
  <si>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</si>
  <si>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</si>
  <si>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</si>
  <si>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</si>
  <si>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</si>
  <si>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</si>
  <si>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</si>
  <si>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</si>
  <si>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</si>
  <si>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</si>
  <si>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</si>
  <si>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</si>
  <si>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</si>
  <si>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</si>
  <si>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</si>
  <si>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</si>
  <si>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</si>
  <si>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</si>
  <si>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</si>
  <si>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</si>
  <si>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</si>
  <si>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</si>
  <si>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</si>
  <si>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</si>
  <si>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</si>
  <si>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</si>
  <si>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</si>
  <si>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</si>
  <si>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</si>
  <si>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</si>
  <si>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</si>
  <si>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</si>
  <si>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</si>
  <si>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</si>
  <si>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</si>
  <si>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</si>
  <si>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</si>
  <si>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</si>
  <si>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</si>
  <si>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</si>
  <si>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</si>
  <si>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</si>
  <si>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</si>
  <si>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</si>
  <si>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</si>
  <si>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</si>
  <si>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</si>
  <si>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</si>
  <si>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</si>
  <si>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</si>
  <si>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</si>
  <si>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</si>
  <si>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</si>
  <si>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</si>
  <si>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</si>
  <si>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</si>
  <si>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</si>
  <si>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</si>
  <si>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</si>
  <si>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</si>
  <si>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</si>
  <si>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</si>
  <si>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</si>
  <si>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</si>
  <si>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</si>
  <si>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</si>
  <si>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</si>
  <si>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</si>
  <si>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</si>
  <si>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</si>
  <si>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</si>
  <si>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</si>
  <si>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</si>
  <si>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</si>
  <si>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</si>
  <si>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</si>
  <si>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</si>
  <si>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</si>
  <si>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</si>
  <si>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</si>
  <si>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</si>
  <si>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</si>
  <si>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</si>
  <si>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</si>
  <si>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</si>
  <si>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</si>
  <si>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</si>
  <si>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</si>
  <si>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</si>
  <si>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</si>
  <si>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</si>
  <si>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</si>
  <si>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</si>
  <si>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</si>
  <si>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</si>
  <si>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</si>
  <si>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</si>
  <si>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</si>
  <si>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</si>
  <si>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</si>
  <si>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</si>
  <si>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</si>
  <si>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</si>
  <si>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</si>
  <si>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</si>
  <si>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</si>
  <si>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</si>
  <si>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</si>
  <si>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</si>
  <si>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</si>
  <si>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</si>
  <si>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</si>
  <si>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</si>
  <si>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</si>
  <si>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</si>
  <si>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</si>
  <si>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</si>
  <si>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</si>
  <si>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</si>
  <si>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</si>
  <si>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</si>
  <si>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</si>
  <si>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</si>
  <si>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</si>
  <si>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</si>
  <si>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</si>
  <si>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</si>
  <si>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</si>
  <si>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</si>
  <si>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</si>
  <si>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</si>
  <si>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</si>
  <si>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</si>
  <si>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</si>
  <si>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</si>
  <si>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</si>
  <si>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</si>
  <si>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</si>
  <si>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</si>
  <si>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</si>
  <si>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</si>
  <si>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</si>
  <si>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</si>
  <si>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</si>
  <si>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</si>
  <si>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</si>
  <si>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</si>
  <si>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</si>
  <si>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</si>
  <si>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</si>
  <si>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</si>
  <si>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</si>
  <si>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</si>
  <si>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</si>
  <si>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</si>
  <si>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</si>
  <si>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</si>
  <si>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</si>
  <si>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</si>
  <si>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</si>
  <si>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</si>
  <si>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</si>
  <si>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</si>
  <si>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</si>
  <si>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</si>
  <si>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</si>
  <si>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</si>
  <si>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</si>
  <si>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</si>
  <si>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</si>
  <si>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</si>
  <si>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</si>
  <si>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</si>
  <si>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</si>
  <si>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</si>
  <si>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</si>
  <si>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</si>
  <si>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</si>
  <si>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</si>
  <si>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</si>
  <si>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</si>
  <si>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</si>
  <si>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</si>
  <si>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</si>
  <si>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</si>
  <si>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</si>
  <si>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</si>
  <si>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</si>
  <si>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</si>
  <si>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</si>
  <si>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</si>
  <si>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</si>
  <si>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</si>
  <si>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</si>
  <si>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</si>
  <si>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</si>
  <si>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</si>
  <si>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</si>
  <si>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</si>
  <si>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</si>
  <si>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</si>
  <si>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</si>
  <si>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</si>
  <si>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</si>
  <si>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</si>
  <si>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</si>
  <si>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</si>
  <si>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</si>
  <si>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</si>
  <si>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</si>
  <si>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</si>
  <si>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</si>
  <si>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</si>
  <si>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</si>
  <si>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</si>
  <si>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</si>
  <si>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</si>
  <si>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</si>
  <si>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</si>
  <si>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</si>
  <si>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</si>
  <si>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</si>
  <si>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</si>
  <si>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</si>
  <si>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</si>
  <si>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</si>
  <si>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</si>
  <si>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</si>
  <si>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</si>
  <si>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</si>
  <si>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</si>
  <si>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</si>
  <si>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</si>
  <si>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</si>
  <si>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</si>
  <si>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</si>
  <si>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</si>
  <si>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</si>
  <si>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</si>
  <si>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</si>
  <si>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</si>
  <si>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</si>
  <si>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</si>
  <si>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</si>
  <si>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</si>
  <si>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</si>
  <si>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</si>
  <si>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</si>
  <si>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</si>
  <si>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</si>
  <si>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</si>
  <si>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</si>
  <si>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</si>
  <si>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</si>
  <si>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</si>
  <si>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</si>
  <si>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</si>
  <si>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</si>
  <si>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</si>
  <si>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</si>
  <si>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</si>
  <si>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</si>
  <si>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</si>
  <si>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</si>
  <si>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</si>
  <si>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</si>
  <si>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</si>
  <si>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</si>
  <si>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</si>
  <si>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</si>
  <si>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</si>
  <si>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</si>
  <si>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</si>
  <si>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</si>
  <si>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</si>
  <si>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</si>
  <si>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</si>
  <si>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</si>
  <si>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</si>
  <si>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</si>
  <si>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</si>
  <si>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</si>
  <si>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</si>
  <si>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</si>
  <si>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</si>
  <si>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</si>
  <si>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</si>
  <si>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</si>
  <si>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</si>
  <si>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</si>
  <si>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</si>
  <si>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</si>
  <si>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</si>
  <si>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</si>
  <si>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</si>
  <si>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</si>
  <si>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</si>
  <si>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</si>
  <si>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</si>
  <si>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</si>
  <si>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</si>
  <si>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</si>
  <si>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</si>
  <si>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</si>
  <si>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</si>
  <si>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</si>
  <si>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</si>
  <si>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</si>
  <si>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</si>
  <si>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</si>
  <si>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</si>
  <si>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</si>
  <si>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</si>
  <si>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</si>
  <si>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</si>
  <si>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</si>
  <si>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</si>
  <si>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</si>
  <si>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</si>
  <si>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</si>
  <si>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</si>
  <si>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</si>
  <si>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</si>
  <si>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</si>
  <si>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</si>
  <si>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</si>
  <si>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</si>
  <si>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</si>
  <si>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</si>
  <si>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</si>
  <si>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</si>
  <si>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</si>
  <si>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</si>
  <si>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</si>
  <si>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</si>
  <si>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</si>
  <si>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</si>
  <si>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</si>
  <si>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</si>
  <si>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</si>
  <si>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</si>
  <si>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</si>
  <si>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</si>
  <si>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</si>
  <si>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</si>
  <si>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</si>
  <si>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</si>
  <si>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</si>
  <si>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</si>
  <si>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</si>
  <si>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</si>
  <si>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</si>
  <si>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</si>
  <si>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</si>
  <si>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</si>
  <si>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</si>
  <si>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</si>
  <si>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</si>
  <si>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</si>
  <si>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</si>
  <si>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</si>
  <si>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</si>
  <si>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</si>
  <si>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</si>
  <si>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</si>
  <si>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</si>
  <si>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</si>
  <si>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</si>
  <si>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</si>
  <si>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</si>
  <si>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</si>
  <si>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</si>
  <si>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</si>
  <si>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</si>
  <si>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</si>
  <si>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</si>
  <si>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</si>
  <si>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</si>
  <si>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</si>
  <si>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</si>
  <si>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</si>
  <si>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</si>
  <si>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</si>
  <si>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</si>
  <si>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</si>
  <si>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</si>
  <si>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</si>
  <si>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</si>
  <si>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</si>
  <si>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</si>
  <si>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</si>
  <si>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</si>
  <si>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</si>
  <si>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</si>
  <si>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</si>
  <si>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</si>
  <si>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</si>
  <si>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</si>
  <si>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</si>
  <si>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</si>
  <si>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</si>
  <si>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</si>
  <si>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</si>
  <si>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</si>
  <si>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</si>
  <si>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</si>
  <si>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</si>
  <si>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</si>
  <si>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</si>
  <si>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</si>
  <si>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</si>
  <si>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</si>
  <si>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</si>
  <si>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</si>
  <si>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</si>
  <si>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</si>
  <si>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</si>
  <si>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</si>
  <si>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</si>
  <si>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</si>
  <si>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</si>
  <si>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</si>
  <si>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</si>
  <si>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</si>
  <si>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</si>
  <si>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</si>
  <si>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</si>
  <si>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</si>
  <si>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</si>
  <si>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</si>
  <si>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</si>
  <si>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</si>
  <si>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</si>
  <si>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</si>
  <si>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</si>
  <si>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</si>
  <si>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</si>
  <si>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</si>
  <si>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</si>
  <si>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</si>
  <si>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</si>
  <si>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</si>
  <si>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</si>
  <si>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</si>
  <si>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</si>
  <si>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</si>
  <si>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</si>
  <si>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</si>
  <si>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</si>
  <si>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</si>
  <si>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</si>
  <si>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</si>
  <si>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</si>
  <si>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</si>
  <si>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</si>
  <si>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</si>
  <si>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</si>
  <si>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</si>
  <si>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</si>
  <si>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</si>
  <si>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</si>
  <si>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</si>
  <si>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</si>
  <si>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</si>
  <si>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</si>
  <si>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</si>
  <si>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</si>
  <si>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</si>
  <si>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</si>
  <si>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</si>
  <si>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</si>
  <si>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</si>
  <si>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</si>
  <si>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</si>
  <si>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</si>
  <si>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</si>
  <si>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</si>
  <si>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</si>
  <si>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</si>
  <si>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</si>
  <si>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</si>
  <si>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</si>
  <si>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</si>
  <si>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</si>
  <si>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</si>
  <si>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</si>
  <si>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</si>
  <si>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</si>
  <si>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</si>
  <si>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</si>
  <si>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</si>
  <si>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</si>
  <si>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</si>
  <si>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</si>
  <si>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</si>
  <si>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</si>
  <si>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</si>
  <si>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</si>
  <si>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</si>
  <si>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</si>
  <si>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</si>
  <si>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</si>
  <si>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</si>
  <si>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</si>
  <si>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</si>
  <si>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</si>
  <si>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</si>
  <si>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</si>
  <si>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</si>
  <si>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</si>
  <si>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</si>
  <si>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</si>
  <si>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</si>
  <si>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</si>
  <si>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</si>
  <si>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</si>
  <si>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</si>
  <si>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</si>
  <si>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</si>
  <si>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</si>
  <si>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</si>
  <si>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</si>
  <si>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</si>
  <si>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</si>
  <si>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</si>
  <si>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</si>
  <si>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</si>
  <si>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</si>
  <si>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</si>
  <si>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</si>
  <si>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</si>
  <si>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</si>
  <si>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</si>
  <si>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</si>
  <si>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</si>
  <si>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</si>
  <si>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</si>
  <si>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</si>
  <si>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</si>
  <si>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</si>
  <si>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</si>
  <si>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</si>
  <si>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</si>
  <si>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</si>
  <si>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</si>
  <si>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</si>
  <si>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</si>
  <si>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</si>
  <si>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</si>
  <si>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</si>
  <si>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</si>
  <si>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</si>
  <si>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</si>
  <si>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</si>
  <si>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</si>
  <si>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</si>
  <si>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</si>
  <si>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</si>
  <si>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</si>
  <si>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</si>
  <si>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</si>
  <si>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</si>
  <si>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</si>
  <si>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</si>
  <si>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</si>
  <si>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</si>
  <si>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</si>
  <si>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</si>
  <si>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</si>
  <si>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</si>
  <si>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</si>
  <si>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</si>
  <si>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</si>
  <si>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</si>
  <si>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</si>
  <si>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</si>
  <si>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</si>
  <si>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</si>
  <si>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</si>
  <si>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</si>
  <si>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</si>
  <si>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</si>
  <si>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</si>
  <si>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</si>
  <si>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</si>
  <si>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</si>
  <si>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</si>
  <si>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</si>
  <si>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</si>
  <si>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</si>
  <si>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</si>
  <si>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</si>
  <si>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</si>
  <si>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</si>
  <si>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</si>
  <si>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</si>
  <si>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</si>
  <si>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</si>
  <si>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</si>
  <si>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</si>
  <si>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</si>
  <si>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</si>
  <si>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</si>
  <si>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</si>
  <si>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</si>
  <si>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</si>
  <si>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</si>
  <si>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</si>
  <si>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</si>
  <si>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</si>
  <si>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</si>
  <si>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</si>
  <si>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</si>
  <si>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</si>
  <si>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</si>
  <si>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</si>
  <si>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</si>
  <si>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</si>
  <si>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</si>
  <si>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</si>
  <si>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</si>
  <si>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</si>
  <si>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</si>
  <si>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</si>
  <si>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</si>
  <si>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</si>
  <si>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</si>
  <si>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</si>
  <si>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</si>
  <si>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</si>
  <si>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</si>
  <si>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</si>
  <si>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</si>
  <si>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</si>
  <si>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</si>
  <si>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</si>
  <si>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</si>
  <si>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</si>
  <si>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</si>
  <si>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</si>
  <si>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</si>
  <si>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</si>
  <si>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</si>
  <si>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</si>
  <si>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</si>
  <si>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</si>
  <si>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</si>
  <si>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</si>
  <si>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</si>
  <si>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</si>
  <si>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</si>
  <si>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</si>
  <si>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</si>
  <si>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</si>
  <si>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</si>
  <si>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</si>
  <si>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</si>
  <si>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</si>
  <si>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</si>
  <si>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</si>
  <si>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</si>
  <si>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</si>
  <si>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</si>
  <si>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</si>
  <si>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</si>
  <si>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</si>
  <si>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</si>
  <si>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</si>
  <si>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</si>
  <si>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</si>
  <si>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</si>
  <si>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</si>
  <si>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</si>
  <si>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</si>
  <si>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</si>
  <si>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</si>
  <si>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</si>
  <si>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</si>
  <si>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</si>
  <si>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</si>
  <si>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</si>
  <si>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</si>
  <si>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</si>
  <si>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</si>
  <si>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</si>
  <si>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</si>
  <si>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</si>
  <si>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</si>
  <si>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</si>
  <si>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</si>
  <si>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</si>
  <si>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</si>
  <si>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</si>
  <si>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</si>
  <si>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</si>
  <si>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</si>
  <si>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</si>
  <si>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</si>
  <si>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</si>
  <si>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</si>
  <si>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</si>
  <si>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</si>
  <si>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</si>
  <si>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</si>
  <si>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</si>
  <si>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</si>
  <si>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</si>
  <si>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</si>
  <si>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</si>
  <si>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</si>
  <si>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</si>
  <si>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</si>
  <si>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</si>
  <si>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</si>
  <si>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</si>
  <si>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</si>
  <si>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</si>
  <si>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</si>
  <si>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</si>
  <si>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</si>
  <si>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</si>
  <si>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</si>
  <si>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</si>
  <si>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</si>
  <si>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</si>
  <si>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</si>
  <si>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</si>
  <si>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</si>
  <si>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</si>
  <si>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</si>
  <si>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</si>
  <si>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</si>
  <si>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</si>
  <si>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</si>
  <si>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</si>
  <si>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</si>
  <si>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</si>
  <si>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</si>
  <si>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</si>
  <si>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</si>
  <si>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</si>
  <si>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</si>
  <si>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</si>
  <si>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</si>
  <si>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</si>
  <si>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</si>
  <si>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</si>
  <si>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</si>
  <si>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</si>
  <si>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</si>
  <si>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</si>
  <si>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</si>
  <si>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</si>
  <si>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</si>
  <si>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</si>
  <si>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</si>
  <si>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</si>
  <si>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</si>
  <si>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</si>
  <si>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</si>
  <si>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</si>
  <si>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</si>
  <si>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</si>
  <si>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</si>
  <si>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</si>
  <si>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</si>
  <si>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</si>
  <si>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</si>
  <si>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</si>
  <si>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</si>
  <si>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</si>
  <si>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</si>
  <si>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</si>
  <si>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</si>
  <si>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</si>
  <si>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</si>
  <si>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</si>
  <si>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</si>
  <si>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</si>
  <si>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</si>
  <si>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</si>
  <si>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</si>
  <si>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</si>
  <si>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</si>
  <si>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</si>
  <si>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</si>
  <si>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</si>
  <si>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</si>
  <si>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</si>
  <si>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</si>
  <si>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</si>
  <si>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</si>
  <si>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</si>
  <si>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</si>
  <si>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</si>
  <si>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</si>
  <si>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</si>
  <si>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</si>
  <si>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</si>
  <si>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</si>
  <si>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</si>
  <si>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</si>
  <si>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</si>
  <si>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</si>
  <si>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</si>
  <si>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</si>
  <si>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</si>
  <si>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</si>
  <si>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</si>
  <si>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</si>
  <si>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</si>
  <si>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</si>
  <si>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</si>
  <si>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</si>
  <si>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</si>
  <si>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</si>
  <si>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</si>
  <si>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</si>
  <si>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</si>
  <si>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</si>
  <si>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</si>
  <si>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</si>
  <si>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</si>
  <si>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</si>
  <si>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</si>
  <si>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</si>
  <si>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</si>
  <si>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</si>
  <si>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</si>
  <si>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</si>
  <si>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</si>
  <si>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</si>
  <si>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</si>
  <si>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</si>
  <si>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</si>
  <si>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</si>
  <si>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</si>
  <si>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</si>
  <si>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</si>
  <si>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</si>
  <si>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</si>
  <si>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</si>
  <si>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</si>
  <si>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</si>
  <si>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</si>
  <si>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</si>
  <si>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</si>
  <si>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</si>
  <si>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</si>
  <si>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</si>
  <si>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</si>
  <si>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</si>
  <si>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</si>
  <si>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</si>
  <si>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</si>
  <si>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</si>
  <si>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</si>
  <si>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</si>
  <si>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</si>
  <si>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</si>
  <si>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</si>
  <si>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</si>
  <si>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</si>
  <si>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</si>
  <si>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</si>
  <si>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</si>
  <si>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</si>
  <si>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</si>
  <si>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</si>
  <si>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</si>
  <si>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</si>
  <si>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</si>
  <si>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</si>
  <si>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</si>
  <si>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</si>
  <si>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</si>
  <si>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</si>
  <si>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</si>
  <si>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</si>
  <si>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</si>
  <si>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</si>
  <si>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</si>
  <si>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</si>
  <si>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</si>
  <si>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</si>
  <si>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</si>
  <si>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</si>
  <si>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</si>
  <si>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</si>
  <si>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</si>
  <si>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</si>
  <si>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</si>
  <si>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</si>
  <si>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</si>
  <si>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</si>
  <si>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</si>
  <si>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</si>
  <si>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</si>
  <si>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</si>
  <si>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</si>
  <si>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</si>
  <si>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</si>
  <si>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</si>
  <si>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</si>
  <si>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</si>
  <si>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</si>
  <si>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</si>
  <si>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</si>
  <si>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</si>
  <si>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</si>
  <si>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</si>
  <si>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</si>
  <si>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</si>
  <si>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</si>
  <si>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</si>
  <si>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</si>
  <si>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</si>
  <si>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</si>
  <si>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</si>
  <si>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</si>
  <si>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</si>
  <si>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</si>
  <si>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</si>
  <si>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</si>
  <si>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</si>
  <si>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</si>
  <si>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</si>
  <si>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</si>
  <si>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</si>
  <si>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</si>
  <si>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</si>
  <si>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</si>
  <si>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</si>
  <si>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</si>
  <si>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</si>
  <si>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</si>
  <si>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</si>
  <si>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</si>
  <si>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</si>
  <si>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</si>
  <si>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</si>
  <si>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</si>
  <si>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</si>
  <si>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</si>
  <si>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</si>
  <si>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</si>
  <si>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</si>
  <si>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</si>
  <si>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</si>
  <si>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</si>
  <si>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</si>
  <si>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</si>
  <si>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</si>
  <si>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</si>
  <si>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</si>
  <si>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</si>
  <si>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</si>
  <si>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</si>
  <si>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</si>
  <si>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</si>
  <si>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</si>
  <si>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</si>
  <si>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</si>
  <si>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</si>
  <si>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</si>
  <si>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</si>
  <si>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</si>
  <si>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</si>
  <si>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</si>
  <si>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</si>
  <si>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</si>
  <si>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</si>
  <si>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</si>
  <si>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</si>
  <si>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</si>
  <si>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</si>
  <si>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</si>
  <si>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</si>
  <si>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</si>
  <si>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</si>
  <si>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</si>
  <si>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</si>
  <si>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</si>
  <si>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</si>
  <si>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</si>
  <si>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</si>
  <si>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</si>
  <si>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</si>
  <si>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</si>
  <si>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</si>
  <si>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</si>
  <si>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</si>
  <si>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</si>
  <si>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</si>
  <si>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</si>
  <si>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</si>
  <si>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</si>
  <si>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</si>
  <si>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</si>
  <si>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</si>
  <si>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</si>
  <si>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</si>
  <si>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</si>
  <si>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</si>
  <si>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</si>
  <si>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</si>
  <si>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</si>
  <si>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</si>
  <si>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</si>
  <si>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</si>
  <si>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</si>
  <si>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</si>
  <si>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</si>
  <si>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</si>
  <si>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</si>
  <si>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</si>
  <si>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</si>
  <si>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</si>
  <si>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</si>
  <si>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</si>
  <si>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</si>
  <si>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</si>
  <si>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</si>
  <si>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</si>
  <si>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</si>
  <si>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</si>
  <si>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</si>
  <si>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</si>
  <si>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</si>
  <si>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</si>
  <si>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</si>
  <si>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</si>
  <si>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</si>
  <si>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</si>
  <si>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</si>
  <si>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</si>
  <si>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</si>
  <si>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</si>
  <si>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</si>
  <si>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</si>
  <si>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</si>
  <si>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</si>
  <si>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</si>
  <si>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</si>
  <si>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</si>
  <si>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</si>
  <si>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</si>
  <si>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</si>
  <si>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</si>
  <si>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</si>
  <si>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</si>
  <si>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</si>
  <si>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</si>
  <si>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</si>
  <si>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</si>
  <si>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</si>
  <si>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</si>
  <si>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</si>
  <si>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</si>
  <si>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</si>
  <si>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</si>
  <si>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</si>
  <si>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</si>
  <si>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</si>
  <si>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</si>
  <si>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</si>
  <si>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</si>
  <si>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</si>
  <si>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</si>
  <si>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</si>
  <si>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</si>
  <si>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</si>
  <si>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</si>
  <si>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</si>
  <si>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</si>
  <si>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</si>
  <si>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</si>
  <si>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</si>
  <si>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</si>
  <si>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</si>
  <si>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</si>
  <si>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</si>
  <si>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</si>
  <si>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</si>
  <si>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</si>
  <si>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</si>
  <si>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</si>
  <si>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</si>
  <si>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</si>
  <si>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</si>
  <si>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</si>
  <si>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</si>
  <si>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</si>
  <si>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</si>
  <si>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</si>
  <si>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</si>
  <si>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</si>
  <si>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</si>
  <si>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</si>
  <si>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</si>
  <si>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</si>
  <si>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</si>
  <si>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</si>
  <si>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</si>
  <si>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</si>
  <si>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</si>
  <si>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</si>
  <si>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</si>
  <si>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</si>
  <si>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</si>
  <si>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</si>
  <si>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</si>
  <si>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</si>
  <si>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</si>
  <si>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</si>
  <si>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</si>
  <si>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</si>
  <si>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</si>
  <si>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</si>
  <si>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</si>
  <si>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</si>
  <si>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</si>
  <si>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</si>
  <si>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</si>
  <si>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</si>
  <si>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</si>
  <si>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</si>
  <si>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</si>
  <si>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</si>
  <si>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</si>
  <si>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</si>
  <si>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</si>
  <si>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</si>
  <si>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</si>
  <si>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</si>
  <si>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</si>
  <si>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</si>
  <si>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</si>
  <si>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</si>
  <si>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</si>
  <si>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</si>
  <si>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</si>
  <si>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</si>
  <si>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</si>
  <si>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</si>
  <si>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</si>
  <si>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</si>
  <si>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</si>
  <si>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</si>
  <si>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</si>
  <si>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</si>
  <si>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</si>
  <si>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</si>
  <si>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</si>
  <si>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</si>
  <si>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</si>
  <si>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</si>
  <si>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</si>
  <si>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</si>
  <si>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</si>
  <si>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</si>
  <si>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</si>
  <si>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</si>
  <si>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</si>
  <si>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</si>
  <si>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</si>
  <si>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</si>
  <si>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</si>
  <si>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</si>
  <si>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</si>
  <si>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</si>
  <si>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</si>
  <si>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</si>
  <si>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</si>
  <si>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</si>
  <si>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</si>
  <si>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</si>
  <si>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</si>
  <si>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</si>
  <si>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</si>
  <si>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</si>
  <si>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</si>
  <si>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</si>
  <si>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</si>
  <si>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</si>
  <si>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</si>
  <si>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</si>
  <si>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</si>
  <si>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</si>
  <si>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</si>
  <si>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</si>
  <si>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</si>
  <si>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</si>
  <si>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</si>
  <si>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</si>
  <si>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</si>
  <si>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</si>
  <si>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</si>
  <si>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</si>
  <si>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</si>
  <si>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</si>
  <si>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</si>
  <si>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</si>
  <si>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</si>
  <si>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</si>
  <si>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</si>
  <si>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</si>
  <si>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</si>
  <si>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</si>
  <si>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</si>
  <si>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</si>
  <si>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</si>
  <si>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</si>
  <si>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</si>
  <si>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</si>
  <si>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</si>
  <si>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</si>
  <si>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</si>
  <si>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</si>
  <si>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</si>
  <si>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</si>
  <si>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</si>
  <si>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</si>
  <si>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</si>
  <si>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</si>
  <si>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</si>
  <si>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</si>
  <si>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</si>
  <si>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</si>
  <si>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</si>
  <si>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</si>
  <si>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</si>
  <si>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</si>
  <si>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</si>
  <si>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</si>
  <si>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</si>
  <si>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</si>
  <si>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</si>
  <si>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</si>
  <si>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</si>
  <si>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</si>
  <si>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</si>
  <si>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</si>
  <si>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</si>
  <si>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</si>
  <si>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</si>
  <si>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</si>
  <si>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</si>
  <si>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</si>
  <si>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</si>
  <si>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</si>
  <si>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</si>
  <si>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</si>
  <si>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</si>
  <si>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</si>
  <si>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</si>
  <si>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</si>
  <si>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</si>
  <si>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</si>
  <si>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</si>
  <si>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</si>
  <si>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</si>
  <si>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</si>
  <si>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</si>
  <si>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</si>
  <si>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</si>
  <si>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</si>
  <si>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</si>
  <si>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</si>
  <si>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</si>
  <si>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</si>
  <si>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</si>
  <si>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</si>
  <si>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</si>
  <si>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</si>
  <si>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</si>
  <si>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</si>
  <si>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</si>
  <si>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</si>
  <si>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</si>
  <si>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</si>
  <si>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</si>
  <si>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</si>
  <si>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</si>
  <si>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</si>
  <si>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</si>
  <si>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</si>
  <si>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</si>
  <si>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</si>
  <si>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</si>
  <si>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</si>
  <si>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</si>
  <si>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</si>
  <si>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</si>
  <si>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</si>
  <si>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</si>
  <si>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</si>
  <si>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</si>
  <si>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</si>
  <si>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</si>
  <si>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</si>
  <si>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</si>
  <si>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</si>
  <si>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</si>
  <si>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</si>
  <si>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</si>
  <si>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</si>
  <si>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</si>
  <si>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</si>
  <si>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</si>
  <si>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</si>
  <si>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</si>
  <si>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</si>
  <si>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</si>
  <si>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</si>
  <si>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</si>
  <si>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</si>
  <si>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</si>
  <si>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</si>
  <si>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</si>
  <si>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</si>
  <si>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</si>
  <si>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</si>
  <si>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</si>
  <si>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</si>
  <si>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</si>
  <si>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</si>
  <si>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</si>
  <si>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</si>
  <si>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</si>
  <si>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</si>
  <si>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</si>
  <si>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</si>
  <si>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</si>
  <si>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</si>
  <si>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</si>
  <si>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</si>
  <si>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</si>
  <si>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</si>
  <si>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</si>
  <si>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</si>
  <si>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</si>
  <si>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</si>
  <si>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</si>
  <si>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</si>
  <si>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</si>
  <si>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</si>
  <si>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</si>
  <si>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</si>
  <si>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</si>
  <si>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</si>
  <si>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</si>
  <si>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</si>
  <si>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</si>
  <si>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</si>
  <si>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</si>
  <si>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</si>
  <si>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</si>
  <si>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</si>
  <si>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</si>
  <si>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</si>
  <si>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</si>
  <si>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</si>
  <si>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</si>
  <si>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</si>
  <si>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</si>
  <si>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</si>
  <si>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</si>
  <si>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</si>
  <si>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</si>
  <si>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</si>
  <si>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</si>
  <si>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</si>
  <si>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</si>
  <si>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</si>
  <si>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</si>
  <si>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</si>
  <si>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</si>
  <si>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</si>
  <si>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</si>
  <si>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</si>
  <si>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</si>
  <si>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</si>
  <si>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</si>
  <si>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</si>
  <si>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</si>
  <si>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</si>
  <si>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</si>
  <si>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</si>
  <si>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</si>
  <si>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</si>
  <si>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</si>
  <si>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</si>
  <si>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</si>
  <si>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</si>
  <si>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</si>
  <si>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</si>
  <si>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</si>
  <si>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</si>
  <si>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</si>
  <si>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</si>
  <si>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</si>
  <si>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</si>
  <si>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</si>
  <si>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</si>
  <si>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</si>
  <si>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</si>
  <si>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</si>
  <si>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</si>
  <si>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</si>
  <si>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</si>
  <si>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</si>
  <si>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</si>
  <si>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</si>
  <si>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</si>
  <si>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</si>
  <si>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</si>
  <si>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</si>
  <si>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</si>
  <si>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</si>
  <si>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</si>
  <si>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</si>
  <si>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</si>
  <si>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</si>
  <si>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</si>
  <si>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</si>
  <si>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</si>
  <si>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</si>
  <si>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</si>
  <si>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</si>
  <si>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</si>
  <si>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</si>
  <si>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</si>
  <si>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</si>
  <si>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</si>
  <si>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</si>
  <si>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</si>
  <si>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</si>
  <si>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</si>
  <si>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</si>
  <si>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</si>
  <si>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</si>
  <si>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</si>
  <si>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</si>
  <si>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</si>
  <si>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</si>
  <si>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</si>
  <si>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</si>
  <si>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</si>
  <si>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</si>
  <si>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</si>
  <si>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</si>
  <si>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</si>
  <si>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</si>
  <si>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</si>
  <si>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</si>
  <si>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</si>
  <si>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</si>
  <si>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</si>
  <si>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</si>
  <si>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</si>
  <si>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</si>
  <si>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</si>
  <si>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</si>
  <si>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</si>
  <si>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</si>
  <si>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</si>
  <si>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</si>
  <si>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</si>
  <si>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</si>
  <si>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</si>
  <si>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</si>
  <si>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</si>
  <si>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</si>
  <si>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</si>
  <si>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</si>
  <si>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</si>
  <si>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</si>
  <si>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</si>
  <si>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</si>
  <si>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</si>
  <si>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</si>
  <si>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</si>
  <si>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</si>
  <si>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</si>
  <si>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</si>
  <si>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</si>
  <si>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</si>
  <si>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</si>
  <si>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</si>
  <si>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</si>
  <si>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</si>
  <si>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</si>
  <si>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</si>
  <si>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</si>
  <si>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</si>
  <si>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</si>
  <si>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</si>
  <si>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</si>
  <si>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</si>
  <si>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</si>
  <si>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</si>
  <si>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</si>
  <si>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</si>
  <si>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</si>
  <si>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</si>
  <si>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</si>
  <si>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</si>
  <si>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</si>
  <si>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</si>
  <si>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</si>
  <si>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</si>
  <si>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</si>
  <si>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</si>
  <si>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</si>
  <si>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</si>
  <si>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</si>
  <si>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</si>
  <si>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</si>
  <si>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</si>
  <si>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</si>
  <si>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</si>
  <si>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</si>
  <si>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</si>
  <si>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</si>
  <si>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</si>
  <si>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</si>
  <si>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</si>
  <si>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</si>
  <si>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</si>
  <si>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</si>
  <si>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</si>
  <si>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</si>
  <si>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</si>
  <si>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</si>
  <si>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</si>
  <si>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</si>
  <si>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</si>
  <si>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</si>
  <si>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</si>
  <si>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</si>
  <si>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</si>
  <si>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</si>
  <si>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</si>
  <si>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</si>
  <si>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</si>
  <si>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</si>
  <si>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</si>
  <si>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</si>
  <si>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</si>
  <si>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</si>
  <si>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</si>
  <si>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</si>
  <si>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</si>
  <si>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</si>
  <si>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</si>
  <si>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</si>
  <si>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</si>
  <si>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</si>
  <si>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</si>
  <si>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</si>
  <si>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</si>
  <si>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</si>
  <si>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</si>
  <si>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</si>
  <si>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</si>
  <si>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</si>
  <si>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</si>
  <si>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</si>
  <si>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</si>
  <si>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</si>
  <si>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</si>
  <si>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</si>
  <si>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</si>
  <si>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</si>
  <si>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</si>
  <si>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</si>
  <si>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</si>
  <si>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</si>
  <si>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</si>
  <si>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</si>
  <si>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</si>
  <si>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</si>
  <si>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</si>
  <si>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</si>
  <si>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</si>
  <si>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</si>
  <si>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</si>
  <si>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</si>
  <si>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</si>
  <si>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</si>
  <si>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</si>
  <si>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</si>
  <si>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</si>
  <si>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</si>
  <si>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</si>
  <si>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</si>
  <si>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</si>
  <si>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</si>
  <si>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</si>
  <si>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</si>
  <si>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</si>
  <si>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</si>
  <si>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</si>
  <si>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</si>
  <si>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</si>
  <si>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</si>
  <si>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</si>
  <si>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</si>
  <si>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</si>
  <si>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</si>
  <si>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</si>
  <si>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</si>
  <si>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</si>
  <si>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</si>
  <si>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</si>
  <si>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</si>
  <si>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</si>
  <si>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</si>
  <si>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</si>
  <si>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</si>
  <si>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</si>
  <si>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</si>
  <si>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</si>
  <si>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</si>
  <si>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</si>
  <si>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</si>
  <si>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</si>
  <si>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</si>
  <si>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</si>
  <si>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</si>
  <si>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</si>
  <si>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</si>
  <si>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</si>
  <si>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</si>
  <si>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</si>
  <si>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</si>
  <si>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</si>
  <si>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</si>
  <si>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</si>
  <si>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</si>
  <si>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</si>
  <si>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</si>
  <si>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</si>
  <si>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</si>
  <si>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</si>
  <si>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</si>
  <si>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</si>
  <si>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</si>
  <si>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</si>
  <si>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</si>
  <si>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</si>
  <si>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</si>
  <si>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</si>
  <si>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</si>
  <si>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</si>
  <si>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</si>
  <si>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</si>
  <si>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</si>
  <si>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</si>
  <si>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</si>
  <si>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</si>
  <si>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</si>
  <si>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</si>
  <si>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</si>
  <si>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</si>
  <si>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</si>
  <si>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</si>
  <si>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</si>
  <si>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</si>
  <si>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</si>
  <si>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</si>
  <si>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</si>
  <si>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</si>
  <si>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</si>
  <si>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</si>
  <si>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</si>
  <si>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</si>
  <si>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</si>
  <si>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</si>
  <si>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</si>
  <si>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</si>
  <si>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</si>
  <si>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</si>
  <si>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</si>
  <si>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</si>
  <si>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</si>
  <si>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</si>
  <si>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</si>
  <si>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</si>
  <si>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</si>
  <si>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</si>
  <si>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</si>
  <si>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</si>
  <si>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</si>
  <si>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</si>
  <si>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</si>
  <si>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</si>
  <si>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</si>
  <si>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</si>
  <si>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</si>
  <si>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</si>
  <si>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</si>
  <si>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</si>
  <si>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</si>
  <si>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</si>
  <si>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</si>
  <si>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</si>
  <si>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</si>
  <si>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</si>
  <si>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</si>
  <si>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</si>
  <si>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</si>
  <si>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</si>
  <si>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</si>
  <si>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</si>
  <si>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</si>
  <si>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</si>
  <si>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</si>
  <si>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</si>
  <si>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</si>
  <si>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</si>
  <si>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</si>
  <si>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</si>
  <si>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</si>
  <si>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</si>
  <si>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</si>
  <si>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</si>
  <si>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</si>
  <si>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</si>
  <si>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</si>
  <si>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</si>
  <si>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</si>
  <si>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</si>
  <si>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</si>
  <si>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</si>
  <si>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</si>
  <si>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</si>
  <si>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</si>
  <si>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</si>
  <si>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</si>
  <si>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</si>
  <si>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</si>
  <si>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</si>
  <si>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</si>
  <si>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</si>
  <si>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</si>
  <si>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</si>
  <si>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</si>
  <si>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</si>
  <si>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</si>
  <si>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</si>
  <si>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</si>
  <si>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</si>
  <si>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</si>
  <si>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</si>
  <si>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</si>
  <si>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</si>
  <si>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</si>
  <si>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</si>
  <si>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</si>
  <si>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</si>
  <si>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</si>
  <si>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</si>
  <si>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</si>
  <si>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</si>
  <si>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</si>
  <si>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</si>
  <si>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</si>
  <si>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</si>
  <si>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</si>
  <si>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</si>
  <si>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</si>
  <si>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</si>
  <si>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</si>
  <si>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</si>
  <si>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</si>
  <si>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</si>
  <si>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</si>
  <si>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</si>
  <si>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</si>
  <si>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</si>
  <si>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</si>
  <si>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</si>
  <si>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</si>
  <si>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</si>
  <si>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</si>
  <si>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</si>
  <si>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</si>
  <si>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</si>
  <si>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</si>
  <si>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</si>
  <si>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</si>
  <si>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</si>
  <si>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</si>
  <si>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</si>
  <si>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</si>
  <si>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</si>
  <si>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</si>
  <si>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</si>
  <si>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</si>
  <si>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</si>
  <si>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</si>
  <si>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</si>
  <si>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</si>
  <si>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</si>
  <si>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</si>
  <si>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</si>
  <si>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</si>
  <si>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</si>
  <si>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</si>
  <si>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</si>
  <si>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</si>
  <si>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</si>
  <si>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</si>
  <si>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</si>
  <si>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</si>
  <si>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</si>
  <si>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</si>
  <si>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</si>
  <si>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</si>
  <si>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</si>
  <si>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</si>
  <si>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</si>
  <si>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</si>
  <si>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</si>
  <si>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</si>
  <si>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</si>
  <si>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</si>
  <si>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</si>
  <si>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</si>
  <si>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</si>
  <si>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</si>
  <si>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</si>
  <si>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</si>
  <si>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</si>
  <si>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</si>
  <si>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</si>
  <si>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</si>
  <si>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</si>
  <si>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</si>
  <si>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</si>
  <si>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</si>
  <si>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</si>
  <si>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</si>
  <si>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</si>
  <si>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</si>
  <si>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</si>
  <si>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</si>
  <si>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</si>
  <si>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</si>
  <si>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</si>
  <si>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</si>
  <si>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</si>
  <si>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</si>
  <si>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</si>
  <si>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</si>
  <si>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</si>
  <si>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</si>
  <si>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</si>
  <si>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</si>
  <si>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</si>
  <si>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</si>
  <si>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</si>
  <si>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</si>
  <si>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</si>
  <si>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</si>
  <si>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</si>
  <si>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</si>
  <si>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</si>
  <si>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</si>
  <si>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</si>
  <si>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</si>
  <si>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</si>
  <si>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</si>
  <si>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</si>
  <si>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</si>
  <si>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</si>
  <si>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</si>
  <si>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</si>
  <si>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</si>
  <si>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</si>
  <si>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</si>
  <si>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</si>
  <si>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</si>
  <si>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</si>
  <si>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</si>
  <si>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</si>
  <si>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</si>
  <si>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</si>
  <si>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</si>
  <si>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</si>
  <si>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</si>
  <si>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</si>
  <si>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</si>
  <si>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</si>
  <si>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</si>
  <si>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</si>
  <si>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</si>
  <si>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</si>
  <si>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</si>
  <si>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</si>
  <si>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</si>
  <si>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</si>
  <si>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</si>
  <si>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</si>
  <si>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</si>
  <si>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</si>
  <si>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</si>
  <si>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</si>
  <si>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</si>
  <si>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</si>
  <si>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</si>
  <si>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</si>
  <si>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</si>
  <si>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</si>
  <si>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</si>
  <si>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</si>
  <si>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</si>
  <si>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</si>
  <si>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</si>
  <si>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</si>
  <si>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</si>
  <si>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</si>
  <si>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</si>
  <si>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</si>
  <si>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</si>
  <si>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</si>
  <si>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</si>
  <si>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</si>
  <si>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</si>
  <si>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</si>
  <si>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</si>
  <si>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</si>
  <si>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</si>
  <si>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</si>
  <si>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</si>
  <si>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</si>
  <si>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</si>
  <si>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</si>
  <si>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</si>
  <si>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</si>
  <si>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</si>
  <si>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</si>
  <si>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</si>
  <si>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</si>
  <si>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</si>
  <si>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</si>
  <si>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</si>
  <si>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</si>
  <si>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</si>
  <si>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</si>
  <si>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</si>
  <si>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</si>
  <si>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</si>
  <si>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</si>
  <si>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</si>
  <si>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</si>
  <si>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</si>
  <si>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</si>
  <si>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</si>
  <si>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</si>
  <si>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</si>
  <si>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</si>
  <si>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</si>
  <si>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</si>
  <si>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</si>
  <si>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</si>
  <si>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</si>
  <si>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</si>
  <si>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</si>
  <si>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</si>
  <si>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</si>
  <si>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</si>
  <si>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</si>
  <si>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</si>
  <si>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</si>
  <si>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</si>
  <si>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</si>
  <si>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</si>
  <si>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</si>
  <si>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</si>
  <si>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</si>
  <si>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</si>
  <si>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</si>
  <si>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</si>
  <si>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</si>
  <si>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</si>
  <si>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</si>
  <si>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</si>
  <si>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</si>
  <si>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</si>
  <si>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</si>
  <si>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</si>
  <si>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</si>
  <si>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</si>
  <si>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</si>
  <si>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</si>
  <si>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</si>
  <si>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</si>
  <si>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</si>
  <si>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</si>
  <si>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</si>
  <si>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</si>
  <si>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</si>
  <si>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</si>
  <si>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</si>
  <si>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</si>
  <si>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</si>
  <si>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</si>
  <si>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</si>
  <si>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</si>
  <si>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</si>
  <si>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</si>
  <si>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</si>
  <si>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</si>
  <si>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</si>
  <si>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</si>
  <si>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</si>
  <si>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</si>
  <si>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</si>
  <si>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</si>
  <si>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</si>
  <si>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</si>
  <si>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</si>
  <si>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</si>
  <si>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</si>
  <si>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</si>
  <si>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</si>
  <si>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</si>
  <si>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</si>
  <si>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</si>
  <si>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</si>
  <si>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</si>
  <si>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</si>
  <si>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</si>
  <si>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</si>
  <si>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</si>
  <si>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</si>
  <si>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</si>
  <si>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</si>
  <si>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</si>
  <si>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</si>
  <si>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</si>
  <si>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</si>
  <si>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</si>
  <si>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</si>
  <si>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</si>
  <si>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</si>
  <si>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</si>
  <si>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</si>
  <si>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</si>
  <si>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</si>
  <si>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</si>
  <si>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</si>
  <si>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</si>
  <si>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</si>
  <si>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</si>
  <si>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</si>
  <si>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</si>
  <si>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</si>
  <si>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</si>
  <si>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</si>
  <si>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</si>
  <si>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</si>
  <si>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</si>
  <si>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</si>
  <si>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</si>
  <si>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</si>
  <si>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</si>
  <si>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</si>
  <si>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</si>
  <si>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</si>
  <si>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</si>
  <si>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</si>
  <si>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</si>
  <si>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</si>
  <si>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</si>
  <si>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</si>
  <si>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</si>
  <si>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</si>
  <si>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</si>
  <si>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</si>
  <si>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</si>
  <si>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</si>
  <si>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</si>
  <si>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</si>
  <si>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</si>
  <si>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</si>
  <si>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</si>
  <si>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</si>
  <si>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</si>
  <si>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</si>
  <si>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</si>
  <si>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</si>
  <si>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</si>
  <si>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</si>
  <si>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</si>
  <si>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</si>
  <si>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</si>
  <si>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</si>
  <si>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</si>
  <si>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</si>
  <si>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</si>
  <si>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</si>
  <si>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</si>
  <si>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</si>
  <si>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</si>
  <si>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</si>
  <si>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</si>
  <si>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</si>
  <si>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</si>
  <si>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</si>
  <si>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</si>
  <si>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</si>
  <si>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</si>
  <si>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</si>
  <si>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</si>
  <si>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</si>
  <si>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</si>
  <si>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</si>
  <si>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</si>
  <si>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</si>
  <si>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</si>
  <si>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</si>
  <si>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</si>
  <si>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</si>
  <si>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</si>
  <si>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</si>
  <si>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</si>
  <si>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</si>
  <si>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</si>
  <si>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</si>
  <si>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</si>
  <si>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</si>
  <si>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</si>
  <si>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</si>
  <si>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</si>
  <si>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</si>
  <si>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</si>
  <si>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</si>
  <si>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</si>
  <si>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</si>
  <si>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</si>
  <si>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</si>
  <si>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</si>
  <si>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</si>
  <si>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</si>
  <si>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</si>
  <si>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</si>
  <si>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</si>
  <si>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</si>
  <si>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</si>
  <si>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</si>
  <si>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</si>
  <si>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</si>
  <si>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</si>
  <si>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</si>
  <si>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</si>
  <si>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</si>
  <si>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</si>
  <si>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</si>
  <si>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</si>
  <si>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</si>
  <si>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</si>
  <si>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</si>
  <si>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</si>
  <si>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</si>
  <si>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</si>
  <si>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</si>
  <si>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</si>
  <si>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</si>
  <si>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</si>
  <si>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</si>
  <si>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</si>
  <si>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</si>
  <si>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</si>
  <si>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</si>
  <si>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</si>
  <si>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</si>
  <si>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</si>
  <si>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</si>
  <si>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</si>
  <si>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</si>
  <si>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</si>
  <si>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</si>
  <si>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</si>
  <si>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</si>
  <si>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</si>
  <si>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</si>
  <si>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</si>
  <si>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</si>
  <si>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</si>
  <si>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</si>
  <si>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</si>
  <si>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</si>
  <si>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</si>
  <si>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</si>
  <si>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</si>
  <si>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</si>
  <si>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</si>
  <si>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</si>
  <si>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</si>
  <si>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</si>
  <si>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</si>
  <si>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</si>
  <si>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</si>
  <si>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</si>
  <si>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</si>
  <si>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</si>
  <si>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</si>
  <si>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</si>
  <si>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</si>
  <si>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</si>
  <si>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</si>
  <si>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</si>
  <si>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</si>
  <si>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</si>
  <si>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</si>
  <si>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</si>
  <si>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</si>
  <si>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</si>
  <si>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</si>
  <si>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</si>
  <si>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</si>
  <si>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</si>
  <si>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</si>
  <si>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</si>
  <si>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</si>
  <si>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</si>
  <si>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</si>
  <si>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</si>
  <si>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</si>
  <si>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</si>
  <si>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</si>
  <si>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</si>
  <si>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</si>
  <si>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</si>
  <si>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</si>
  <si>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</si>
  <si>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</si>
  <si>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</si>
  <si>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</si>
  <si>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</si>
  <si>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</si>
  <si>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</si>
  <si>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</si>
  <si>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</si>
  <si>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</si>
  <si>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</si>
  <si>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</si>
  <si>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</si>
  <si>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</si>
  <si>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</si>
  <si>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</si>
  <si>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</si>
  <si>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</si>
  <si>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</si>
  <si>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</si>
  <si>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</si>
  <si>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</si>
  <si>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</si>
  <si>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</si>
  <si>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</si>
  <si>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</si>
  <si>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</si>
  <si>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</si>
  <si>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</si>
  <si>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</si>
  <si>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</si>
  <si>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</si>
  <si>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</si>
  <si>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</si>
  <si>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</si>
  <si>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</si>
  <si>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</si>
  <si>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</si>
  <si>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</si>
  <si>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</si>
  <si>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</si>
  <si>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</si>
  <si>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</si>
  <si>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</si>
  <si>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</si>
  <si>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</si>
  <si>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</si>
  <si>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</si>
  <si>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</si>
  <si>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</si>
  <si>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</si>
  <si>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</si>
  <si>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</si>
  <si>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</si>
  <si>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</si>
  <si>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</si>
  <si>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</si>
  <si>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</si>
  <si>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</si>
  <si>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</si>
  <si>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</si>
  <si>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</si>
  <si>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</si>
  <si>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</si>
  <si>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</si>
  <si>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</si>
  <si>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</si>
  <si>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</si>
  <si>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</si>
  <si>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</si>
  <si>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</si>
  <si>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</si>
  <si>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</si>
  <si>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</si>
  <si>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</si>
  <si>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</si>
  <si>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</si>
  <si>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</si>
  <si>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</si>
  <si>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</si>
  <si>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</si>
  <si>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</si>
  <si>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</si>
  <si>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</si>
  <si>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</si>
  <si>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</si>
  <si>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</si>
  <si>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</si>
  <si>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</si>
  <si>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</si>
  <si>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</si>
  <si>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</si>
  <si>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</si>
  <si>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</si>
  <si>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</si>
  <si>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</si>
  <si>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</si>
  <si>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</si>
  <si>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</si>
  <si>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</si>
  <si>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</si>
  <si>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</si>
  <si>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</si>
  <si>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</si>
  <si>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</si>
  <si>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</si>
  <si>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</si>
  <si>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</si>
  <si>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</si>
  <si>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</si>
  <si>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</si>
  <si>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</si>
  <si>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</si>
  <si>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</si>
  <si>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</si>
  <si>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</si>
  <si>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</si>
  <si>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</si>
  <si>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</si>
  <si>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</si>
  <si>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</si>
  <si>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</si>
  <si>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</si>
  <si>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</si>
  <si>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</si>
  <si>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</si>
  <si>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</si>
  <si>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</si>
  <si>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</si>
  <si>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</si>
  <si>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</si>
  <si>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</si>
  <si>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</si>
  <si>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</si>
  <si>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</si>
  <si>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</si>
  <si>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</si>
  <si>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</si>
  <si>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</si>
  <si>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</si>
  <si>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</si>
  <si>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</si>
  <si>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</si>
  <si>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</si>
  <si>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</si>
  <si>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</si>
  <si>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</si>
  <si>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</si>
  <si>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</si>
  <si>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</si>
  <si>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</si>
  <si>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</si>
  <si>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</si>
  <si>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</si>
  <si>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</si>
  <si>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</si>
  <si>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</si>
  <si>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</si>
  <si>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</si>
  <si>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</si>
  <si>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</si>
  <si>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</si>
  <si>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</si>
  <si>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</si>
  <si>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</si>
  <si>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</si>
  <si>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</si>
  <si>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</si>
  <si>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</si>
  <si>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</si>
  <si>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</si>
  <si>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</si>
  <si>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</si>
  <si>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</si>
  <si>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</si>
  <si>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</si>
  <si>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</si>
  <si>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</si>
  <si>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</si>
  <si>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</si>
  <si>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</si>
  <si>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</si>
  <si>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</si>
  <si>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</si>
  <si>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</si>
  <si>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</si>
  <si>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</si>
  <si>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</si>
  <si>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</si>
  <si>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</si>
  <si>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</si>
  <si>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</si>
  <si>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</si>
  <si>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</si>
  <si>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</si>
  <si>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</si>
  <si>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</si>
  <si>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</si>
  <si>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</si>
  <si>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</si>
  <si>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</si>
  <si>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</si>
  <si>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</si>
  <si>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</si>
  <si>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</si>
  <si>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</si>
  <si>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</si>
  <si>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</si>
  <si>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</si>
  <si>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</si>
  <si>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</si>
  <si>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</si>
  <si>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</si>
  <si>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</si>
  <si>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</si>
  <si>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</si>
  <si>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</si>
  <si>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</si>
  <si>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</si>
  <si>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</si>
  <si>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</si>
  <si>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</si>
  <si>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</si>
  <si>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</si>
  <si>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</si>
  <si>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</si>
  <si>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</si>
  <si>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</si>
  <si>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</si>
  <si>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</si>
  <si>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</si>
  <si>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</si>
  <si>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</si>
  <si>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</si>
  <si>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</si>
  <si>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</si>
  <si>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</si>
  <si>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</si>
  <si>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</si>
  <si>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</si>
  <si>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</si>
  <si>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</si>
  <si>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</si>
  <si>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</si>
  <si>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</si>
  <si>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</si>
  <si>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</si>
  <si>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</si>
  <si>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</si>
  <si>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</si>
  <si>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</si>
  <si>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</si>
  <si>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</si>
  <si>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</si>
  <si>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</si>
  <si>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</si>
  <si>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</si>
  <si>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</si>
  <si>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</si>
  <si>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</si>
  <si>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</si>
  <si>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</si>
  <si>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</si>
  <si>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</si>
  <si>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</si>
  <si>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</si>
  <si>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</si>
  <si>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</si>
  <si>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</si>
  <si>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</si>
  <si>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</si>
  <si>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</si>
  <si>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</si>
  <si>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</si>
  <si>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</si>
  <si>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</si>
  <si>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</si>
  <si>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</si>
  <si>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</si>
  <si>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</si>
  <si>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</si>
  <si>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</si>
  <si>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</si>
  <si>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</si>
  <si>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</si>
  <si>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</si>
  <si>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</si>
  <si>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</si>
  <si>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</si>
  <si>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</si>
  <si>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</si>
  <si>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</si>
  <si>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</si>
  <si>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</si>
  <si>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</si>
  <si>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</si>
  <si>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</si>
  <si>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</si>
  <si>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</si>
  <si>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</si>
  <si>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</si>
  <si>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</si>
  <si>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</si>
  <si>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</si>
  <si>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</si>
  <si>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</si>
  <si>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</si>
  <si>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</si>
  <si>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</si>
  <si>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</si>
  <si>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</si>
  <si>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</si>
  <si>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</si>
  <si>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</si>
  <si>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</si>
  <si>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</si>
  <si>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</si>
  <si>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</si>
  <si>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</si>
  <si>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</si>
  <si>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</si>
  <si>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</si>
  <si>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</si>
  <si>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</si>
  <si>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</si>
  <si>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</si>
  <si>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</si>
  <si>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</si>
  <si>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</si>
  <si>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</si>
  <si>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</si>
  <si>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</si>
  <si>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</si>
  <si>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</si>
  <si>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</si>
  <si>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</si>
  <si>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</si>
  <si>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</si>
  <si>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</si>
  <si>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</si>
  <si>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</si>
  <si>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</si>
  <si>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</si>
  <si>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</si>
  <si>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</si>
  <si>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</si>
  <si>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</si>
  <si>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</si>
  <si>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</si>
  <si>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</si>
  <si>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</si>
  <si>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</si>
  <si>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</si>
  <si>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</si>
  <si>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</si>
  <si>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</si>
  <si>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</si>
  <si>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</si>
  <si>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</si>
  <si>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</si>
  <si>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</si>
  <si>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</si>
  <si>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</si>
  <si>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</si>
  <si>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</si>
  <si>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</si>
  <si>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</si>
  <si>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</si>
  <si>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</si>
  <si>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</si>
  <si>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</si>
  <si>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</si>
  <si>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</si>
  <si>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</si>
  <si>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</si>
  <si>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</si>
  <si>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</si>
  <si>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</si>
  <si>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</si>
  <si>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</si>
  <si>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</si>
  <si>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</si>
  <si>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</si>
  <si>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</si>
  <si>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</si>
  <si>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</si>
  <si>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</si>
  <si>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</si>
  <si>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</si>
  <si>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</si>
  <si>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</si>
  <si>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</si>
  <si>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</si>
  <si>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</si>
  <si>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</si>
  <si>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</si>
  <si>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</si>
  <si>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</si>
  <si>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</si>
  <si>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</si>
  <si>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</si>
  <si>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</si>
  <si>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</si>
  <si>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</si>
  <si>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</si>
  <si>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</si>
  <si>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</si>
  <si>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</si>
  <si>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</si>
  <si>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</si>
  <si>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</si>
  <si>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</si>
  <si>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</si>
  <si>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</si>
  <si>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</si>
  <si>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</si>
  <si>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</si>
  <si>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</si>
  <si>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</si>
  <si>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</si>
  <si>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</si>
  <si>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</si>
  <si>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</si>
  <si>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</si>
  <si>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</si>
  <si>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</si>
  <si>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</si>
  <si>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</si>
  <si>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</si>
  <si>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</si>
  <si>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</si>
  <si>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</si>
  <si>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</si>
  <si>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</si>
  <si>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</si>
  <si>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</si>
  <si>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</si>
  <si>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</si>
  <si>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</si>
  <si>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</si>
  <si>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</si>
  <si>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</si>
  <si>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</si>
  <si>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</si>
  <si>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</si>
  <si>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</si>
  <si>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</si>
  <si>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</si>
  <si>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</si>
  <si>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</si>
  <si>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</si>
  <si>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</si>
  <si>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</si>
  <si>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</si>
  <si>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</si>
  <si>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</si>
  <si>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</si>
  <si>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</si>
  <si>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</si>
  <si>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</si>
  <si>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</si>
  <si>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</si>
  <si>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</si>
  <si>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</si>
  <si>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</si>
  <si>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</si>
  <si>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</si>
  <si>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</si>
  <si>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</si>
  <si>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</si>
  <si>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</si>
  <si>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</si>
  <si>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</si>
  <si>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</si>
  <si>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</si>
  <si>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</si>
  <si>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</si>
  <si>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</si>
  <si>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</si>
  <si>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</si>
  <si>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</si>
  <si>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</si>
  <si>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</si>
  <si>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</si>
  <si>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</si>
  <si>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</si>
  <si>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</si>
  <si>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</si>
  <si>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</si>
  <si>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</si>
  <si>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</si>
  <si>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</si>
  <si>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</si>
  <si>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</si>
  <si>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</si>
  <si>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</si>
  <si>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</si>
  <si>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</si>
  <si>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</si>
  <si>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</si>
  <si>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</si>
  <si>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</si>
  <si>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</si>
  <si>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</si>
  <si>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</si>
  <si>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</si>
  <si>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</si>
  <si>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</si>
  <si>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</si>
  <si>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</si>
  <si>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</si>
  <si>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</si>
  <si>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</si>
  <si>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</si>
  <si>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</si>
  <si>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</si>
  <si>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</si>
  <si>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</si>
  <si>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</si>
  <si>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</si>
  <si>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</si>
  <si>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</si>
  <si>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</si>
  <si>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</si>
  <si>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</si>
  <si>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</si>
  <si>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</si>
  <si>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</si>
  <si>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</si>
  <si>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</si>
  <si>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</si>
  <si>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</si>
  <si>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</si>
  <si>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</si>
  <si>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</si>
  <si>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</si>
  <si>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</si>
  <si>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</si>
  <si>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</si>
  <si>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</si>
  <si>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</si>
  <si>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</si>
  <si>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</si>
  <si>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</si>
  <si>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</si>
  <si>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</si>
  <si>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</si>
  <si>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</si>
  <si>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</si>
  <si>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</si>
  <si>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</si>
  <si>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</si>
  <si>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</si>
  <si>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</si>
  <si>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</si>
  <si>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</si>
  <si>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</si>
  <si>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</si>
  <si>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</si>
  <si>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</si>
  <si>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</si>
  <si>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</si>
  <si>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</si>
  <si>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</si>
  <si>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</si>
  <si>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</si>
  <si>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</si>
  <si>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</si>
  <si>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</si>
  <si>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</si>
  <si>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</si>
  <si>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</si>
  <si>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</si>
  <si>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</si>
  <si>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</si>
  <si>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</si>
  <si>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</si>
  <si>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</si>
  <si>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</si>
  <si>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</si>
  <si>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</si>
  <si>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</si>
  <si>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</si>
  <si>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</si>
  <si>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</si>
  <si>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</si>
  <si>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</si>
  <si>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</si>
  <si>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</si>
  <si>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</si>
  <si>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</si>
  <si>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</si>
  <si>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</si>
  <si>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</si>
  <si>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</si>
  <si>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</si>
  <si>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</si>
  <si>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</si>
  <si>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</si>
  <si>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</si>
  <si>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</si>
  <si>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</si>
  <si>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</si>
  <si>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</si>
  <si>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</si>
  <si>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</si>
  <si>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</si>
  <si>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</si>
  <si>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</si>
  <si>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</si>
  <si>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</si>
  <si>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</si>
  <si>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</si>
  <si>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</si>
  <si>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</si>
  <si>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</si>
  <si>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</si>
  <si>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</si>
  <si>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</si>
  <si>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</si>
  <si>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</si>
  <si>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</si>
  <si>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</si>
  <si>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</si>
  <si>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</si>
  <si>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</si>
  <si>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</si>
  <si>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</si>
  <si>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</si>
  <si>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</si>
  <si>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</si>
  <si>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</si>
  <si>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</si>
  <si>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</si>
  <si>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</si>
  <si>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</si>
  <si>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</si>
  <si>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</si>
  <si>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</si>
  <si>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</si>
  <si>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</si>
  <si>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</si>
  <si>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</si>
  <si>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</si>
  <si>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</si>
  <si>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</si>
  <si>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</si>
  <si>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</si>
  <si>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</si>
  <si>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</si>
  <si>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</si>
  <si>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</si>
  <si>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</si>
  <si>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</si>
  <si>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</si>
  <si>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</si>
  <si>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</si>
  <si>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</si>
  <si>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</si>
  <si>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</si>
  <si>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</si>
  <si>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</si>
  <si>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</si>
  <si>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</si>
  <si>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</si>
  <si>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</si>
  <si>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</si>
  <si>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</si>
  <si>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</si>
  <si>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</si>
  <si>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</si>
  <si>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</si>
  <si>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</si>
  <si>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</si>
  <si>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</si>
  <si>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</si>
  <si>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</si>
  <si>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</si>
  <si>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</si>
  <si>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</si>
  <si>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</si>
  <si>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</si>
  <si>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</si>
  <si>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</si>
  <si>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</si>
  <si>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</si>
  <si>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</si>
  <si>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</si>
  <si>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</si>
  <si>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</si>
  <si>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</si>
  <si>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</si>
  <si>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</si>
  <si>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</si>
  <si>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</si>
  <si>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</si>
  <si>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</si>
  <si>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</si>
  <si>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</si>
  <si>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</si>
  <si>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</si>
  <si>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</si>
  <si>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</si>
  <si>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</si>
  <si>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</si>
  <si>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</si>
  <si>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</si>
  <si>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</si>
  <si>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</si>
  <si>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</si>
  <si>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</si>
  <si>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</si>
  <si>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</si>
  <si>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</si>
  <si>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</si>
  <si>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</si>
  <si>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</si>
  <si>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</si>
  <si>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</si>
  <si>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</si>
  <si>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</si>
  <si>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</si>
  <si>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</si>
  <si>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</si>
  <si>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</si>
  <si>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</si>
  <si>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</si>
  <si>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</si>
  <si>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</si>
  <si>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</si>
  <si>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</si>
  <si>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</si>
  <si>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</si>
  <si>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</si>
  <si>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</si>
  <si>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</si>
  <si>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</si>
  <si>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</si>
  <si>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</si>
  <si>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</si>
  <si>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</si>
  <si>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</si>
  <si>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</si>
  <si>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</si>
  <si>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</si>
  <si>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</si>
  <si>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</si>
  <si>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</si>
  <si>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</si>
  <si>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</si>
  <si>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</si>
  <si>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</si>
  <si>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</si>
  <si>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</si>
  <si>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</si>
  <si>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</si>
  <si>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</si>
  <si>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</si>
  <si>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</si>
  <si>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</si>
  <si>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</si>
  <si>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</si>
  <si>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</si>
  <si>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</si>
  <si>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</si>
  <si>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</si>
  <si>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</si>
  <si>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</si>
  <si>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</si>
  <si>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</si>
  <si>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</si>
  <si>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</si>
  <si>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</si>
  <si>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</si>
  <si>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</si>
  <si>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</si>
  <si>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</si>
  <si>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</si>
  <si>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</si>
  <si>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</si>
  <si>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</si>
  <si>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</si>
  <si>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</si>
  <si>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</si>
  <si>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</si>
  <si>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</si>
  <si>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</si>
  <si>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</si>
  <si>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</si>
  <si>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</si>
  <si>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</si>
  <si>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</si>
  <si>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</si>
  <si>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</si>
  <si>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</si>
  <si>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</si>
  <si>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</si>
  <si>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</si>
  <si>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</si>
  <si>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</si>
  <si>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</si>
  <si>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</si>
  <si>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</si>
  <si>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</si>
  <si>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</si>
  <si>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</si>
  <si>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</si>
  <si>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</si>
  <si>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</si>
  <si>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</si>
  <si>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</si>
  <si>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</si>
  <si>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</si>
  <si>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</si>
  <si>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</si>
  <si>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</si>
  <si>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</si>
  <si>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</si>
  <si>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</si>
  <si>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</si>
  <si>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</si>
  <si>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</si>
  <si>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</si>
  <si>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</si>
  <si>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</si>
  <si>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</si>
  <si>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</si>
  <si>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</si>
  <si>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</si>
  <si>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</si>
  <si>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</si>
  <si>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</si>
  <si>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</si>
  <si>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</si>
  <si>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</si>
  <si>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</si>
  <si>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</si>
  <si>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</si>
  <si>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</si>
  <si>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</si>
  <si>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</si>
  <si>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</si>
  <si>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</si>
  <si>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</si>
  <si>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</si>
  <si>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</si>
  <si>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</si>
  <si>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</si>
  <si>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</si>
  <si>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</si>
  <si>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</si>
  <si>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</si>
  <si>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</si>
  <si>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</si>
  <si>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</si>
  <si>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</si>
  <si>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</si>
  <si>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</si>
  <si>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IoT and Semiconductors</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</si>
  <si>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</si>
  <si>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</si>
  <si>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</si>
  <si>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</si>
  <si>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</si>
  <si>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</si>
  <si>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</si>
  <si>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</si>
  <si>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</si>
  <si>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</si>
  <si>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</si>
  <si>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</si>
  <si>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</si>
  <si>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</si>
  <si>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</si>
  <si>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</si>
  <si>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Auto</t>
  </si>
  <si>
    <t>Elec Component</t>
  </si>
  <si>
    <t>Soft Infra</t>
  </si>
  <si>
    <t>Credit</t>
  </si>
  <si>
    <t>Internet</t>
  </si>
  <si>
    <t>Gaming</t>
  </si>
  <si>
    <t>Application</t>
  </si>
  <si>
    <t>Leisure</t>
  </si>
  <si>
    <t>Cybersecurity</t>
  </si>
  <si>
    <t>Amazon of Latin America</t>
  </si>
  <si>
    <t>Streamers - Kirk</t>
  </si>
  <si>
    <t>Streamers - Starwalts</t>
  </si>
  <si>
    <t>Semi-Speculative-Travel - Too much risk?</t>
  </si>
  <si>
    <t>Cathie Wood has outragous target on it</t>
  </si>
  <si>
    <t>Notable
 Mentions</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</si>
  <si>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</si>
  <si>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</si>
  <si>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</si>
  <si>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</si>
  <si>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</si>
  <si>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</si>
  <si>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</si>
  <si>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</si>
  <si>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</si>
  <si>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</si>
  <si>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</si>
  <si>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</si>
  <si>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</si>
  <si>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</si>
  <si>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</si>
  <si>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</si>
  <si>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</si>
  <si>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</si>
  <si>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</si>
  <si>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</si>
  <si>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</si>
  <si>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</si>
  <si>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</si>
  <si>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</si>
  <si>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</si>
  <si>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</si>
  <si>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</si>
  <si>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Eventually BA will get it right</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</si>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</sst>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8"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4" fillId="0" borderId="0"/>
    <xf numFmtId="0" fontId="15" fillId="0" borderId="0"/>
    <xf numFmtId="44" fontId="22" fillId="0" borderId="0" applyFont="0" applyFill="0" applyBorder="0" applyAlignment="0" applyProtection="0"/>
  </cellStyleXfs>
  <cellXfs count="170">
    <xf numFmtId="0" fontId="0" fillId="0" borderId="0" xfId="0"/>
    <xf numFmtId="0" fontId="0" fillId="0" borderId="0" xfId="0" applyAlignment="1">
      <alignment horizontal="center"/>
    </xf>
    <xf numFmtId="164" fontId="0" fillId="0" borderId="0" xfId="0" applyNumberFormat="1"/>
    <xf numFmtId="0" fontId="16" fillId="0" borderId="0" xfId="0" applyFont="1"/>
    <xf numFmtId="0" fontId="16" fillId="2" borderId="3" xfId="0" applyFont="1" applyFill="1" applyBorder="1"/>
    <xf numFmtId="164" fontId="16" fillId="2" borderId="3" xfId="0" applyNumberFormat="1" applyFont="1" applyFill="1" applyBorder="1"/>
    <xf numFmtId="0" fontId="16"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6" fillId="0" borderId="3" xfId="0" applyFont="1" applyBorder="1"/>
    <xf numFmtId="0" fontId="16"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7" fillId="0" borderId="0" xfId="0" applyFont="1" applyFill="1" applyBorder="1" applyAlignment="1">
      <alignment horizontal="center"/>
    </xf>
    <xf numFmtId="0" fontId="18" fillId="0" borderId="0" xfId="1" applyFont="1" applyFill="1" applyBorder="1" applyAlignment="1">
      <alignment horizontal="center"/>
    </xf>
    <xf numFmtId="0" fontId="18" fillId="0" borderId="0" xfId="0" applyFont="1" applyFill="1" applyBorder="1" applyAlignment="1">
      <alignment horizontal="center"/>
    </xf>
    <xf numFmtId="0" fontId="0" fillId="0" borderId="1" xfId="0" applyFont="1" applyFill="1" applyBorder="1" applyAlignment="1">
      <alignment horizontal="center"/>
    </xf>
    <xf numFmtId="0" fontId="17" fillId="0" borderId="1" xfId="0" applyFont="1" applyFill="1" applyBorder="1" applyAlignment="1">
      <alignment horizontal="center"/>
    </xf>
    <xf numFmtId="0" fontId="18" fillId="0" borderId="1" xfId="1" applyFont="1" applyFill="1" applyBorder="1" applyAlignment="1">
      <alignment horizontal="center"/>
    </xf>
    <xf numFmtId="0" fontId="18"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6" fillId="4" borderId="3" xfId="0" applyFont="1" applyFill="1" applyBorder="1"/>
    <xf numFmtId="0" fontId="16" fillId="3" borderId="3" xfId="0" applyFont="1" applyFill="1" applyBorder="1"/>
    <xf numFmtId="0" fontId="18" fillId="0" borderId="0" xfId="0" applyFont="1" applyFill="1"/>
    <xf numFmtId="0" fontId="0" fillId="0" borderId="0" xfId="0" applyFill="1"/>
    <xf numFmtId="0" fontId="0" fillId="0" borderId="0" xfId="0" applyAlignment="1">
      <alignment wrapText="1"/>
    </xf>
    <xf numFmtId="0" fontId="0" fillId="5" borderId="0" xfId="0" applyFill="1"/>
    <xf numFmtId="0" fontId="16" fillId="6" borderId="3" xfId="0" applyFont="1" applyFill="1" applyBorder="1"/>
    <xf numFmtId="0" fontId="16"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3" fillId="0" borderId="0" xfId="0" applyFont="1"/>
    <xf numFmtId="0" fontId="13" fillId="0" borderId="0" xfId="0" applyFont="1" applyAlignment="1">
      <alignment wrapText="1"/>
    </xf>
    <xf numFmtId="0" fontId="13" fillId="0" borderId="0" xfId="0" applyFont="1" applyAlignment="1">
      <alignment horizontal="center"/>
    </xf>
    <xf numFmtId="0" fontId="20" fillId="0" borderId="0" xfId="0" applyFont="1"/>
    <xf numFmtId="0" fontId="19" fillId="0" borderId="0" xfId="0" applyFont="1"/>
    <xf numFmtId="0" fontId="19" fillId="7" borderId="3" xfId="0" applyFont="1" applyFill="1" applyBorder="1"/>
    <xf numFmtId="0" fontId="19" fillId="7" borderId="3" xfId="0" applyFont="1" applyFill="1" applyBorder="1" applyAlignment="1">
      <alignment horizontal="center"/>
    </xf>
    <xf numFmtId="0" fontId="19" fillId="7" borderId="3" xfId="0" applyFont="1" applyFill="1" applyBorder="1" applyAlignment="1">
      <alignment wrapText="1"/>
    </xf>
    <xf numFmtId="0" fontId="13" fillId="0" borderId="0" xfId="0" applyFont="1" applyFill="1"/>
    <xf numFmtId="0" fontId="12" fillId="0" borderId="0" xfId="0" applyFont="1" applyAlignment="1">
      <alignment horizontal="center"/>
    </xf>
    <xf numFmtId="0" fontId="12" fillId="0" borderId="0" xfId="0" applyFont="1"/>
    <xf numFmtId="0" fontId="16" fillId="7" borderId="3" xfId="0" applyFont="1" applyFill="1" applyBorder="1" applyAlignment="1">
      <alignment wrapText="1"/>
    </xf>
    <xf numFmtId="0" fontId="19" fillId="7" borderId="3" xfId="0" applyFont="1" applyFill="1" applyBorder="1" applyAlignment="1">
      <alignment horizontal="center" wrapText="1"/>
    </xf>
    <xf numFmtId="0" fontId="13" fillId="0" borderId="0" xfId="0" applyFont="1" applyAlignment="1">
      <alignment horizontal="center" wrapText="1"/>
    </xf>
    <xf numFmtId="0" fontId="20" fillId="0" borderId="0" xfId="0" applyFont="1" applyAlignment="1">
      <alignment wrapText="1"/>
    </xf>
    <xf numFmtId="0" fontId="11" fillId="0" borderId="0" xfId="0" applyFont="1" applyAlignment="1">
      <alignment horizontal="center" wrapText="1"/>
    </xf>
    <xf numFmtId="0" fontId="11" fillId="0" borderId="0" xfId="0" applyFont="1" applyAlignment="1">
      <alignment wrapText="1"/>
    </xf>
    <xf numFmtId="0" fontId="10" fillId="0" borderId="0" xfId="0" applyFont="1"/>
    <xf numFmtId="0" fontId="10" fillId="8" borderId="0" xfId="0" applyFont="1" applyFill="1"/>
    <xf numFmtId="0" fontId="13" fillId="8" borderId="0" xfId="0" applyFont="1" applyFill="1" applyAlignment="1">
      <alignment wrapText="1"/>
    </xf>
    <xf numFmtId="0" fontId="9" fillId="0" borderId="0" xfId="0" applyFont="1" applyAlignment="1">
      <alignment horizontal="center" wrapText="1"/>
    </xf>
    <xf numFmtId="0" fontId="9" fillId="0" borderId="0" xfId="0" applyFont="1" applyAlignment="1">
      <alignment wrapText="1"/>
    </xf>
    <xf numFmtId="0" fontId="8" fillId="0" borderId="0" xfId="0" applyFont="1" applyAlignment="1">
      <alignment horizontal="center" wrapText="1"/>
    </xf>
    <xf numFmtId="6" fontId="0" fillId="0" borderId="0" xfId="0" applyNumberFormat="1" applyAlignment="1">
      <alignment wrapText="1"/>
    </xf>
    <xf numFmtId="0" fontId="7" fillId="0" borderId="0" xfId="0" applyFont="1" applyAlignment="1">
      <alignment horizontal="center" wrapText="1"/>
    </xf>
    <xf numFmtId="0" fontId="6" fillId="8" borderId="0" xfId="0" applyFont="1" applyFill="1" applyAlignment="1">
      <alignment wrapText="1"/>
    </xf>
    <xf numFmtId="0" fontId="9" fillId="8" borderId="0" xfId="0" applyFont="1" applyFill="1" applyAlignment="1">
      <alignment wrapText="1"/>
    </xf>
    <xf numFmtId="0" fontId="8"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1" fillId="0" borderId="0" xfId="0" applyFont="1" applyAlignment="1">
      <alignment horizontal="center" wrapText="1"/>
    </xf>
    <xf numFmtId="0" fontId="18" fillId="0" borderId="0" xfId="0" applyFont="1" applyAlignment="1">
      <alignment vertical="center" wrapText="1"/>
    </xf>
    <xf numFmtId="0" fontId="21"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7" fillId="0" borderId="0" xfId="0" applyFont="1" applyFill="1" applyBorder="1"/>
    <xf numFmtId="0" fontId="0" fillId="0" borderId="0" xfId="0" applyFont="1" applyBorder="1"/>
    <xf numFmtId="0" fontId="18" fillId="0" borderId="0" xfId="1" applyFont="1" applyFill="1" applyBorder="1"/>
    <xf numFmtId="0" fontId="18" fillId="0" borderId="0" xfId="0" applyFont="1" applyFill="1" applyBorder="1"/>
    <xf numFmtId="0" fontId="17" fillId="0" borderId="1" xfId="0" applyFont="1" applyFill="1" applyBorder="1"/>
    <xf numFmtId="0" fontId="18" fillId="0" borderId="1" xfId="1" applyFont="1" applyFill="1" applyBorder="1"/>
    <xf numFmtId="0" fontId="18"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3" fillId="0" borderId="0" xfId="0" applyFont="1"/>
    <xf numFmtId="0" fontId="24" fillId="0" borderId="3" xfId="0" applyFont="1" applyFill="1" applyBorder="1"/>
    <xf numFmtId="0" fontId="24" fillId="9" borderId="3" xfId="0" applyFont="1" applyFill="1" applyBorder="1" applyAlignment="1">
      <alignment horizontal="left" wrapText="1"/>
    </xf>
    <xf numFmtId="0" fontId="24" fillId="9" borderId="3" xfId="0" applyFont="1" applyFill="1" applyBorder="1" applyAlignment="1">
      <alignment horizontal="left" vertical="center" wrapText="1" indent="1"/>
    </xf>
    <xf numFmtId="0" fontId="24" fillId="0" borderId="0" xfId="0" applyFont="1"/>
    <xf numFmtId="49" fontId="24" fillId="0" borderId="0" xfId="0" applyNumberFormat="1" applyFont="1"/>
    <xf numFmtId="0" fontId="24" fillId="0" borderId="5" xfId="0" applyFont="1" applyBorder="1"/>
    <xf numFmtId="0" fontId="24" fillId="0" borderId="8" xfId="0" applyFont="1" applyBorder="1"/>
    <xf numFmtId="0" fontId="24" fillId="0" borderId="6" xfId="0" applyFont="1" applyBorder="1"/>
    <xf numFmtId="0" fontId="24" fillId="0" borderId="7" xfId="0" applyFont="1" applyBorder="1"/>
    <xf numFmtId="4" fontId="24" fillId="9" borderId="3" xfId="0" applyNumberFormat="1" applyFont="1" applyFill="1" applyBorder="1" applyAlignment="1">
      <alignment horizontal="left" vertical="center" wrapText="1" indent="1"/>
    </xf>
    <xf numFmtId="4" fontId="24" fillId="0" borderId="5" xfId="0" applyNumberFormat="1" applyFont="1" applyBorder="1"/>
    <xf numFmtId="4" fontId="24" fillId="0" borderId="6" xfId="0" applyNumberFormat="1" applyFont="1" applyBorder="1"/>
    <xf numFmtId="4" fontId="24" fillId="0" borderId="0" xfId="0" applyNumberFormat="1" applyFont="1"/>
    <xf numFmtId="0" fontId="18" fillId="0" borderId="3" xfId="0" applyFont="1" applyFill="1" applyBorder="1"/>
    <xf numFmtId="4" fontId="18" fillId="9" borderId="3" xfId="0" applyNumberFormat="1" applyFont="1" applyFill="1" applyBorder="1" applyAlignment="1">
      <alignment horizontal="left" vertical="center" wrapText="1" indent="1"/>
    </xf>
    <xf numFmtId="0" fontId="18" fillId="0" borderId="0" xfId="0" applyFont="1"/>
    <xf numFmtId="0" fontId="18" fillId="9" borderId="3" xfId="0" applyFont="1" applyFill="1" applyBorder="1" applyAlignment="1">
      <alignment horizontal="left" vertical="center" wrapText="1" indent="1"/>
    </xf>
    <xf numFmtId="49" fontId="25" fillId="10" borderId="3" xfId="0" applyNumberFormat="1" applyFont="1" applyFill="1" applyBorder="1" applyAlignment="1">
      <alignment horizontal="left" vertical="center" wrapText="1" indent="1"/>
    </xf>
    <xf numFmtId="0" fontId="25" fillId="10" borderId="3" xfId="0" applyFont="1" applyFill="1" applyBorder="1" applyAlignment="1">
      <alignment horizontal="left" wrapText="1"/>
    </xf>
    <xf numFmtId="0" fontId="25" fillId="10" borderId="3" xfId="0" applyFont="1" applyFill="1" applyBorder="1" applyAlignment="1">
      <alignment horizontal="left" vertical="center" wrapText="1" indent="1"/>
    </xf>
    <xf numFmtId="4" fontId="25" fillId="10" borderId="3" xfId="0" applyNumberFormat="1" applyFont="1" applyFill="1" applyBorder="1" applyAlignment="1">
      <alignment horizontal="left" vertical="center" wrapText="1" indent="1"/>
    </xf>
    <xf numFmtId="0" fontId="25" fillId="10" borderId="3" xfId="0" applyFont="1" applyFill="1" applyBorder="1" applyAlignment="1">
      <alignment horizontal="center" vertical="center" wrapText="1"/>
    </xf>
    <xf numFmtId="10" fontId="24" fillId="9" borderId="3" xfId="0" applyNumberFormat="1" applyFont="1" applyFill="1" applyBorder="1" applyAlignment="1">
      <alignment horizontal="center" vertical="center" wrapText="1"/>
    </xf>
    <xf numFmtId="0" fontId="24" fillId="9" borderId="3" xfId="0" applyFont="1" applyFill="1" applyBorder="1" applyAlignment="1">
      <alignment horizontal="center" vertical="center" wrapText="1"/>
    </xf>
    <xf numFmtId="0" fontId="24" fillId="0" borderId="5" xfId="0" applyFont="1" applyBorder="1" applyAlignment="1">
      <alignment horizontal="center"/>
    </xf>
    <xf numFmtId="0" fontId="24" fillId="0" borderId="6" xfId="0" applyFont="1" applyBorder="1" applyAlignment="1">
      <alignment horizontal="center"/>
    </xf>
    <xf numFmtId="0" fontId="24" fillId="0" borderId="0" xfId="0" applyFont="1" applyAlignment="1">
      <alignment horizontal="center"/>
    </xf>
    <xf numFmtId="9" fontId="24" fillId="9" borderId="3" xfId="0" applyNumberFormat="1" applyFont="1" applyFill="1" applyBorder="1" applyAlignment="1">
      <alignment horizontal="center" vertical="center" wrapText="1"/>
    </xf>
    <xf numFmtId="10" fontId="18" fillId="9" borderId="3" xfId="0" applyNumberFormat="1" applyFont="1" applyFill="1" applyBorder="1" applyAlignment="1">
      <alignment horizontal="center" vertical="center" wrapText="1"/>
    </xf>
    <xf numFmtId="0" fontId="18" fillId="9" borderId="3" xfId="0" applyFont="1" applyFill="1" applyBorder="1" applyAlignment="1">
      <alignment horizontal="center" vertical="center" wrapText="1"/>
    </xf>
    <xf numFmtId="0" fontId="18" fillId="9" borderId="3" xfId="0" applyFont="1" applyFill="1" applyBorder="1" applyAlignment="1">
      <alignment horizontal="left" vertical="center" wrapText="1"/>
    </xf>
    <xf numFmtId="0" fontId="24" fillId="9" borderId="3" xfId="0" applyFont="1" applyFill="1" applyBorder="1" applyAlignment="1">
      <alignment horizontal="left" vertical="center" wrapText="1"/>
    </xf>
    <xf numFmtId="0" fontId="24" fillId="0" borderId="5" xfId="0" applyFont="1" applyBorder="1" applyAlignment="1">
      <alignment horizontal="left"/>
    </xf>
    <xf numFmtId="0" fontId="24" fillId="0" borderId="6" xfId="0" applyFont="1" applyBorder="1" applyAlignment="1">
      <alignment horizontal="left"/>
    </xf>
    <xf numFmtId="0" fontId="24" fillId="0" borderId="0" xfId="0" applyFont="1" applyAlignment="1">
      <alignment horizontal="left"/>
    </xf>
    <xf numFmtId="0" fontId="16" fillId="11" borderId="3" xfId="0" applyFont="1" applyFill="1" applyBorder="1"/>
    <xf numFmtId="0" fontId="16" fillId="2" borderId="9" xfId="0" applyFont="1" applyFill="1" applyBorder="1"/>
    <xf numFmtId="0" fontId="16" fillId="4" borderId="9" xfId="0" applyFont="1" applyFill="1" applyBorder="1"/>
    <xf numFmtId="0" fontId="16"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9" fillId="8" borderId="3" xfId="0" applyFont="1" applyFill="1" applyBorder="1" applyAlignment="1">
      <alignment wrapText="1"/>
    </xf>
    <xf numFmtId="0" fontId="19" fillId="8" borderId="3" xfId="0" applyFont="1" applyFill="1" applyBorder="1" applyAlignment="1">
      <alignment horizontal="center"/>
    </xf>
    <xf numFmtId="0" fontId="19" fillId="8" borderId="3" xfId="0" applyFont="1" applyFill="1" applyBorder="1" applyAlignment="1">
      <alignment horizontal="left"/>
    </xf>
    <xf numFmtId="0" fontId="19" fillId="8" borderId="3" xfId="0" applyFont="1" applyFill="1" applyBorder="1"/>
    <xf numFmtId="0" fontId="5" fillId="0" borderId="0" xfId="0" applyFont="1"/>
    <xf numFmtId="44" fontId="5" fillId="0" borderId="0" xfId="3" applyFont="1" applyAlignment="1">
      <alignment horizontal="center"/>
    </xf>
    <xf numFmtId="44" fontId="5" fillId="0" borderId="0" xfId="3" applyFont="1" applyAlignment="1">
      <alignment horizontal="left"/>
    </xf>
    <xf numFmtId="44" fontId="5" fillId="4" borderId="4" xfId="3" applyFont="1" applyFill="1" applyBorder="1" applyAlignment="1">
      <alignment horizontal="center"/>
    </xf>
    <xf numFmtId="0" fontId="5" fillId="4" borderId="4" xfId="0" applyFont="1" applyFill="1" applyBorder="1" applyAlignment="1">
      <alignment horizontal="center"/>
    </xf>
    <xf numFmtId="0" fontId="5" fillId="0" borderId="0" xfId="0" applyFont="1" applyAlignment="1">
      <alignment horizontal="center"/>
    </xf>
    <xf numFmtId="44" fontId="19" fillId="4" borderId="4" xfId="0" applyNumberFormat="1" applyFont="1" applyFill="1" applyBorder="1" applyAlignment="1">
      <alignment horizontal="center"/>
    </xf>
    <xf numFmtId="44" fontId="19" fillId="0" borderId="0" xfId="0" applyNumberFormat="1" applyFont="1" applyAlignment="1">
      <alignment horizontal="center"/>
    </xf>
    <xf numFmtId="0" fontId="5" fillId="0" borderId="0" xfId="0" applyFont="1" applyAlignment="1">
      <alignment horizontal="left"/>
    </xf>
    <xf numFmtId="44" fontId="19" fillId="0" borderId="0" xfId="0" applyNumberFormat="1" applyFont="1" applyAlignment="1">
      <alignment horizontal="left"/>
    </xf>
    <xf numFmtId="0" fontId="5" fillId="8" borderId="3" xfId="0" applyFont="1" applyFill="1" applyBorder="1" applyAlignment="1">
      <alignment horizontal="center"/>
    </xf>
    <xf numFmtId="0" fontId="5" fillId="8" borderId="3" xfId="0" applyFont="1" applyFill="1" applyBorder="1"/>
    <xf numFmtId="0" fontId="5" fillId="8" borderId="3" xfId="0" applyFont="1" applyFill="1" applyBorder="1" applyAlignment="1">
      <alignment horizontal="left"/>
    </xf>
    <xf numFmtId="0" fontId="26" fillId="0" borderId="0" xfId="0" applyFont="1"/>
    <xf numFmtId="44" fontId="26" fillId="0" borderId="0" xfId="3" applyFont="1" applyAlignment="1">
      <alignment horizontal="center"/>
    </xf>
    <xf numFmtId="44" fontId="26" fillId="0" borderId="0" xfId="3" applyFont="1" applyAlignment="1">
      <alignment horizontal="left"/>
    </xf>
    <xf numFmtId="44" fontId="4" fillId="0" borderId="0" xfId="3" applyFont="1" applyAlignment="1">
      <alignment horizontal="left"/>
    </xf>
    <xf numFmtId="0" fontId="4" fillId="0" borderId="0" xfId="0" applyFont="1"/>
    <xf numFmtId="0" fontId="3" fillId="0" borderId="0" xfId="0" applyFont="1" applyAlignment="1">
      <alignment horizontal="left"/>
    </xf>
    <xf numFmtId="0" fontId="3" fillId="0" borderId="0" xfId="0" applyFont="1" applyAlignment="1">
      <alignment horizontal="left" wrapText="1"/>
    </xf>
    <xf numFmtId="44" fontId="3" fillId="0" borderId="0" xfId="3" applyFont="1" applyAlignment="1">
      <alignment horizontal="left"/>
    </xf>
    <xf numFmtId="44" fontId="2" fillId="0" borderId="0" xfId="3" applyFont="1" applyAlignment="1">
      <alignment horizontal="left"/>
    </xf>
    <xf numFmtId="0" fontId="18" fillId="0" borderId="2" xfId="1" applyFont="1" applyFill="1" applyBorder="1"/>
    <xf numFmtId="0" fontId="1" fillId="0" borderId="0" xfId="0" applyFont="1" applyAlignment="1">
      <alignment horizontal="left"/>
    </xf>
    <xf numFmtId="0" fontId="16"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0" fillId="0" borderId="3" xfId="0" applyBorder="1" applyAlignment="1">
      <alignment vertical="top" wrapText="1"/>
    </xf>
    <xf numFmtId="0" fontId="0" fillId="0" borderId="0" xfId="0" applyAlignment="1">
      <alignment vertical="top" wrapText="1"/>
    </xf>
    <xf numFmtId="0" fontId="5"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3"/>
  <sheetViews>
    <sheetView tabSelected="1" zoomScale="148" zoomScaleNormal="148" workbookViewId="0">
      <pane ySplit="1" topLeftCell="A138" activePane="bottomLeft" state="frozen"/>
      <selection pane="bottomLeft" activeCell="A150" sqref="A150"/>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235</v>
      </c>
      <c r="B27" s="71" t="s">
        <v>7</v>
      </c>
      <c r="C27" s="71" t="s">
        <v>3211</v>
      </c>
      <c r="I27" s="73"/>
      <c r="J27" s="76"/>
    </row>
    <row r="28" spans="1:10" x14ac:dyDescent="0.25">
      <c r="A28" s="73" t="s">
        <v>800</v>
      </c>
      <c r="B28" s="71" t="s">
        <v>7</v>
      </c>
      <c r="C28" s="71" t="s">
        <v>3211</v>
      </c>
    </row>
    <row r="29" spans="1:10" x14ac:dyDescent="0.25">
      <c r="A29" s="74" t="s">
        <v>395</v>
      </c>
      <c r="B29" s="71" t="s">
        <v>7</v>
      </c>
    </row>
    <row r="30" spans="1:10" x14ac:dyDescent="0.25">
      <c r="A30" s="73" t="s">
        <v>528</v>
      </c>
      <c r="B30" s="71" t="s">
        <v>7</v>
      </c>
      <c r="C30" s="71" t="s">
        <v>3211</v>
      </c>
      <c r="H30" s="71" t="s">
        <v>4047</v>
      </c>
    </row>
    <row r="31" spans="1:10" x14ac:dyDescent="0.25">
      <c r="A31" s="73" t="s">
        <v>552</v>
      </c>
      <c r="B31" s="71" t="s">
        <v>7</v>
      </c>
      <c r="C31" s="71" t="s">
        <v>3211</v>
      </c>
    </row>
    <row r="32" spans="1:10" x14ac:dyDescent="0.25">
      <c r="A32" s="70" t="s">
        <v>343</v>
      </c>
      <c r="B32" s="71" t="s">
        <v>268</v>
      </c>
      <c r="C32" s="71" t="s">
        <v>3751</v>
      </c>
    </row>
    <row r="33" spans="1:10" x14ac:dyDescent="0.25">
      <c r="A33" s="70" t="s">
        <v>3409</v>
      </c>
      <c r="B33" s="71" t="s">
        <v>7</v>
      </c>
      <c r="C33" s="71" t="s">
        <v>3751</v>
      </c>
    </row>
    <row r="34" spans="1:10" x14ac:dyDescent="0.25">
      <c r="A34" s="73" t="s">
        <v>390</v>
      </c>
      <c r="B34" s="71" t="s">
        <v>7</v>
      </c>
      <c r="C34" s="71" t="s">
        <v>3212</v>
      </c>
    </row>
    <row r="35" spans="1:10" x14ac:dyDescent="0.25">
      <c r="A35" s="73" t="s">
        <v>28</v>
      </c>
      <c r="B35" s="71" t="s">
        <v>7</v>
      </c>
      <c r="C35" s="71" t="s">
        <v>3212</v>
      </c>
    </row>
    <row r="36" spans="1:10" x14ac:dyDescent="0.25">
      <c r="A36" s="70" t="s">
        <v>3164</v>
      </c>
      <c r="B36" s="71" t="s">
        <v>7</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0" t="s">
        <v>399</v>
      </c>
      <c r="B43" s="71" t="s">
        <v>7</v>
      </c>
      <c r="C43" s="71" t="s">
        <v>3751</v>
      </c>
    </row>
    <row r="44" spans="1:10" x14ac:dyDescent="0.25">
      <c r="A44" s="73" t="s">
        <v>731</v>
      </c>
      <c r="B44" s="71" t="s">
        <v>7</v>
      </c>
      <c r="C44" s="71" t="s">
        <v>3211</v>
      </c>
    </row>
    <row r="45" spans="1:10" x14ac:dyDescent="0.25">
      <c r="A45" s="73" t="s">
        <v>278</v>
      </c>
      <c r="B45" s="71" t="s">
        <v>7</v>
      </c>
      <c r="C45" s="71" t="s">
        <v>3212</v>
      </c>
    </row>
    <row r="46" spans="1:10" x14ac:dyDescent="0.25">
      <c r="A46" s="73" t="s">
        <v>569</v>
      </c>
      <c r="B46" s="71" t="s">
        <v>7</v>
      </c>
      <c r="C46" s="71" t="s">
        <v>3211</v>
      </c>
    </row>
    <row r="47" spans="1:10" x14ac:dyDescent="0.25">
      <c r="A47" s="73" t="s">
        <v>32</v>
      </c>
      <c r="B47" s="71" t="s">
        <v>7</v>
      </c>
      <c r="C47" s="71" t="s">
        <v>3211</v>
      </c>
      <c r="I47" s="73"/>
    </row>
    <row r="48" spans="1:10" x14ac:dyDescent="0.25">
      <c r="A48" s="78" t="s">
        <v>74</v>
      </c>
      <c r="B48" s="71" t="s">
        <v>7</v>
      </c>
      <c r="I48" s="73"/>
    </row>
    <row r="49" spans="1:10" x14ac:dyDescent="0.25">
      <c r="A49" s="73" t="s">
        <v>54</v>
      </c>
      <c r="B49" s="71" t="s">
        <v>254</v>
      </c>
      <c r="C49" s="71" t="s">
        <v>3211</v>
      </c>
      <c r="I49" s="73"/>
    </row>
    <row r="50" spans="1:10" x14ac:dyDescent="0.25">
      <c r="A50" s="77" t="s">
        <v>218</v>
      </c>
      <c r="B50" s="71" t="s">
        <v>7</v>
      </c>
      <c r="C50" s="71" t="s">
        <v>3751</v>
      </c>
      <c r="I50" s="73"/>
      <c r="J50" s="76"/>
    </row>
    <row r="51" spans="1:10" x14ac:dyDescent="0.25">
      <c r="A51" s="77" t="s">
        <v>6706</v>
      </c>
      <c r="B51" s="71" t="s">
        <v>7</v>
      </c>
      <c r="C51" s="71" t="s">
        <v>3211</v>
      </c>
    </row>
    <row r="52" spans="1:10" x14ac:dyDescent="0.25">
      <c r="A52" s="73" t="s">
        <v>93</v>
      </c>
      <c r="B52" s="71" t="s">
        <v>7</v>
      </c>
      <c r="C52" s="71" t="s">
        <v>3211</v>
      </c>
      <c r="I52" s="73"/>
      <c r="J52" s="76"/>
    </row>
    <row r="53" spans="1:10" x14ac:dyDescent="0.25">
      <c r="A53" s="70" t="s">
        <v>261</v>
      </c>
      <c r="B53" s="71" t="s">
        <v>7</v>
      </c>
      <c r="C53" s="71" t="s">
        <v>3751</v>
      </c>
    </row>
    <row r="54" spans="1:10" x14ac:dyDescent="0.25">
      <c r="A54" s="70" t="s">
        <v>344</v>
      </c>
      <c r="B54" s="71" t="s">
        <v>7</v>
      </c>
      <c r="C54" s="71" t="s">
        <v>3213</v>
      </c>
      <c r="I54" s="73"/>
    </row>
    <row r="55" spans="1:10" x14ac:dyDescent="0.25">
      <c r="A55" s="70" t="s">
        <v>333</v>
      </c>
      <c r="B55" s="71" t="s">
        <v>7</v>
      </c>
      <c r="C55" s="71" t="s">
        <v>3213</v>
      </c>
    </row>
    <row r="56" spans="1:10" x14ac:dyDescent="0.25">
      <c r="A56" s="73" t="s">
        <v>279</v>
      </c>
      <c r="B56" s="71" t="s">
        <v>268</v>
      </c>
      <c r="C56" s="71" t="s">
        <v>3212</v>
      </c>
    </row>
    <row r="57" spans="1:10" x14ac:dyDescent="0.25">
      <c r="A57" s="73" t="s">
        <v>94</v>
      </c>
      <c r="B57" s="71" t="s">
        <v>7</v>
      </c>
      <c r="C57" s="71" t="s">
        <v>3210</v>
      </c>
      <c r="I57" s="73"/>
      <c r="J57" s="76"/>
    </row>
    <row r="58" spans="1:10" x14ac:dyDescent="0.25">
      <c r="A58" s="73" t="s">
        <v>216</v>
      </c>
      <c r="B58" s="71" t="s">
        <v>7</v>
      </c>
      <c r="C58" s="71" t="s">
        <v>3212</v>
      </c>
      <c r="I58" s="76"/>
      <c r="J58" s="76"/>
    </row>
    <row r="59" spans="1:10" x14ac:dyDescent="0.25">
      <c r="A59" s="70" t="s">
        <v>370</v>
      </c>
      <c r="B59" s="71" t="s">
        <v>7</v>
      </c>
      <c r="C59" s="71" t="s">
        <v>3212</v>
      </c>
    </row>
    <row r="60" spans="1:10" x14ac:dyDescent="0.25">
      <c r="A60" s="70" t="s">
        <v>231</v>
      </c>
      <c r="B60" s="71" t="s">
        <v>7</v>
      </c>
    </row>
    <row r="61" spans="1:10" x14ac:dyDescent="0.25">
      <c r="A61" s="73" t="s">
        <v>373</v>
      </c>
      <c r="B61" s="71" t="s">
        <v>7</v>
      </c>
      <c r="C61" s="71" t="s">
        <v>3211</v>
      </c>
    </row>
    <row r="62" spans="1:10" x14ac:dyDescent="0.25">
      <c r="A62" s="78" t="s">
        <v>96</v>
      </c>
      <c r="B62" s="71" t="s">
        <v>255</v>
      </c>
      <c r="C62" s="71" t="s">
        <v>3751</v>
      </c>
      <c r="I62" s="73"/>
    </row>
    <row r="63" spans="1:10" x14ac:dyDescent="0.25">
      <c r="A63" s="73" t="s">
        <v>280</v>
      </c>
      <c r="B63" s="71" t="s">
        <v>268</v>
      </c>
      <c r="C63" s="71" t="s">
        <v>3212</v>
      </c>
    </row>
    <row r="64" spans="1:10" x14ac:dyDescent="0.25">
      <c r="A64" s="70" t="s">
        <v>366</v>
      </c>
      <c r="B64" s="71" t="s">
        <v>7</v>
      </c>
    </row>
    <row r="65" spans="1:10" x14ac:dyDescent="0.25">
      <c r="A65" s="70" t="s">
        <v>400</v>
      </c>
      <c r="B65" s="71" t="s">
        <v>7</v>
      </c>
      <c r="C65" s="71" t="s">
        <v>3213</v>
      </c>
    </row>
    <row r="66" spans="1:10" x14ac:dyDescent="0.25">
      <c r="A66" s="73" t="s">
        <v>166</v>
      </c>
      <c r="B66" s="71" t="s">
        <v>7</v>
      </c>
      <c r="C66" s="71" t="s">
        <v>3212</v>
      </c>
      <c r="I66" s="73"/>
      <c r="J66" s="76"/>
    </row>
    <row r="67" spans="1:10" x14ac:dyDescent="0.25">
      <c r="A67" s="73" t="s">
        <v>33</v>
      </c>
      <c r="B67" s="71" t="s">
        <v>7</v>
      </c>
      <c r="C67" s="71" t="s">
        <v>3211</v>
      </c>
    </row>
    <row r="68" spans="1:10" x14ac:dyDescent="0.25">
      <c r="A68" s="73" t="s">
        <v>329</v>
      </c>
      <c r="B68" s="71" t="s">
        <v>7</v>
      </c>
      <c r="C68" s="71" t="s">
        <v>3211</v>
      </c>
    </row>
    <row r="69" spans="1:10" x14ac:dyDescent="0.25">
      <c r="A69" s="73" t="s">
        <v>97</v>
      </c>
      <c r="B69" s="71" t="s">
        <v>7</v>
      </c>
      <c r="C69" s="71" t="s">
        <v>3211</v>
      </c>
      <c r="I69" s="73"/>
    </row>
    <row r="70" spans="1:10" x14ac:dyDescent="0.25">
      <c r="A70" s="73" t="s">
        <v>98</v>
      </c>
      <c r="B70" s="71" t="s">
        <v>7</v>
      </c>
      <c r="C70" s="71" t="s">
        <v>3211</v>
      </c>
      <c r="I70" s="73"/>
      <c r="J70" s="76"/>
    </row>
    <row r="71" spans="1:10" x14ac:dyDescent="0.25">
      <c r="A71" s="70" t="s">
        <v>378</v>
      </c>
      <c r="B71" s="71" t="s">
        <v>7</v>
      </c>
      <c r="C71" s="71" t="s">
        <v>3751</v>
      </c>
    </row>
    <row r="72" spans="1:10" x14ac:dyDescent="0.25">
      <c r="A72" s="73" t="s">
        <v>391</v>
      </c>
      <c r="B72" s="71" t="s">
        <v>7</v>
      </c>
      <c r="C72" s="71" t="s">
        <v>3211</v>
      </c>
    </row>
    <row r="73" spans="1:10" x14ac:dyDescent="0.25">
      <c r="A73" s="70" t="s">
        <v>357</v>
      </c>
      <c r="B73" s="71" t="s">
        <v>7</v>
      </c>
      <c r="C73" s="71" t="s">
        <v>3213</v>
      </c>
    </row>
    <row r="74" spans="1:10" x14ac:dyDescent="0.25">
      <c r="A74" s="75" t="s">
        <v>183</v>
      </c>
      <c r="B74" s="71" t="s">
        <v>7</v>
      </c>
      <c r="C74" s="71" t="s">
        <v>3213</v>
      </c>
      <c r="I74" s="73"/>
      <c r="J74" s="76"/>
    </row>
    <row r="75" spans="1:10" x14ac:dyDescent="0.25">
      <c r="A75" s="73" t="s">
        <v>151</v>
      </c>
      <c r="B75" s="71" t="s">
        <v>7</v>
      </c>
      <c r="C75" s="71" t="s">
        <v>3210</v>
      </c>
      <c r="G75" s="71" t="s">
        <v>161</v>
      </c>
      <c r="I75" s="73"/>
      <c r="J75" s="76"/>
    </row>
    <row r="76" spans="1:10" x14ac:dyDescent="0.25">
      <c r="A76" s="73" t="s">
        <v>99</v>
      </c>
      <c r="B76" s="71" t="s">
        <v>7</v>
      </c>
      <c r="C76" s="71" t="s">
        <v>3211</v>
      </c>
      <c r="I76" s="73"/>
      <c r="J76" s="76"/>
    </row>
    <row r="77" spans="1:10" x14ac:dyDescent="0.25">
      <c r="A77" s="70" t="s">
        <v>397</v>
      </c>
      <c r="B77" s="71" t="s">
        <v>7</v>
      </c>
      <c r="C77" s="71" t="s">
        <v>3213</v>
      </c>
      <c r="I77" s="73"/>
    </row>
    <row r="78" spans="1:10" x14ac:dyDescent="0.25">
      <c r="A78" s="73" t="s">
        <v>248</v>
      </c>
      <c r="B78" s="71" t="s">
        <v>7</v>
      </c>
      <c r="C78" s="71" t="s">
        <v>3211</v>
      </c>
    </row>
    <row r="79" spans="1:10" x14ac:dyDescent="0.25">
      <c r="A79" s="73" t="s">
        <v>281</v>
      </c>
      <c r="B79" s="71" t="s">
        <v>268</v>
      </c>
      <c r="C79" s="71" t="s">
        <v>3212</v>
      </c>
    </row>
    <row r="80" spans="1:10" x14ac:dyDescent="0.25">
      <c r="A80" s="70" t="s">
        <v>270</v>
      </c>
      <c r="B80" s="71" t="s">
        <v>255</v>
      </c>
    </row>
    <row r="81" spans="1:14" x14ac:dyDescent="0.25">
      <c r="A81" s="73" t="s">
        <v>282</v>
      </c>
      <c r="B81" s="71" t="s">
        <v>268</v>
      </c>
      <c r="C81" s="71" t="s">
        <v>3211</v>
      </c>
    </row>
    <row r="82" spans="1:14" x14ac:dyDescent="0.25">
      <c r="A82" s="73" t="s">
        <v>9</v>
      </c>
      <c r="B82" s="71" t="s">
        <v>7</v>
      </c>
      <c r="C82" s="71" t="s">
        <v>3210</v>
      </c>
      <c r="I82" s="73"/>
      <c r="J82" s="76"/>
      <c r="N82" s="73"/>
    </row>
    <row r="83" spans="1:14" x14ac:dyDescent="0.25">
      <c r="A83" s="74" t="s">
        <v>100</v>
      </c>
      <c r="B83" s="71" t="s">
        <v>7</v>
      </c>
      <c r="C83" s="71" t="s">
        <v>3211</v>
      </c>
      <c r="I83" s="73"/>
      <c r="J83" s="76"/>
    </row>
    <row r="84" spans="1:14" x14ac:dyDescent="0.25">
      <c r="A84" s="74" t="s">
        <v>273</v>
      </c>
      <c r="B84" s="71" t="s">
        <v>7</v>
      </c>
      <c r="C84" s="71" t="s">
        <v>3212</v>
      </c>
    </row>
    <row r="85" spans="1:14" x14ac:dyDescent="0.25">
      <c r="A85" s="74" t="s">
        <v>414</v>
      </c>
      <c r="B85" s="71" t="s">
        <v>7</v>
      </c>
    </row>
    <row r="86" spans="1:14" x14ac:dyDescent="0.25">
      <c r="A86" s="74" t="s">
        <v>283</v>
      </c>
      <c r="B86" s="71" t="s">
        <v>268</v>
      </c>
      <c r="C86" s="71" t="s">
        <v>3211</v>
      </c>
    </row>
    <row r="87" spans="1:14" x14ac:dyDescent="0.25">
      <c r="A87" s="74" t="s">
        <v>403</v>
      </c>
      <c r="B87" s="71" t="s">
        <v>7</v>
      </c>
    </row>
    <row r="88" spans="1:14" x14ac:dyDescent="0.25">
      <c r="A88" s="80" t="s">
        <v>219</v>
      </c>
      <c r="B88" s="71" t="s">
        <v>7</v>
      </c>
      <c r="C88" s="71" t="s">
        <v>3212</v>
      </c>
      <c r="I88" s="76"/>
      <c r="J88" s="76"/>
    </row>
    <row r="89" spans="1:14" x14ac:dyDescent="0.25">
      <c r="A89" s="74" t="s">
        <v>461</v>
      </c>
      <c r="B89" s="71" t="s">
        <v>7</v>
      </c>
    </row>
    <row r="90" spans="1:14" x14ac:dyDescent="0.25">
      <c r="A90" s="74" t="s">
        <v>38</v>
      </c>
      <c r="B90" s="71" t="s">
        <v>7</v>
      </c>
      <c r="C90" s="71" t="s">
        <v>3211</v>
      </c>
      <c r="I90" s="73"/>
      <c r="J90" s="76"/>
    </row>
    <row r="91" spans="1:14" x14ac:dyDescent="0.25">
      <c r="A91" s="80" t="s">
        <v>220</v>
      </c>
      <c r="B91" s="71" t="s">
        <v>7</v>
      </c>
      <c r="C91" s="71" t="s">
        <v>3211</v>
      </c>
      <c r="I91" s="73"/>
      <c r="J91" s="76"/>
    </row>
    <row r="92" spans="1:14" x14ac:dyDescent="0.25">
      <c r="A92" s="80" t="s">
        <v>185</v>
      </c>
      <c r="B92" s="71" t="s">
        <v>7</v>
      </c>
      <c r="C92" s="71" t="s">
        <v>3213</v>
      </c>
      <c r="I92" s="73"/>
    </row>
    <row r="93" spans="1:14" x14ac:dyDescent="0.25">
      <c r="A93" s="74" t="s">
        <v>1588</v>
      </c>
      <c r="B93" s="71" t="s">
        <v>7</v>
      </c>
      <c r="C93" s="71" t="s">
        <v>3212</v>
      </c>
    </row>
    <row r="94" spans="1:14" x14ac:dyDescent="0.25">
      <c r="A94" s="80" t="s">
        <v>221</v>
      </c>
      <c r="B94" s="71" t="s">
        <v>7</v>
      </c>
      <c r="C94" s="71" t="s">
        <v>3211</v>
      </c>
      <c r="I94" s="73"/>
      <c r="J94" s="73"/>
    </row>
    <row r="95" spans="1:14" x14ac:dyDescent="0.25">
      <c r="A95" s="74" t="s">
        <v>65</v>
      </c>
      <c r="B95" s="71" t="s">
        <v>7</v>
      </c>
      <c r="C95" s="71" t="s">
        <v>3213</v>
      </c>
      <c r="I95" s="73"/>
      <c r="J95" s="73"/>
    </row>
    <row r="96" spans="1:14" x14ac:dyDescent="0.25">
      <c r="A96" s="74" t="s">
        <v>75</v>
      </c>
      <c r="B96" s="71" t="s">
        <v>7</v>
      </c>
      <c r="C96" s="71" t="s">
        <v>3210</v>
      </c>
      <c r="I96" s="73"/>
      <c r="J96" s="73"/>
    </row>
    <row r="97" spans="1:10" x14ac:dyDescent="0.25">
      <c r="A97" s="74" t="s">
        <v>57</v>
      </c>
      <c r="B97" s="71" t="s">
        <v>7</v>
      </c>
      <c r="I97" s="73"/>
      <c r="J97" s="73"/>
    </row>
    <row r="98" spans="1:10" x14ac:dyDescent="0.25">
      <c r="A98" s="74" t="s">
        <v>101</v>
      </c>
      <c r="B98" s="71" t="s">
        <v>7</v>
      </c>
      <c r="C98" s="71" t="s">
        <v>3210</v>
      </c>
      <c r="I98" s="73"/>
      <c r="J98" s="73"/>
    </row>
    <row r="99" spans="1:10" x14ac:dyDescent="0.25">
      <c r="A99" s="74" t="s">
        <v>330</v>
      </c>
      <c r="B99" s="71" t="s">
        <v>7</v>
      </c>
      <c r="C99" s="71" t="s">
        <v>3213</v>
      </c>
    </row>
    <row r="100" spans="1:10" x14ac:dyDescent="0.25">
      <c r="A100" s="74" t="s">
        <v>285</v>
      </c>
      <c r="B100" s="71" t="s">
        <v>268</v>
      </c>
      <c r="C100" s="71" t="s">
        <v>3211</v>
      </c>
    </row>
    <row r="101" spans="1:10" x14ac:dyDescent="0.25">
      <c r="A101" s="74" t="s">
        <v>167</v>
      </c>
      <c r="B101" s="71" t="s">
        <v>7</v>
      </c>
      <c r="C101" s="71" t="s">
        <v>3213</v>
      </c>
      <c r="I101" s="73"/>
      <c r="J101" s="73"/>
    </row>
    <row r="102" spans="1:10" x14ac:dyDescent="0.25">
      <c r="A102" s="74" t="s">
        <v>286</v>
      </c>
      <c r="B102" s="71" t="s">
        <v>268</v>
      </c>
      <c r="C102" s="71" t="s">
        <v>3212</v>
      </c>
    </row>
    <row r="103" spans="1:10" x14ac:dyDescent="0.25">
      <c r="A103" s="74" t="s">
        <v>406</v>
      </c>
      <c r="B103" s="71" t="s">
        <v>7</v>
      </c>
      <c r="C103" s="71" t="s">
        <v>3212</v>
      </c>
    </row>
    <row r="104" spans="1:10" x14ac:dyDescent="0.25">
      <c r="A104" s="86" t="s">
        <v>206</v>
      </c>
      <c r="B104" s="71" t="s">
        <v>7</v>
      </c>
      <c r="C104" s="71" t="s">
        <v>3212</v>
      </c>
      <c r="D104" s="84"/>
      <c r="E104" s="85"/>
      <c r="F104" s="85"/>
      <c r="G104" s="84"/>
      <c r="I104" s="73"/>
      <c r="J104" s="73"/>
    </row>
    <row r="105" spans="1:10" x14ac:dyDescent="0.25">
      <c r="A105" s="74" t="s">
        <v>377</v>
      </c>
      <c r="B105" s="71" t="s">
        <v>7</v>
      </c>
      <c r="C105" s="71" t="s">
        <v>3210</v>
      </c>
    </row>
    <row r="106" spans="1:10" x14ac:dyDescent="0.25">
      <c r="A106" s="74" t="s">
        <v>39</v>
      </c>
      <c r="B106" s="71" t="s">
        <v>7</v>
      </c>
      <c r="C106" s="71" t="s">
        <v>3751</v>
      </c>
      <c r="I106" s="76"/>
      <c r="J106" s="76"/>
    </row>
    <row r="107" spans="1:10" x14ac:dyDescent="0.25">
      <c r="A107" s="80" t="s">
        <v>186</v>
      </c>
      <c r="B107" s="71" t="s">
        <v>7</v>
      </c>
      <c r="C107" s="71" t="s">
        <v>3213</v>
      </c>
    </row>
    <row r="108" spans="1:10" x14ac:dyDescent="0.25">
      <c r="A108" s="74" t="s">
        <v>1338</v>
      </c>
      <c r="B108" s="71" t="s">
        <v>7</v>
      </c>
      <c r="C108" s="71" t="s">
        <v>3212</v>
      </c>
    </row>
    <row r="109" spans="1:10" x14ac:dyDescent="0.25">
      <c r="A109" s="74" t="s">
        <v>56</v>
      </c>
      <c r="B109" s="71" t="s">
        <v>7</v>
      </c>
      <c r="C109" s="71" t="s">
        <v>3210</v>
      </c>
      <c r="I109" s="76"/>
      <c r="J109" s="76"/>
    </row>
    <row r="110" spans="1:10" x14ac:dyDescent="0.25">
      <c r="A110" s="74" t="s">
        <v>356</v>
      </c>
      <c r="B110" s="71" t="s">
        <v>7</v>
      </c>
      <c r="C110" s="71" t="s">
        <v>3211</v>
      </c>
    </row>
    <row r="111" spans="1:10" x14ac:dyDescent="0.25">
      <c r="A111" s="74" t="s">
        <v>3003</v>
      </c>
      <c r="B111" s="71" t="s">
        <v>7</v>
      </c>
      <c r="C111" s="71" t="s">
        <v>3213</v>
      </c>
      <c r="H111" s="71" t="s">
        <v>4046</v>
      </c>
    </row>
    <row r="112" spans="1:10" x14ac:dyDescent="0.25">
      <c r="A112" s="74" t="s">
        <v>66</v>
      </c>
      <c r="B112" s="71" t="s">
        <v>7</v>
      </c>
      <c r="J112" s="76"/>
    </row>
    <row r="113" spans="1:10" x14ac:dyDescent="0.25">
      <c r="A113" s="74" t="s">
        <v>287</v>
      </c>
      <c r="B113" s="71" t="s">
        <v>7</v>
      </c>
      <c r="C113" s="71" t="s">
        <v>3212</v>
      </c>
    </row>
    <row r="114" spans="1:10" x14ac:dyDescent="0.25">
      <c r="A114" s="74" t="s">
        <v>375</v>
      </c>
      <c r="B114" s="71" t="s">
        <v>7</v>
      </c>
      <c r="C114" s="71" t="s">
        <v>3751</v>
      </c>
    </row>
    <row r="115" spans="1:10" x14ac:dyDescent="0.25">
      <c r="A115" s="74" t="s">
        <v>328</v>
      </c>
      <c r="B115" s="71" t="s">
        <v>268</v>
      </c>
      <c r="C115" s="71" t="s">
        <v>3212</v>
      </c>
    </row>
    <row r="116" spans="1:10" x14ac:dyDescent="0.25">
      <c r="A116" s="74" t="s">
        <v>379</v>
      </c>
      <c r="B116" s="71" t="s">
        <v>7</v>
      </c>
      <c r="C116" s="71" t="s">
        <v>3751</v>
      </c>
    </row>
    <row r="117" spans="1:10" x14ac:dyDescent="0.25">
      <c r="A117" s="79" t="s">
        <v>102</v>
      </c>
      <c r="B117" s="71" t="s">
        <v>7</v>
      </c>
      <c r="C117" s="71" t="s">
        <v>3211</v>
      </c>
      <c r="I117" s="73"/>
      <c r="J117" s="73"/>
    </row>
    <row r="118" spans="1:10" x14ac:dyDescent="0.25">
      <c r="A118" s="74" t="s">
        <v>103</v>
      </c>
      <c r="B118" s="71" t="s">
        <v>7</v>
      </c>
      <c r="C118" s="71" t="s">
        <v>3211</v>
      </c>
      <c r="I118" s="73"/>
      <c r="J118" s="73"/>
    </row>
    <row r="119" spans="1:10" x14ac:dyDescent="0.25">
      <c r="A119" s="74" t="s">
        <v>466</v>
      </c>
      <c r="B119" s="71" t="s">
        <v>7</v>
      </c>
    </row>
    <row r="120" spans="1:10" x14ac:dyDescent="0.25">
      <c r="A120" s="74" t="s">
        <v>436</v>
      </c>
      <c r="B120" s="71" t="s">
        <v>7</v>
      </c>
      <c r="C120" s="71" t="s">
        <v>3213</v>
      </c>
    </row>
    <row r="121" spans="1:10" x14ac:dyDescent="0.25">
      <c r="A121" s="74" t="s">
        <v>104</v>
      </c>
      <c r="B121" s="71" t="s">
        <v>7</v>
      </c>
      <c r="C121" s="71" t="s">
        <v>3211</v>
      </c>
      <c r="I121" s="73"/>
      <c r="J121" s="73"/>
    </row>
    <row r="122" spans="1:10" x14ac:dyDescent="0.25">
      <c r="A122" s="74" t="s">
        <v>263</v>
      </c>
      <c r="B122" s="71" t="s">
        <v>7</v>
      </c>
    </row>
    <row r="123" spans="1:10" x14ac:dyDescent="0.25">
      <c r="A123" s="74" t="s">
        <v>168</v>
      </c>
      <c r="B123" s="71" t="s">
        <v>7</v>
      </c>
      <c r="C123" s="71" t="s">
        <v>3211</v>
      </c>
      <c r="I123" s="73"/>
      <c r="J123" s="73"/>
    </row>
    <row r="124" spans="1:10" x14ac:dyDescent="0.25">
      <c r="A124" s="74" t="s">
        <v>58</v>
      </c>
      <c r="B124" s="71" t="s">
        <v>7</v>
      </c>
      <c r="C124" s="71" t="s">
        <v>3211</v>
      </c>
      <c r="I124" s="73"/>
      <c r="J124" s="76"/>
    </row>
    <row r="125" spans="1:10" x14ac:dyDescent="0.25">
      <c r="A125" s="74" t="s">
        <v>205</v>
      </c>
      <c r="B125" s="71" t="s">
        <v>7</v>
      </c>
      <c r="C125" s="71" t="s">
        <v>3210</v>
      </c>
      <c r="I125" s="73"/>
      <c r="J125" s="73"/>
    </row>
    <row r="126" spans="1:10" x14ac:dyDescent="0.25">
      <c r="A126" s="74" t="s">
        <v>169</v>
      </c>
      <c r="B126" s="71" t="s">
        <v>7</v>
      </c>
      <c r="C126" s="71" t="s">
        <v>3210</v>
      </c>
      <c r="I126" s="73"/>
      <c r="J126" s="76"/>
    </row>
    <row r="127" spans="1:10" x14ac:dyDescent="0.25">
      <c r="A127" s="74" t="s">
        <v>386</v>
      </c>
      <c r="B127" s="71" t="s">
        <v>7</v>
      </c>
      <c r="C127" s="71" t="s">
        <v>3210</v>
      </c>
    </row>
    <row r="128" spans="1:10" x14ac:dyDescent="0.25">
      <c r="A128" s="74" t="s">
        <v>288</v>
      </c>
      <c r="B128" s="71" t="s">
        <v>268</v>
      </c>
      <c r="C128" s="71" t="s">
        <v>3213</v>
      </c>
    </row>
    <row r="129" spans="1:10" x14ac:dyDescent="0.25">
      <c r="A129" s="74" t="s">
        <v>170</v>
      </c>
      <c r="B129" s="71" t="s">
        <v>7</v>
      </c>
      <c r="C129" s="71" t="s">
        <v>3211</v>
      </c>
      <c r="I129" s="73"/>
      <c r="J129" s="76"/>
    </row>
    <row r="130" spans="1:10" x14ac:dyDescent="0.25">
      <c r="A130" s="74" t="s">
        <v>6752</v>
      </c>
      <c r="B130" s="71" t="s">
        <v>7</v>
      </c>
      <c r="C130" s="71" t="s">
        <v>3211</v>
      </c>
      <c r="I130" s="73"/>
    </row>
    <row r="131" spans="1:10" x14ac:dyDescent="0.25">
      <c r="A131" s="74" t="s">
        <v>171</v>
      </c>
      <c r="B131" s="71" t="s">
        <v>7</v>
      </c>
      <c r="C131" s="71" t="s">
        <v>3212</v>
      </c>
      <c r="H131" s="71" t="s">
        <v>223</v>
      </c>
    </row>
    <row r="132" spans="1:10" x14ac:dyDescent="0.25">
      <c r="A132" s="74" t="s">
        <v>383</v>
      </c>
      <c r="B132" s="71" t="s">
        <v>7</v>
      </c>
      <c r="C132" s="71" t="s">
        <v>3211</v>
      </c>
    </row>
    <row r="133" spans="1:10" x14ac:dyDescent="0.25">
      <c r="A133" s="80" t="s">
        <v>187</v>
      </c>
      <c r="B133" s="71" t="s">
        <v>7</v>
      </c>
      <c r="C133" s="71" t="s">
        <v>3211</v>
      </c>
      <c r="I133" s="73"/>
      <c r="J133" s="76"/>
    </row>
    <row r="134" spans="1:10" x14ac:dyDescent="0.25">
      <c r="A134" s="74" t="s">
        <v>224</v>
      </c>
      <c r="B134" s="71" t="s">
        <v>7</v>
      </c>
      <c r="C134" s="71" t="s">
        <v>3213</v>
      </c>
    </row>
    <row r="135" spans="1:10" x14ac:dyDescent="0.25">
      <c r="A135" s="74" t="s">
        <v>236</v>
      </c>
      <c r="B135" s="71" t="s">
        <v>7</v>
      </c>
      <c r="C135" s="71" t="s">
        <v>3751</v>
      </c>
      <c r="I135" s="73"/>
      <c r="J135" s="76"/>
    </row>
    <row r="136" spans="1:10" x14ac:dyDescent="0.25">
      <c r="A136" s="74" t="s">
        <v>67</v>
      </c>
      <c r="B136" s="71" t="s">
        <v>7</v>
      </c>
      <c r="C136" s="71" t="s">
        <v>3211</v>
      </c>
      <c r="I136" s="73"/>
      <c r="J136" s="76"/>
    </row>
    <row r="137" spans="1:10" x14ac:dyDescent="0.25">
      <c r="A137" s="74" t="s">
        <v>105</v>
      </c>
      <c r="B137" s="71" t="s">
        <v>7</v>
      </c>
      <c r="C137" s="71" t="s">
        <v>3211</v>
      </c>
      <c r="I137" s="73"/>
      <c r="J137" s="73"/>
    </row>
    <row r="138" spans="1:10" x14ac:dyDescent="0.25">
      <c r="A138" s="74" t="s">
        <v>68</v>
      </c>
      <c r="B138" s="71" t="s">
        <v>7</v>
      </c>
      <c r="C138" s="71" t="s">
        <v>3212</v>
      </c>
    </row>
    <row r="139" spans="1:10" x14ac:dyDescent="0.25">
      <c r="A139" s="74" t="s">
        <v>106</v>
      </c>
      <c r="B139" s="71" t="s">
        <v>7</v>
      </c>
      <c r="C139" s="71" t="s">
        <v>3751</v>
      </c>
      <c r="I139" s="73"/>
    </row>
    <row r="140" spans="1:10" x14ac:dyDescent="0.25">
      <c r="A140" s="74" t="s">
        <v>289</v>
      </c>
      <c r="B140" s="71" t="s">
        <v>7</v>
      </c>
      <c r="C140" s="71" t="s">
        <v>3211</v>
      </c>
    </row>
    <row r="141" spans="1:10" x14ac:dyDescent="0.25">
      <c r="A141" s="74" t="s">
        <v>424</v>
      </c>
      <c r="B141" s="71" t="s">
        <v>7</v>
      </c>
    </row>
    <row r="142" spans="1:10" x14ac:dyDescent="0.25">
      <c r="A142" s="74" t="s">
        <v>2153</v>
      </c>
      <c r="B142" s="71" t="s">
        <v>7</v>
      </c>
      <c r="C142" s="71" t="s">
        <v>3213</v>
      </c>
    </row>
    <row r="143" spans="1:10" x14ac:dyDescent="0.25">
      <c r="A143" s="74" t="s">
        <v>35</v>
      </c>
      <c r="B143" s="71" t="s">
        <v>7</v>
      </c>
      <c r="C143" s="71" t="s">
        <v>3211</v>
      </c>
      <c r="I143" s="73"/>
      <c r="J143" s="73"/>
    </row>
    <row r="144" spans="1:10" x14ac:dyDescent="0.25">
      <c r="A144" s="74" t="s">
        <v>387</v>
      </c>
      <c r="B144" s="71" t="s">
        <v>7</v>
      </c>
      <c r="C144" s="71" t="s">
        <v>3212</v>
      </c>
    </row>
    <row r="145" spans="1:10" x14ac:dyDescent="0.25">
      <c r="A145" s="81" t="s">
        <v>107</v>
      </c>
      <c r="B145" s="71" t="s">
        <v>7</v>
      </c>
      <c r="C145" s="71" t="s">
        <v>3211</v>
      </c>
      <c r="I145" s="76"/>
      <c r="J145" s="76"/>
    </row>
    <row r="146" spans="1:10" x14ac:dyDescent="0.25">
      <c r="A146" s="74" t="s">
        <v>2420</v>
      </c>
      <c r="B146" s="71" t="s">
        <v>7</v>
      </c>
      <c r="C146" s="71" t="s">
        <v>3213</v>
      </c>
    </row>
    <row r="147" spans="1:10" x14ac:dyDescent="0.25">
      <c r="A147" s="87" t="s">
        <v>517</v>
      </c>
      <c r="B147" s="71" t="s">
        <v>7</v>
      </c>
    </row>
    <row r="148" spans="1:10" x14ac:dyDescent="0.25">
      <c r="A148" s="74" t="s">
        <v>20</v>
      </c>
      <c r="B148" s="71" t="s">
        <v>7</v>
      </c>
      <c r="C148" s="71" t="s">
        <v>3212</v>
      </c>
      <c r="I148" s="73"/>
      <c r="J148" s="73"/>
    </row>
    <row r="149" spans="1:10" x14ac:dyDescent="0.25">
      <c r="A149" s="73" t="s">
        <v>290</v>
      </c>
      <c r="B149" s="71" t="s">
        <v>268</v>
      </c>
      <c r="C149" s="71" t="s">
        <v>3210</v>
      </c>
    </row>
    <row r="150" spans="1:10" x14ac:dyDescent="0.25">
      <c r="A150" s="73" t="s">
        <v>6857</v>
      </c>
      <c r="B150" s="71" t="s">
        <v>268</v>
      </c>
      <c r="C150" s="71" t="s">
        <v>3211</v>
      </c>
    </row>
    <row r="151" spans="1:10" x14ac:dyDescent="0.25">
      <c r="A151" s="73" t="s">
        <v>172</v>
      </c>
      <c r="B151" s="71" t="s">
        <v>7</v>
      </c>
      <c r="C151" s="71" t="s">
        <v>3211</v>
      </c>
      <c r="I151" s="73"/>
      <c r="J151" s="76"/>
    </row>
    <row r="152" spans="1:10" x14ac:dyDescent="0.25">
      <c r="A152" s="70" t="s">
        <v>532</v>
      </c>
      <c r="B152" s="71" t="s">
        <v>7</v>
      </c>
    </row>
    <row r="153" spans="1:10" x14ac:dyDescent="0.25">
      <c r="A153" s="73" t="s">
        <v>345</v>
      </c>
      <c r="B153" s="71" t="s">
        <v>7</v>
      </c>
      <c r="C153" s="71" t="s">
        <v>3212</v>
      </c>
    </row>
    <row r="154" spans="1:10" x14ac:dyDescent="0.25">
      <c r="A154" s="73" t="s">
        <v>394</v>
      </c>
      <c r="B154" s="71" t="s">
        <v>7</v>
      </c>
      <c r="C154" s="71" t="s">
        <v>3211</v>
      </c>
    </row>
    <row r="155" spans="1:10" x14ac:dyDescent="0.25">
      <c r="A155" s="73" t="s">
        <v>108</v>
      </c>
      <c r="B155" s="71" t="s">
        <v>7</v>
      </c>
      <c r="C155" s="71" t="s">
        <v>3212</v>
      </c>
      <c r="I155" s="73"/>
      <c r="J155" s="76"/>
    </row>
    <row r="156" spans="1:10" x14ac:dyDescent="0.25">
      <c r="A156" s="73" t="s">
        <v>259</v>
      </c>
      <c r="B156" s="71" t="s">
        <v>7</v>
      </c>
      <c r="C156" s="71" t="s">
        <v>3213</v>
      </c>
    </row>
    <row r="157" spans="1:10" x14ac:dyDescent="0.25">
      <c r="A157" s="73" t="s">
        <v>292</v>
      </c>
      <c r="B157" s="71" t="s">
        <v>268</v>
      </c>
      <c r="C157" s="71" t="s">
        <v>3213</v>
      </c>
    </row>
    <row r="158" spans="1:10" x14ac:dyDescent="0.25">
      <c r="A158" s="71" t="s">
        <v>719</v>
      </c>
      <c r="B158" s="71" t="s">
        <v>7</v>
      </c>
    </row>
    <row r="159" spans="1:10" x14ac:dyDescent="0.25">
      <c r="A159" s="70" t="s">
        <v>769</v>
      </c>
      <c r="B159" s="71" t="s">
        <v>7</v>
      </c>
    </row>
    <row r="160" spans="1:10" x14ac:dyDescent="0.25">
      <c r="A160" s="73" t="s">
        <v>251</v>
      </c>
      <c r="B160" s="71" t="s">
        <v>255</v>
      </c>
      <c r="C160" s="71" t="s">
        <v>3213</v>
      </c>
    </row>
    <row r="161" spans="1:10" x14ac:dyDescent="0.25">
      <c r="A161" s="73" t="s">
        <v>353</v>
      </c>
      <c r="B161" s="71" t="s">
        <v>7</v>
      </c>
      <c r="C161" s="71" t="s">
        <v>3751</v>
      </c>
    </row>
    <row r="162" spans="1:10" x14ac:dyDescent="0.25">
      <c r="A162" s="73" t="s">
        <v>109</v>
      </c>
      <c r="B162" s="71" t="s">
        <v>7</v>
      </c>
      <c r="C162" s="71" t="s">
        <v>3213</v>
      </c>
      <c r="I162" s="76"/>
      <c r="J162" s="76"/>
    </row>
    <row r="163" spans="1:10" x14ac:dyDescent="0.25">
      <c r="A163" s="77" t="s">
        <v>398</v>
      </c>
      <c r="B163" s="71" t="s">
        <v>7</v>
      </c>
      <c r="C163" s="71" t="s">
        <v>3211</v>
      </c>
      <c r="I163" s="73"/>
      <c r="J163" s="76"/>
    </row>
    <row r="164" spans="1:10" x14ac:dyDescent="0.25">
      <c r="A164" s="73" t="s">
        <v>110</v>
      </c>
      <c r="B164" s="71" t="s">
        <v>7</v>
      </c>
      <c r="C164" s="71" t="s">
        <v>3212</v>
      </c>
      <c r="I164" s="73"/>
      <c r="J164" s="76"/>
    </row>
    <row r="165" spans="1:10" x14ac:dyDescent="0.25">
      <c r="A165" s="73" t="s">
        <v>396</v>
      </c>
      <c r="B165" s="71" t="s">
        <v>7</v>
      </c>
      <c r="C165" s="71" t="s">
        <v>3212</v>
      </c>
    </row>
    <row r="166" spans="1:10" x14ac:dyDescent="0.25">
      <c r="A166" s="74" t="s">
        <v>76</v>
      </c>
      <c r="B166" s="71" t="s">
        <v>7</v>
      </c>
      <c r="C166" s="71" t="s">
        <v>3210</v>
      </c>
      <c r="I166" s="73"/>
    </row>
    <row r="167" spans="1:10" x14ac:dyDescent="0.25">
      <c r="A167" s="74" t="s">
        <v>331</v>
      </c>
      <c r="B167" s="71" t="s">
        <v>268</v>
      </c>
      <c r="C167" s="71" t="s">
        <v>3212</v>
      </c>
    </row>
    <row r="168" spans="1:10" x14ac:dyDescent="0.25">
      <c r="A168" s="74" t="s">
        <v>252</v>
      </c>
      <c r="B168" s="71" t="s">
        <v>7</v>
      </c>
      <c r="C168" s="71" t="s">
        <v>3211</v>
      </c>
      <c r="I168" s="73"/>
      <c r="J168" s="76"/>
    </row>
    <row r="169" spans="1:10" x14ac:dyDescent="0.25">
      <c r="A169" s="80" t="s">
        <v>222</v>
      </c>
      <c r="B169" s="71" t="s">
        <v>7</v>
      </c>
      <c r="C169" s="71" t="s">
        <v>3213</v>
      </c>
      <c r="I169" s="73"/>
      <c r="J169" s="76"/>
    </row>
    <row r="170" spans="1:10" x14ac:dyDescent="0.25">
      <c r="A170" s="74" t="s">
        <v>111</v>
      </c>
      <c r="B170" s="71" t="s">
        <v>7</v>
      </c>
      <c r="C170" s="71" t="s">
        <v>3211</v>
      </c>
      <c r="I170" s="73"/>
      <c r="J170" s="76"/>
    </row>
    <row r="171" spans="1:10" x14ac:dyDescent="0.25">
      <c r="A171" s="74" t="s">
        <v>173</v>
      </c>
      <c r="B171" s="71" t="s">
        <v>7</v>
      </c>
      <c r="C171" s="71" t="s">
        <v>3211</v>
      </c>
      <c r="I171" s="73"/>
    </row>
    <row r="172" spans="1:10" x14ac:dyDescent="0.25">
      <c r="A172" s="80" t="s">
        <v>188</v>
      </c>
      <c r="B172" s="71" t="s">
        <v>7</v>
      </c>
      <c r="I172" s="73"/>
      <c r="J172" s="76"/>
    </row>
    <row r="173" spans="1:10" x14ac:dyDescent="0.25">
      <c r="A173" s="73" t="s">
        <v>351</v>
      </c>
      <c r="B173" s="71" t="s">
        <v>7</v>
      </c>
      <c r="C173" s="71" t="s">
        <v>3211</v>
      </c>
    </row>
    <row r="174" spans="1:10" x14ac:dyDescent="0.25">
      <c r="A174" s="87" t="s">
        <v>690</v>
      </c>
      <c r="B174" s="71" t="s">
        <v>7</v>
      </c>
    </row>
    <row r="175" spans="1:10" x14ac:dyDescent="0.25">
      <c r="A175" s="74" t="s">
        <v>1476</v>
      </c>
      <c r="B175" s="71" t="s">
        <v>7</v>
      </c>
      <c r="C175" s="71" t="s">
        <v>3212</v>
      </c>
    </row>
    <row r="176" spans="1:10" x14ac:dyDescent="0.25">
      <c r="A176" s="73" t="s">
        <v>371</v>
      </c>
      <c r="B176" s="71" t="s">
        <v>7</v>
      </c>
      <c r="C176" s="71" t="s">
        <v>3212</v>
      </c>
    </row>
    <row r="177" spans="1:10" x14ac:dyDescent="0.25">
      <c r="A177" s="82" t="s">
        <v>14</v>
      </c>
      <c r="B177" s="71" t="s">
        <v>7</v>
      </c>
      <c r="C177" s="71" t="s">
        <v>3210</v>
      </c>
      <c r="I177" s="73"/>
      <c r="J177" s="76"/>
    </row>
    <row r="178" spans="1:10" x14ac:dyDescent="0.25">
      <c r="A178" s="74" t="s">
        <v>174</v>
      </c>
      <c r="B178" s="71" t="s">
        <v>7</v>
      </c>
      <c r="C178" s="71" t="s">
        <v>3213</v>
      </c>
      <c r="I178" s="73"/>
      <c r="J178" s="76"/>
    </row>
    <row r="179" spans="1:10" x14ac:dyDescent="0.25">
      <c r="A179" s="87" t="s">
        <v>701</v>
      </c>
      <c r="B179" s="71" t="s">
        <v>7</v>
      </c>
    </row>
    <row r="180" spans="1:10" x14ac:dyDescent="0.25">
      <c r="A180" s="74" t="s">
        <v>374</v>
      </c>
      <c r="B180" s="71" t="s">
        <v>7</v>
      </c>
    </row>
    <row r="181" spans="1:10" x14ac:dyDescent="0.25">
      <c r="A181" s="87" t="s">
        <v>687</v>
      </c>
      <c r="B181" s="71" t="s">
        <v>7</v>
      </c>
    </row>
    <row r="182" spans="1:10" x14ac:dyDescent="0.25">
      <c r="A182" s="74" t="s">
        <v>262</v>
      </c>
      <c r="B182" s="71" t="s">
        <v>7</v>
      </c>
      <c r="C182" s="71" t="s">
        <v>3212</v>
      </c>
    </row>
    <row r="183" spans="1:10" x14ac:dyDescent="0.25">
      <c r="A183" s="74" t="s">
        <v>404</v>
      </c>
      <c r="B183" s="71" t="s">
        <v>7</v>
      </c>
      <c r="C183" s="71" t="s">
        <v>3212</v>
      </c>
    </row>
    <row r="184" spans="1:10" x14ac:dyDescent="0.25">
      <c r="A184" s="74" t="s">
        <v>346</v>
      </c>
      <c r="B184" s="71" t="s">
        <v>7</v>
      </c>
      <c r="C184" s="71" t="s">
        <v>3213</v>
      </c>
    </row>
    <row r="185" spans="1:10" x14ac:dyDescent="0.25">
      <c r="A185" s="79" t="s">
        <v>78</v>
      </c>
      <c r="B185" s="71" t="s">
        <v>7</v>
      </c>
      <c r="C185" s="71" t="s">
        <v>3211</v>
      </c>
      <c r="I185" s="73"/>
      <c r="J185" s="76"/>
    </row>
    <row r="186" spans="1:10" x14ac:dyDescent="0.25">
      <c r="A186" s="162" t="s">
        <v>189</v>
      </c>
      <c r="B186" s="71" t="s">
        <v>7</v>
      </c>
      <c r="C186" s="71" t="s">
        <v>3751</v>
      </c>
      <c r="I186" s="73"/>
      <c r="J186" s="76"/>
    </row>
    <row r="187" spans="1:10" x14ac:dyDescent="0.25">
      <c r="A187" s="73" t="s">
        <v>175</v>
      </c>
      <c r="B187" s="71" t="s">
        <v>7</v>
      </c>
      <c r="C187" s="71" t="s">
        <v>3212</v>
      </c>
      <c r="I187" s="76"/>
      <c r="J187" s="76"/>
    </row>
    <row r="188" spans="1:10" x14ac:dyDescent="0.25">
      <c r="A188" s="73" t="s">
        <v>213</v>
      </c>
      <c r="B188" s="71" t="s">
        <v>7</v>
      </c>
      <c r="C188" s="71" t="s">
        <v>3211</v>
      </c>
    </row>
    <row r="189" spans="1:10" x14ac:dyDescent="0.25">
      <c r="A189" s="73" t="s">
        <v>257</v>
      </c>
      <c r="B189" s="71" t="s">
        <v>7</v>
      </c>
      <c r="C189" s="71" t="s">
        <v>3211</v>
      </c>
    </row>
    <row r="190" spans="1:10" x14ac:dyDescent="0.25">
      <c r="A190" s="70" t="s">
        <v>402</v>
      </c>
      <c r="B190" s="71" t="s">
        <v>7</v>
      </c>
    </row>
    <row r="191" spans="1:10" x14ac:dyDescent="0.25">
      <c r="A191" s="73" t="s">
        <v>393</v>
      </c>
      <c r="B191" s="71" t="s">
        <v>7</v>
      </c>
      <c r="C191" s="71" t="s">
        <v>3211</v>
      </c>
    </row>
    <row r="192" spans="1:10" x14ac:dyDescent="0.25">
      <c r="A192" s="73" t="s">
        <v>152</v>
      </c>
      <c r="B192" s="71" t="s">
        <v>7</v>
      </c>
      <c r="C192" s="71" t="s">
        <v>3213</v>
      </c>
    </row>
    <row r="193" spans="1:14" x14ac:dyDescent="0.25">
      <c r="A193" s="73" t="s">
        <v>112</v>
      </c>
      <c r="B193" s="71" t="s">
        <v>7</v>
      </c>
      <c r="C193" s="71" t="s">
        <v>3211</v>
      </c>
      <c r="I193" s="73"/>
      <c r="J193" s="76"/>
    </row>
    <row r="194" spans="1:14" x14ac:dyDescent="0.25">
      <c r="A194" s="73" t="s">
        <v>293</v>
      </c>
      <c r="B194" s="71" t="s">
        <v>7</v>
      </c>
      <c r="C194" s="71" t="s">
        <v>3751</v>
      </c>
    </row>
    <row r="195" spans="1:14" x14ac:dyDescent="0.25">
      <c r="A195" s="70" t="s">
        <v>411</v>
      </c>
      <c r="B195" s="71" t="s">
        <v>7</v>
      </c>
    </row>
    <row r="196" spans="1:14" x14ac:dyDescent="0.25">
      <c r="A196" s="73" t="s">
        <v>365</v>
      </c>
      <c r="B196" s="71" t="s">
        <v>7</v>
      </c>
      <c r="C196" s="71" t="s">
        <v>3212</v>
      </c>
    </row>
    <row r="197" spans="1:14" x14ac:dyDescent="0.25">
      <c r="A197" s="73" t="s">
        <v>50</v>
      </c>
      <c r="B197" s="71" t="s">
        <v>7</v>
      </c>
      <c r="C197" s="71" t="s">
        <v>3211</v>
      </c>
      <c r="I197" s="73"/>
      <c r="J197" s="76"/>
    </row>
    <row r="198" spans="1:14" x14ac:dyDescent="0.25">
      <c r="A198" s="73" t="s">
        <v>265</v>
      </c>
      <c r="B198" s="71" t="s">
        <v>7</v>
      </c>
      <c r="C198" s="71" t="s">
        <v>3213</v>
      </c>
    </row>
    <row r="199" spans="1:14" x14ac:dyDescent="0.25">
      <c r="A199" s="71" t="s">
        <v>520</v>
      </c>
      <c r="B199" s="71" t="s">
        <v>7</v>
      </c>
    </row>
    <row r="200" spans="1:14" x14ac:dyDescent="0.25">
      <c r="A200" s="70" t="s">
        <v>2711</v>
      </c>
      <c r="B200" s="71" t="s">
        <v>7</v>
      </c>
      <c r="C200" s="71" t="s">
        <v>3213</v>
      </c>
    </row>
    <row r="201" spans="1:14" x14ac:dyDescent="0.25">
      <c r="A201" s="77" t="s">
        <v>190</v>
      </c>
      <c r="B201" s="71" t="s">
        <v>7</v>
      </c>
      <c r="I201" s="76"/>
      <c r="J201" s="76"/>
    </row>
    <row r="202" spans="1:14" x14ac:dyDescent="0.25">
      <c r="A202" s="73" t="s">
        <v>334</v>
      </c>
      <c r="B202" s="71" t="s">
        <v>7</v>
      </c>
      <c r="C202" s="71" t="s">
        <v>3213</v>
      </c>
    </row>
    <row r="203" spans="1:14" x14ac:dyDescent="0.25">
      <c r="A203" s="73" t="s">
        <v>113</v>
      </c>
      <c r="B203" s="71" t="s">
        <v>7</v>
      </c>
      <c r="C203" s="71" t="s">
        <v>3210</v>
      </c>
      <c r="I203" s="73"/>
      <c r="J203" s="76"/>
    </row>
    <row r="204" spans="1:14" x14ac:dyDescent="0.25">
      <c r="A204" s="71" t="s">
        <v>730</v>
      </c>
      <c r="B204" s="71" t="s">
        <v>7</v>
      </c>
    </row>
    <row r="205" spans="1:14" x14ac:dyDescent="0.25">
      <c r="A205" s="73" t="s">
        <v>250</v>
      </c>
      <c r="B205" s="71" t="s">
        <v>7</v>
      </c>
      <c r="C205" s="71" t="s">
        <v>3213</v>
      </c>
    </row>
    <row r="206" spans="1:14" x14ac:dyDescent="0.25">
      <c r="A206" s="73" t="s">
        <v>69</v>
      </c>
      <c r="B206" s="71" t="s">
        <v>7</v>
      </c>
      <c r="C206" s="71" t="s">
        <v>3213</v>
      </c>
      <c r="I206" s="73"/>
      <c r="J206" s="76"/>
      <c r="N206" s="73"/>
    </row>
    <row r="207" spans="1:14" x14ac:dyDescent="0.25">
      <c r="A207" s="75" t="s">
        <v>114</v>
      </c>
      <c r="B207" s="71" t="s">
        <v>7</v>
      </c>
      <c r="C207" s="71" t="s">
        <v>3210</v>
      </c>
      <c r="I207" s="73"/>
      <c r="J207" s="76"/>
    </row>
    <row r="208" spans="1:14" x14ac:dyDescent="0.25">
      <c r="A208" s="70" t="s">
        <v>5643</v>
      </c>
      <c r="B208" s="71" t="s">
        <v>7</v>
      </c>
    </row>
    <row r="209" spans="1:10" x14ac:dyDescent="0.25">
      <c r="A209" s="73" t="s">
        <v>13</v>
      </c>
      <c r="B209" s="71" t="s">
        <v>7</v>
      </c>
      <c r="C209" s="71" t="s">
        <v>3210</v>
      </c>
      <c r="I209" s="76"/>
      <c r="J209" s="76"/>
    </row>
    <row r="210" spans="1:10" x14ac:dyDescent="0.25">
      <c r="A210" s="73" t="s">
        <v>115</v>
      </c>
      <c r="B210" s="71" t="s">
        <v>7</v>
      </c>
      <c r="C210" s="71" t="s">
        <v>3210</v>
      </c>
      <c r="I210" s="73"/>
      <c r="J210" s="76"/>
    </row>
    <row r="211" spans="1:10" x14ac:dyDescent="0.25">
      <c r="A211" s="73" t="s">
        <v>294</v>
      </c>
      <c r="B211" s="71" t="s">
        <v>7</v>
      </c>
      <c r="C211" s="71" t="s">
        <v>3213</v>
      </c>
    </row>
    <row r="212" spans="1:10" x14ac:dyDescent="0.25">
      <c r="A212" s="73" t="s">
        <v>428</v>
      </c>
      <c r="B212" s="71" t="s">
        <v>7</v>
      </c>
      <c r="C212" s="71" t="s">
        <v>3211</v>
      </c>
    </row>
    <row r="213" spans="1:10" x14ac:dyDescent="0.25">
      <c r="A213" s="73" t="s">
        <v>47</v>
      </c>
      <c r="B213" s="71" t="s">
        <v>7</v>
      </c>
      <c r="C213" s="71" t="s">
        <v>3210</v>
      </c>
      <c r="I213" s="73"/>
      <c r="J213" s="76"/>
    </row>
    <row r="214" spans="1:10" x14ac:dyDescent="0.25">
      <c r="A214" s="77" t="s">
        <v>191</v>
      </c>
      <c r="B214" s="71" t="s">
        <v>7</v>
      </c>
      <c r="C214" s="71" t="s">
        <v>3211</v>
      </c>
      <c r="I214" s="73"/>
    </row>
    <row r="215" spans="1:10" x14ac:dyDescent="0.25">
      <c r="A215" s="73" t="s">
        <v>182</v>
      </c>
      <c r="B215" s="71" t="s">
        <v>7</v>
      </c>
      <c r="C215" s="71" t="s">
        <v>3211</v>
      </c>
    </row>
    <row r="216" spans="1:10" x14ac:dyDescent="0.25">
      <c r="A216" s="73" t="s">
        <v>441</v>
      </c>
      <c r="B216" s="71" t="s">
        <v>7</v>
      </c>
      <c r="C216" s="71" t="s">
        <v>3212</v>
      </c>
    </row>
    <row r="217" spans="1:10" x14ac:dyDescent="0.25">
      <c r="A217" s="73" t="s">
        <v>297</v>
      </c>
      <c r="B217" s="71" t="s">
        <v>268</v>
      </c>
      <c r="C217" s="71" t="s">
        <v>3213</v>
      </c>
    </row>
    <row r="218" spans="1:10" x14ac:dyDescent="0.25">
      <c r="A218" s="73" t="s">
        <v>59</v>
      </c>
      <c r="B218" s="71" t="s">
        <v>254</v>
      </c>
      <c r="C218" s="71" t="s">
        <v>3211</v>
      </c>
    </row>
    <row r="219" spans="1:10" x14ac:dyDescent="0.25">
      <c r="A219" s="73" t="s">
        <v>298</v>
      </c>
      <c r="B219" s="71" t="s">
        <v>268</v>
      </c>
    </row>
    <row r="220" spans="1:10" x14ac:dyDescent="0.25">
      <c r="A220" s="73" t="s">
        <v>116</v>
      </c>
      <c r="B220" s="71" t="s">
        <v>7</v>
      </c>
      <c r="C220" s="71" t="s">
        <v>3212</v>
      </c>
      <c r="I220" s="73"/>
      <c r="J220" s="76"/>
    </row>
    <row r="221" spans="1:10" x14ac:dyDescent="0.25">
      <c r="A221" s="70" t="s">
        <v>439</v>
      </c>
      <c r="B221" s="71" t="s">
        <v>7</v>
      </c>
      <c r="C221" s="71" t="s">
        <v>3750</v>
      </c>
    </row>
    <row r="222" spans="1:10" x14ac:dyDescent="0.25">
      <c r="A222" s="73" t="s">
        <v>153</v>
      </c>
      <c r="B222" s="71" t="s">
        <v>7</v>
      </c>
      <c r="C222" s="71" t="s">
        <v>3212</v>
      </c>
      <c r="I222" s="73"/>
      <c r="J222" s="76"/>
    </row>
    <row r="223" spans="1:10" x14ac:dyDescent="0.25">
      <c r="A223" s="73" t="s">
        <v>227</v>
      </c>
      <c r="B223" s="71" t="s">
        <v>7</v>
      </c>
      <c r="C223" s="71" t="s">
        <v>3211</v>
      </c>
    </row>
    <row r="224" spans="1:10" x14ac:dyDescent="0.25">
      <c r="A224" s="73" t="s">
        <v>347</v>
      </c>
      <c r="B224" s="71" t="s">
        <v>7</v>
      </c>
      <c r="C224" s="71" t="s">
        <v>3213</v>
      </c>
    </row>
    <row r="225" spans="1:14" x14ac:dyDescent="0.25">
      <c r="A225" s="73" t="s">
        <v>237</v>
      </c>
      <c r="B225" s="71" t="s">
        <v>7</v>
      </c>
      <c r="C225" s="71" t="s">
        <v>3211</v>
      </c>
    </row>
    <row r="226" spans="1:14" x14ac:dyDescent="0.25">
      <c r="A226" s="78" t="s">
        <v>118</v>
      </c>
      <c r="B226" s="71" t="s">
        <v>7</v>
      </c>
      <c r="C226" s="71" t="s">
        <v>3211</v>
      </c>
      <c r="I226" s="73"/>
      <c r="J226" s="76"/>
    </row>
    <row r="227" spans="1:14" x14ac:dyDescent="0.25">
      <c r="A227" s="73" t="s">
        <v>42</v>
      </c>
      <c r="B227" s="71" t="s">
        <v>7</v>
      </c>
      <c r="C227" s="71" t="s">
        <v>3211</v>
      </c>
      <c r="I227" s="73"/>
      <c r="J227" s="76"/>
    </row>
    <row r="228" spans="1:14" x14ac:dyDescent="0.25">
      <c r="A228" s="73" t="s">
        <v>31</v>
      </c>
      <c r="B228" s="71" t="s">
        <v>7</v>
      </c>
      <c r="C228" s="71" t="s">
        <v>3212</v>
      </c>
      <c r="I228" s="73"/>
      <c r="J228" s="76"/>
    </row>
    <row r="229" spans="1:14" x14ac:dyDescent="0.25">
      <c r="A229" s="73" t="s">
        <v>176</v>
      </c>
      <c r="B229" s="71" t="s">
        <v>255</v>
      </c>
      <c r="C229" s="71" t="s">
        <v>3211</v>
      </c>
    </row>
    <row r="230" spans="1:14" x14ac:dyDescent="0.25">
      <c r="A230" s="73" t="s">
        <v>119</v>
      </c>
      <c r="B230" s="71" t="s">
        <v>7</v>
      </c>
      <c r="C230" s="71" t="s">
        <v>3211</v>
      </c>
      <c r="I230" s="73"/>
      <c r="J230" s="76"/>
    </row>
    <row r="231" spans="1:14" x14ac:dyDescent="0.25">
      <c r="A231" s="73" t="s">
        <v>299</v>
      </c>
      <c r="B231" s="71" t="s">
        <v>7</v>
      </c>
      <c r="C231" s="71" t="s">
        <v>3212</v>
      </c>
    </row>
    <row r="232" spans="1:14" x14ac:dyDescent="0.25">
      <c r="A232" s="75" t="s">
        <v>120</v>
      </c>
      <c r="B232" s="71" t="s">
        <v>7</v>
      </c>
      <c r="C232" s="71" t="s">
        <v>3213</v>
      </c>
      <c r="I232" s="73"/>
    </row>
    <row r="233" spans="1:14" x14ac:dyDescent="0.25">
      <c r="A233" s="73" t="s">
        <v>19</v>
      </c>
      <c r="B233" s="71" t="s">
        <v>7</v>
      </c>
      <c r="C233" s="71" t="s">
        <v>3211</v>
      </c>
      <c r="I233" s="73"/>
    </row>
    <row r="234" spans="1:14" x14ac:dyDescent="0.25">
      <c r="A234" s="73" t="s">
        <v>249</v>
      </c>
      <c r="B234" s="71" t="s">
        <v>7</v>
      </c>
      <c r="C234" s="71" t="s">
        <v>3212</v>
      </c>
    </row>
    <row r="235" spans="1:14" x14ac:dyDescent="0.25">
      <c r="A235" s="73" t="s">
        <v>238</v>
      </c>
      <c r="B235" s="71" t="s">
        <v>7</v>
      </c>
      <c r="C235" s="71" t="s">
        <v>3211</v>
      </c>
      <c r="I235" s="73"/>
      <c r="J235" s="76"/>
    </row>
    <row r="236" spans="1:14" x14ac:dyDescent="0.25">
      <c r="A236" s="73" t="s">
        <v>40</v>
      </c>
      <c r="B236" s="71" t="s">
        <v>7</v>
      </c>
      <c r="C236" s="71" t="s">
        <v>3211</v>
      </c>
      <c r="I236" s="76"/>
      <c r="J236" s="76"/>
    </row>
    <row r="237" spans="1:14" x14ac:dyDescent="0.25">
      <c r="A237" s="78" t="s">
        <v>121</v>
      </c>
      <c r="B237" s="71" t="s">
        <v>7</v>
      </c>
      <c r="C237" s="71" t="s">
        <v>3212</v>
      </c>
      <c r="I237" s="73"/>
      <c r="N237" s="73"/>
    </row>
    <row r="238" spans="1:14" x14ac:dyDescent="0.25">
      <c r="A238" s="71" t="s">
        <v>471</v>
      </c>
      <c r="B238" s="71" t="s">
        <v>7</v>
      </c>
    </row>
    <row r="239" spans="1:14" x14ac:dyDescent="0.25">
      <c r="A239" s="73" t="s">
        <v>15</v>
      </c>
      <c r="B239" s="71" t="s">
        <v>7</v>
      </c>
      <c r="C239" s="71" t="s">
        <v>3751</v>
      </c>
      <c r="I239" s="73"/>
      <c r="J239" s="76"/>
    </row>
    <row r="240" spans="1:14" x14ac:dyDescent="0.25">
      <c r="A240" s="73" t="s">
        <v>300</v>
      </c>
      <c r="B240" s="71" t="s">
        <v>7</v>
      </c>
      <c r="C240" s="71" t="s">
        <v>3210</v>
      </c>
    </row>
    <row r="241" spans="1:10" x14ac:dyDescent="0.25">
      <c r="A241" s="77" t="s">
        <v>192</v>
      </c>
      <c r="B241" s="71" t="s">
        <v>7</v>
      </c>
      <c r="C241" s="71" t="s">
        <v>3212</v>
      </c>
      <c r="I241" s="73"/>
    </row>
    <row r="242" spans="1:10" x14ac:dyDescent="0.25">
      <c r="A242" s="77" t="s">
        <v>193</v>
      </c>
      <c r="B242" s="71" t="s">
        <v>7</v>
      </c>
      <c r="C242" s="71" t="s">
        <v>3212</v>
      </c>
      <c r="I242" s="73"/>
      <c r="J242" s="76"/>
    </row>
    <row r="243" spans="1:10" x14ac:dyDescent="0.25">
      <c r="A243" s="73" t="s">
        <v>301</v>
      </c>
      <c r="B243" s="71" t="s">
        <v>268</v>
      </c>
      <c r="C243" s="71" t="s">
        <v>3212</v>
      </c>
    </row>
    <row r="244" spans="1:10" x14ac:dyDescent="0.25">
      <c r="A244" s="73" t="s">
        <v>122</v>
      </c>
      <c r="B244" s="71" t="s">
        <v>7</v>
      </c>
      <c r="C244" s="71" t="s">
        <v>3750</v>
      </c>
      <c r="I244" s="73"/>
    </row>
    <row r="245" spans="1:10" x14ac:dyDescent="0.25">
      <c r="A245" s="73" t="s">
        <v>22</v>
      </c>
      <c r="B245" s="71" t="s">
        <v>7</v>
      </c>
      <c r="C245" s="71" t="s">
        <v>3211</v>
      </c>
      <c r="I245" s="73"/>
      <c r="J245" s="76"/>
    </row>
    <row r="246" spans="1:10" x14ac:dyDescent="0.25">
      <c r="A246" s="75" t="s">
        <v>79</v>
      </c>
      <c r="B246" s="71" t="s">
        <v>7</v>
      </c>
      <c r="C246" s="71" t="s">
        <v>3211</v>
      </c>
      <c r="I246" s="73"/>
    </row>
    <row r="247" spans="1:10" x14ac:dyDescent="0.25">
      <c r="A247" s="73" t="s">
        <v>18</v>
      </c>
      <c r="B247" s="71" t="s">
        <v>7</v>
      </c>
      <c r="C247" s="71" t="s">
        <v>3211</v>
      </c>
      <c r="I247" s="73"/>
      <c r="J247" s="76"/>
    </row>
    <row r="248" spans="1:10" x14ac:dyDescent="0.25">
      <c r="A248" s="73" t="s">
        <v>124</v>
      </c>
      <c r="B248" s="71" t="s">
        <v>7</v>
      </c>
      <c r="C248" s="71" t="s">
        <v>3212</v>
      </c>
      <c r="I248" s="73"/>
      <c r="J248" s="76"/>
    </row>
    <row r="249" spans="1:10" x14ac:dyDescent="0.25">
      <c r="A249" s="70" t="s">
        <v>382</v>
      </c>
      <c r="B249" s="71" t="s">
        <v>7</v>
      </c>
    </row>
    <row r="250" spans="1:10" x14ac:dyDescent="0.25">
      <c r="A250" s="77" t="s">
        <v>194</v>
      </c>
      <c r="B250" s="71" t="s">
        <v>7</v>
      </c>
      <c r="C250" s="71" t="s">
        <v>3211</v>
      </c>
    </row>
    <row r="251" spans="1:10" x14ac:dyDescent="0.25">
      <c r="A251" s="73" t="s">
        <v>62</v>
      </c>
      <c r="B251" s="71" t="s">
        <v>7</v>
      </c>
      <c r="C251" s="71" t="s">
        <v>3213</v>
      </c>
      <c r="I251" s="73"/>
      <c r="J251" s="76"/>
    </row>
    <row r="252" spans="1:10" x14ac:dyDescent="0.25">
      <c r="A252" s="73" t="s">
        <v>61</v>
      </c>
      <c r="B252" s="71" t="s">
        <v>7</v>
      </c>
      <c r="C252" s="71" t="s">
        <v>3212</v>
      </c>
      <c r="I252" s="73"/>
      <c r="J252" s="76"/>
    </row>
    <row r="253" spans="1:10" x14ac:dyDescent="0.25">
      <c r="A253" s="70" t="s">
        <v>3178</v>
      </c>
      <c r="B253" s="71" t="s">
        <v>7</v>
      </c>
    </row>
    <row r="254" spans="1:10" x14ac:dyDescent="0.25">
      <c r="A254" s="73" t="s">
        <v>6710</v>
      </c>
      <c r="B254" s="71" t="s">
        <v>7</v>
      </c>
      <c r="C254" s="71" t="s">
        <v>3210</v>
      </c>
      <c r="I254" s="76"/>
      <c r="J254" s="76"/>
    </row>
    <row r="255" spans="1:10" x14ac:dyDescent="0.25">
      <c r="A255" s="73" t="s">
        <v>358</v>
      </c>
      <c r="B255" s="71" t="s">
        <v>7</v>
      </c>
    </row>
    <row r="256" spans="1:10" x14ac:dyDescent="0.25">
      <c r="A256" s="70" t="s">
        <v>6768</v>
      </c>
      <c r="B256" s="71" t="s">
        <v>7</v>
      </c>
    </row>
    <row r="257" spans="1:10" x14ac:dyDescent="0.25">
      <c r="A257" s="73" t="s">
        <v>302</v>
      </c>
      <c r="B257" s="71" t="s">
        <v>268</v>
      </c>
      <c r="C257" s="71" t="s">
        <v>3212</v>
      </c>
    </row>
    <row r="258" spans="1:10" x14ac:dyDescent="0.25">
      <c r="A258" s="73" t="s">
        <v>364</v>
      </c>
      <c r="B258" s="71" t="s">
        <v>7</v>
      </c>
    </row>
    <row r="259" spans="1:10" x14ac:dyDescent="0.25">
      <c r="A259" s="71" t="s">
        <v>677</v>
      </c>
      <c r="B259" s="71" t="s">
        <v>7</v>
      </c>
    </row>
    <row r="260" spans="1:10" x14ac:dyDescent="0.25">
      <c r="A260" s="73" t="s">
        <v>303</v>
      </c>
      <c r="B260" s="71" t="s">
        <v>7</v>
      </c>
      <c r="C260" s="71" t="s">
        <v>3212</v>
      </c>
    </row>
    <row r="261" spans="1:10" x14ac:dyDescent="0.25">
      <c r="A261" s="73" t="s">
        <v>239</v>
      </c>
      <c r="B261" s="71" t="s">
        <v>7</v>
      </c>
      <c r="C261" s="71" t="s">
        <v>3211</v>
      </c>
      <c r="I261" s="73"/>
      <c r="J261" s="76"/>
    </row>
    <row r="262" spans="1:10" x14ac:dyDescent="0.25">
      <c r="A262" s="73" t="s">
        <v>418</v>
      </c>
      <c r="B262" s="71" t="s">
        <v>7</v>
      </c>
      <c r="C262" s="71" t="s">
        <v>3212</v>
      </c>
      <c r="I262" s="73"/>
      <c r="J262" s="73"/>
    </row>
    <row r="263" spans="1:10" x14ac:dyDescent="0.25">
      <c r="A263" s="73" t="s">
        <v>266</v>
      </c>
      <c r="B263" s="71" t="s">
        <v>7</v>
      </c>
      <c r="C263" s="71" t="s">
        <v>3211</v>
      </c>
    </row>
    <row r="264" spans="1:10" x14ac:dyDescent="0.25">
      <c r="A264" s="73" t="s">
        <v>336</v>
      </c>
      <c r="B264" s="71" t="s">
        <v>7</v>
      </c>
      <c r="C264" s="71" t="s">
        <v>3211</v>
      </c>
    </row>
    <row r="265" spans="1:10" x14ac:dyDescent="0.25">
      <c r="A265" s="73" t="s">
        <v>304</v>
      </c>
      <c r="B265" s="71" t="s">
        <v>268</v>
      </c>
      <c r="C265" s="71" t="s">
        <v>3212</v>
      </c>
    </row>
    <row r="266" spans="1:10" x14ac:dyDescent="0.25">
      <c r="A266" s="73" t="s">
        <v>70</v>
      </c>
      <c r="B266" s="71" t="s">
        <v>7</v>
      </c>
      <c r="C266" s="71" t="s">
        <v>3210</v>
      </c>
      <c r="I266" s="73"/>
      <c r="J266" s="76"/>
    </row>
    <row r="267" spans="1:10" x14ac:dyDescent="0.25">
      <c r="A267" s="73" t="s">
        <v>305</v>
      </c>
      <c r="B267" s="71" t="s">
        <v>7</v>
      </c>
    </row>
    <row r="268" spans="1:10" x14ac:dyDescent="0.25">
      <c r="A268" s="73" t="s">
        <v>125</v>
      </c>
      <c r="B268" s="71" t="s">
        <v>7</v>
      </c>
      <c r="C268" s="71" t="s">
        <v>3211</v>
      </c>
      <c r="I268" s="73"/>
      <c r="J268" s="73"/>
    </row>
    <row r="269" spans="1:10" x14ac:dyDescent="0.25">
      <c r="A269" s="73" t="s">
        <v>209</v>
      </c>
      <c r="B269" s="71" t="s">
        <v>7</v>
      </c>
      <c r="C269" s="71" t="s">
        <v>3212</v>
      </c>
    </row>
    <row r="270" spans="1:10" x14ac:dyDescent="0.25">
      <c r="A270" s="73" t="s">
        <v>126</v>
      </c>
      <c r="B270" s="71" t="s">
        <v>7</v>
      </c>
      <c r="C270" s="71" t="s">
        <v>3211</v>
      </c>
    </row>
    <row r="271" spans="1:10" x14ac:dyDescent="0.25">
      <c r="A271" s="71" t="s">
        <v>553</v>
      </c>
      <c r="B271" s="71" t="s">
        <v>7</v>
      </c>
    </row>
    <row r="272" spans="1:10" x14ac:dyDescent="0.25">
      <c r="A272" s="70" t="s">
        <v>372</v>
      </c>
      <c r="B272" s="71" t="s">
        <v>7</v>
      </c>
      <c r="C272" s="71" t="s">
        <v>3213</v>
      </c>
    </row>
    <row r="273" spans="1:14" x14ac:dyDescent="0.25">
      <c r="A273" s="73" t="s">
        <v>46</v>
      </c>
      <c r="B273" s="71" t="s">
        <v>7</v>
      </c>
      <c r="C273" s="71" t="s">
        <v>3210</v>
      </c>
      <c r="I273" s="73"/>
      <c r="J273" s="76"/>
    </row>
    <row r="274" spans="1:14" x14ac:dyDescent="0.25">
      <c r="A274" s="73" t="s">
        <v>80</v>
      </c>
      <c r="B274" s="71" t="s">
        <v>7</v>
      </c>
      <c r="C274" s="71" t="s">
        <v>3211</v>
      </c>
      <c r="I274" s="73"/>
      <c r="J274" s="76"/>
    </row>
    <row r="275" spans="1:14" x14ac:dyDescent="0.25">
      <c r="A275" s="73" t="s">
        <v>407</v>
      </c>
      <c r="B275" s="71" t="s">
        <v>7</v>
      </c>
      <c r="C275" s="71" t="s">
        <v>3212</v>
      </c>
    </row>
    <row r="276" spans="1:14" x14ac:dyDescent="0.25">
      <c r="A276" s="73" t="s">
        <v>81</v>
      </c>
      <c r="B276" s="71" t="s">
        <v>7</v>
      </c>
      <c r="C276" s="71" t="s">
        <v>3210</v>
      </c>
      <c r="I276" s="73"/>
      <c r="J276" s="76"/>
    </row>
    <row r="277" spans="1:14" x14ac:dyDescent="0.25">
      <c r="A277" s="73" t="s">
        <v>332</v>
      </c>
      <c r="B277" s="71" t="s">
        <v>268</v>
      </c>
      <c r="C277" s="71" t="s">
        <v>3213</v>
      </c>
    </row>
    <row r="278" spans="1:14" x14ac:dyDescent="0.25">
      <c r="A278" s="73" t="s">
        <v>384</v>
      </c>
      <c r="B278" s="71" t="s">
        <v>7</v>
      </c>
      <c r="C278" s="71" t="s">
        <v>3211</v>
      </c>
    </row>
    <row r="279" spans="1:14" x14ac:dyDescent="0.25">
      <c r="A279" s="73" t="s">
        <v>413</v>
      </c>
      <c r="B279" s="71" t="s">
        <v>7</v>
      </c>
      <c r="C279" s="71" t="s">
        <v>3211</v>
      </c>
    </row>
    <row r="280" spans="1:14" x14ac:dyDescent="0.25">
      <c r="A280" s="71" t="s">
        <v>470</v>
      </c>
      <c r="B280" s="71" t="s">
        <v>7</v>
      </c>
    </row>
    <row r="281" spans="1:14" x14ac:dyDescent="0.25">
      <c r="A281" s="73" t="s">
        <v>51</v>
      </c>
      <c r="B281" s="71" t="s">
        <v>7</v>
      </c>
      <c r="C281" s="71" t="s">
        <v>3210</v>
      </c>
      <c r="I281" s="73"/>
      <c r="J281" s="76"/>
    </row>
    <row r="282" spans="1:14" x14ac:dyDescent="0.25">
      <c r="A282" s="71" t="s">
        <v>465</v>
      </c>
      <c r="B282" s="71" t="s">
        <v>7</v>
      </c>
    </row>
    <row r="283" spans="1:14" x14ac:dyDescent="0.25">
      <c r="A283" s="73" t="s">
        <v>63</v>
      </c>
      <c r="B283" s="71" t="s">
        <v>7</v>
      </c>
      <c r="C283" s="71" t="s">
        <v>3213</v>
      </c>
      <c r="I283" s="73"/>
      <c r="N283" s="75"/>
    </row>
    <row r="284" spans="1:14" x14ac:dyDescent="0.25">
      <c r="A284" s="70" t="s">
        <v>306</v>
      </c>
      <c r="B284" s="71" t="s">
        <v>7</v>
      </c>
      <c r="C284" s="71" t="s">
        <v>3213</v>
      </c>
    </row>
    <row r="285" spans="1:14" x14ac:dyDescent="0.25">
      <c r="A285" s="73" t="s">
        <v>376</v>
      </c>
      <c r="B285" s="71" t="s">
        <v>7</v>
      </c>
      <c r="C285" s="71" t="s">
        <v>3212</v>
      </c>
    </row>
    <row r="286" spans="1:14" x14ac:dyDescent="0.25">
      <c r="A286" s="73" t="s">
        <v>127</v>
      </c>
      <c r="B286" s="71" t="s">
        <v>7</v>
      </c>
      <c r="I286" s="73"/>
    </row>
    <row r="287" spans="1:14" x14ac:dyDescent="0.25">
      <c r="A287" s="77" t="s">
        <v>207</v>
      </c>
      <c r="B287" s="71" t="s">
        <v>7</v>
      </c>
      <c r="C287" s="71" t="s">
        <v>3210</v>
      </c>
      <c r="I287" s="73"/>
    </row>
    <row r="288" spans="1:14" x14ac:dyDescent="0.25">
      <c r="A288" s="73" t="s">
        <v>44</v>
      </c>
      <c r="B288" s="71" t="s">
        <v>7</v>
      </c>
      <c r="C288" s="71" t="s">
        <v>3211</v>
      </c>
    </row>
    <row r="289" spans="1:14" x14ac:dyDescent="0.25">
      <c r="A289" s="70" t="s">
        <v>1603</v>
      </c>
      <c r="B289" s="71" t="s">
        <v>7</v>
      </c>
    </row>
    <row r="290" spans="1:14" x14ac:dyDescent="0.25">
      <c r="A290" s="70" t="s">
        <v>405</v>
      </c>
      <c r="B290" s="71" t="s">
        <v>7</v>
      </c>
      <c r="C290" s="71" t="s">
        <v>3751</v>
      </c>
    </row>
    <row r="291" spans="1:14" x14ac:dyDescent="0.25">
      <c r="A291" s="73" t="s">
        <v>128</v>
      </c>
      <c r="B291" s="71" t="s">
        <v>7</v>
      </c>
      <c r="C291" s="71" t="s">
        <v>3212</v>
      </c>
      <c r="N291" s="83"/>
    </row>
    <row r="292" spans="1:14" x14ac:dyDescent="0.25">
      <c r="A292" s="73" t="s">
        <v>177</v>
      </c>
      <c r="B292" s="71" t="s">
        <v>7</v>
      </c>
      <c r="C292" s="71" t="s">
        <v>3213</v>
      </c>
      <c r="I292" s="73"/>
      <c r="J292" s="76"/>
    </row>
    <row r="293" spans="1:14" x14ac:dyDescent="0.25">
      <c r="A293" s="70" t="s">
        <v>401</v>
      </c>
      <c r="B293" s="71" t="s">
        <v>7</v>
      </c>
      <c r="C293" s="71" t="s">
        <v>3751</v>
      </c>
    </row>
    <row r="294" spans="1:14" x14ac:dyDescent="0.25">
      <c r="A294" s="70" t="s">
        <v>3284</v>
      </c>
      <c r="B294" s="71" t="s">
        <v>7</v>
      </c>
    </row>
    <row r="295" spans="1:14" x14ac:dyDescent="0.25">
      <c r="A295" s="73" t="s">
        <v>380</v>
      </c>
      <c r="B295" s="71" t="s">
        <v>7</v>
      </c>
      <c r="C295" s="71" t="s">
        <v>3211</v>
      </c>
    </row>
    <row r="296" spans="1:14" x14ac:dyDescent="0.25">
      <c r="A296" s="73" t="s">
        <v>25</v>
      </c>
      <c r="B296" s="71" t="s">
        <v>7</v>
      </c>
      <c r="C296" s="71" t="s">
        <v>3210</v>
      </c>
      <c r="I296" s="73"/>
      <c r="J296" s="76"/>
    </row>
    <row r="297" spans="1:14" x14ac:dyDescent="0.25">
      <c r="A297" s="73" t="s">
        <v>154</v>
      </c>
      <c r="B297" s="71" t="s">
        <v>7</v>
      </c>
      <c r="C297" s="71" t="s">
        <v>3213</v>
      </c>
      <c r="I297" s="73"/>
      <c r="J297" s="73"/>
    </row>
    <row r="298" spans="1:14" x14ac:dyDescent="0.25">
      <c r="A298" s="77" t="s">
        <v>195</v>
      </c>
      <c r="B298" s="71" t="s">
        <v>7</v>
      </c>
      <c r="I298" s="73"/>
      <c r="J298" s="76"/>
    </row>
    <row r="299" spans="1:14" x14ac:dyDescent="0.25">
      <c r="A299" s="70" t="s">
        <v>307</v>
      </c>
      <c r="B299" s="71" t="s">
        <v>7</v>
      </c>
    </row>
    <row r="300" spans="1:14" x14ac:dyDescent="0.25">
      <c r="A300" s="75" t="s">
        <v>82</v>
      </c>
      <c r="B300" s="71" t="s">
        <v>7</v>
      </c>
      <c r="C300" s="71" t="s">
        <v>3211</v>
      </c>
      <c r="I300" s="73"/>
      <c r="J300" s="76"/>
    </row>
    <row r="301" spans="1:14" x14ac:dyDescent="0.25">
      <c r="A301" s="70" t="s">
        <v>642</v>
      </c>
      <c r="B301" s="71" t="s">
        <v>7</v>
      </c>
    </row>
    <row r="302" spans="1:14" x14ac:dyDescent="0.25">
      <c r="A302" s="73" t="s">
        <v>129</v>
      </c>
      <c r="B302" s="71" t="s">
        <v>7</v>
      </c>
      <c r="C302" s="71" t="s">
        <v>3211</v>
      </c>
      <c r="I302" s="73"/>
      <c r="J302" s="76"/>
    </row>
    <row r="303" spans="1:14" x14ac:dyDescent="0.25">
      <c r="A303" s="73" t="s">
        <v>130</v>
      </c>
      <c r="B303" s="71" t="s">
        <v>7</v>
      </c>
      <c r="C303" s="71" t="s">
        <v>3212</v>
      </c>
      <c r="I303" s="73"/>
      <c r="J303" s="76"/>
    </row>
    <row r="304" spans="1:14" x14ac:dyDescent="0.25">
      <c r="A304" s="73" t="s">
        <v>178</v>
      </c>
      <c r="B304" s="71" t="s">
        <v>7</v>
      </c>
    </row>
    <row r="305" spans="1:14" x14ac:dyDescent="0.25">
      <c r="A305" s="73" t="s">
        <v>416</v>
      </c>
      <c r="B305" s="71" t="s">
        <v>7</v>
      </c>
      <c r="C305" s="71" t="s">
        <v>3212</v>
      </c>
    </row>
    <row r="306" spans="1:14" x14ac:dyDescent="0.25">
      <c r="A306" s="73" t="s">
        <v>60</v>
      </c>
      <c r="B306" s="71" t="s">
        <v>7</v>
      </c>
      <c r="C306" s="71" t="s">
        <v>3211</v>
      </c>
    </row>
    <row r="307" spans="1:14" x14ac:dyDescent="0.25">
      <c r="A307" s="73" t="s">
        <v>41</v>
      </c>
      <c r="B307" s="71" t="s">
        <v>7</v>
      </c>
      <c r="C307" s="71" t="s">
        <v>3211</v>
      </c>
      <c r="J307" s="76"/>
    </row>
    <row r="308" spans="1:14" x14ac:dyDescent="0.25">
      <c r="A308" s="73" t="s">
        <v>388</v>
      </c>
      <c r="B308" s="71" t="s">
        <v>7</v>
      </c>
      <c r="C308" s="71" t="s">
        <v>3212</v>
      </c>
    </row>
    <row r="309" spans="1:14" x14ac:dyDescent="0.25">
      <c r="A309" s="73" t="s">
        <v>363</v>
      </c>
      <c r="B309" s="71" t="s">
        <v>7</v>
      </c>
      <c r="C309" s="71" t="s">
        <v>3211</v>
      </c>
    </row>
    <row r="310" spans="1:14" x14ac:dyDescent="0.25">
      <c r="A310" s="73" t="s">
        <v>83</v>
      </c>
      <c r="B310" s="71" t="s">
        <v>7</v>
      </c>
      <c r="C310" s="71" t="s">
        <v>3751</v>
      </c>
      <c r="I310" s="73"/>
      <c r="J310" s="76"/>
    </row>
    <row r="311" spans="1:14" x14ac:dyDescent="0.25">
      <c r="A311" s="70" t="s">
        <v>3255</v>
      </c>
      <c r="B311" s="71" t="s">
        <v>7</v>
      </c>
    </row>
    <row r="312" spans="1:14" x14ac:dyDescent="0.25">
      <c r="A312" s="70" t="s">
        <v>2993</v>
      </c>
      <c r="B312" s="71" t="s">
        <v>7</v>
      </c>
      <c r="C312" s="71" t="s">
        <v>3213</v>
      </c>
    </row>
    <row r="313" spans="1:14" x14ac:dyDescent="0.25">
      <c r="A313" s="70" t="s">
        <v>359</v>
      </c>
      <c r="B313" s="71" t="s">
        <v>7</v>
      </c>
      <c r="C313" s="71" t="s">
        <v>3213</v>
      </c>
    </row>
    <row r="314" spans="1:14" x14ac:dyDescent="0.25">
      <c r="A314" s="73" t="s">
        <v>48</v>
      </c>
      <c r="B314" s="71" t="s">
        <v>7</v>
      </c>
      <c r="C314" s="71" t="s">
        <v>3211</v>
      </c>
      <c r="I314" s="73"/>
      <c r="J314" s="76"/>
    </row>
    <row r="315" spans="1:14" x14ac:dyDescent="0.25">
      <c r="A315" s="73" t="s">
        <v>241</v>
      </c>
      <c r="B315" s="71" t="s">
        <v>7</v>
      </c>
      <c r="C315" s="71" t="s">
        <v>3213</v>
      </c>
      <c r="I315" s="73"/>
      <c r="J315" s="76"/>
      <c r="N315" s="73"/>
    </row>
    <row r="316" spans="1:14" x14ac:dyDescent="0.25">
      <c r="A316" s="70" t="s">
        <v>349</v>
      </c>
      <c r="B316" s="71" t="s">
        <v>7</v>
      </c>
      <c r="C316" s="71" t="s">
        <v>3213</v>
      </c>
    </row>
    <row r="317" spans="1:14" x14ac:dyDescent="0.25">
      <c r="A317" s="73" t="s">
        <v>337</v>
      </c>
      <c r="B317" s="71" t="s">
        <v>7</v>
      </c>
      <c r="C317" s="71" t="s">
        <v>3212</v>
      </c>
    </row>
    <row r="318" spans="1:14" x14ac:dyDescent="0.25">
      <c r="A318" s="73" t="s">
        <v>271</v>
      </c>
      <c r="B318" s="71" t="s">
        <v>255</v>
      </c>
      <c r="C318" s="71" t="s">
        <v>3212</v>
      </c>
    </row>
    <row r="319" spans="1:14" x14ac:dyDescent="0.25">
      <c r="A319" s="70" t="s">
        <v>362</v>
      </c>
      <c r="B319" s="71" t="s">
        <v>7</v>
      </c>
    </row>
    <row r="320" spans="1:14" x14ac:dyDescent="0.25">
      <c r="A320" s="71" t="s">
        <v>545</v>
      </c>
      <c r="B320" s="71" t="s">
        <v>7</v>
      </c>
    </row>
    <row r="321" spans="1:10" x14ac:dyDescent="0.25">
      <c r="A321" s="73" t="s">
        <v>338</v>
      </c>
      <c r="B321" s="71" t="s">
        <v>7</v>
      </c>
      <c r="C321" s="71" t="s">
        <v>3211</v>
      </c>
    </row>
    <row r="322" spans="1:10" x14ac:dyDescent="0.25">
      <c r="A322" s="71" t="s">
        <v>750</v>
      </c>
      <c r="B322" s="71" t="s">
        <v>7</v>
      </c>
    </row>
    <row r="323" spans="1:10" x14ac:dyDescent="0.25">
      <c r="A323" s="73" t="s">
        <v>24</v>
      </c>
      <c r="B323" s="71" t="s">
        <v>7</v>
      </c>
      <c r="C323" s="71" t="s">
        <v>3210</v>
      </c>
      <c r="I323" s="73"/>
      <c r="J323" s="76"/>
    </row>
    <row r="324" spans="1:10" x14ac:dyDescent="0.25">
      <c r="A324" s="73" t="s">
        <v>339</v>
      </c>
      <c r="B324" s="71" t="s">
        <v>7</v>
      </c>
      <c r="C324" s="71" t="s">
        <v>3212</v>
      </c>
    </row>
    <row r="325" spans="1:10" x14ac:dyDescent="0.25">
      <c r="A325" s="73" t="s">
        <v>179</v>
      </c>
      <c r="B325" s="71" t="s">
        <v>7</v>
      </c>
      <c r="C325" s="71" t="s">
        <v>3210</v>
      </c>
    </row>
    <row r="326" spans="1:10" x14ac:dyDescent="0.25">
      <c r="A326" s="73" t="s">
        <v>131</v>
      </c>
      <c r="B326" s="71" t="s">
        <v>7</v>
      </c>
      <c r="C326" s="71" t="s">
        <v>3212</v>
      </c>
      <c r="I326" s="73"/>
      <c r="J326" s="76"/>
    </row>
    <row r="327" spans="1:10" x14ac:dyDescent="0.25">
      <c r="A327" s="70" t="s">
        <v>409</v>
      </c>
      <c r="B327" s="71" t="s">
        <v>7</v>
      </c>
    </row>
    <row r="328" spans="1:10" x14ac:dyDescent="0.25">
      <c r="A328" s="73" t="s">
        <v>64</v>
      </c>
      <c r="B328" s="71" t="s">
        <v>7</v>
      </c>
      <c r="C328" s="71" t="s">
        <v>3212</v>
      </c>
      <c r="I328" s="73"/>
    </row>
    <row r="329" spans="1:10" x14ac:dyDescent="0.25">
      <c r="A329" s="73" t="s">
        <v>308</v>
      </c>
      <c r="B329" s="71" t="s">
        <v>268</v>
      </c>
      <c r="C329" s="71" t="s">
        <v>3211</v>
      </c>
    </row>
    <row r="330" spans="1:10" x14ac:dyDescent="0.25">
      <c r="A330" s="73" t="s">
        <v>242</v>
      </c>
      <c r="B330" s="71" t="s">
        <v>7</v>
      </c>
      <c r="C330" s="71" t="s">
        <v>3213</v>
      </c>
      <c r="I330" s="73"/>
      <c r="J330" s="76"/>
    </row>
    <row r="331" spans="1:10" x14ac:dyDescent="0.25">
      <c r="A331" s="73" t="s">
        <v>385</v>
      </c>
      <c r="B331" s="71" t="s">
        <v>7</v>
      </c>
      <c r="C331" s="71" t="s">
        <v>3211</v>
      </c>
    </row>
    <row r="332" spans="1:10" x14ac:dyDescent="0.25">
      <c r="A332" s="73" t="s">
        <v>71</v>
      </c>
      <c r="B332" s="71" t="s">
        <v>7</v>
      </c>
      <c r="C332" s="71" t="s">
        <v>3210</v>
      </c>
    </row>
    <row r="333" spans="1:10" x14ac:dyDescent="0.25">
      <c r="A333" s="73" t="s">
        <v>202</v>
      </c>
      <c r="B333" s="71" t="s">
        <v>7</v>
      </c>
      <c r="C333" s="71" t="s">
        <v>3212</v>
      </c>
      <c r="I333" s="73"/>
      <c r="J333" s="73"/>
    </row>
    <row r="334" spans="1:10" x14ac:dyDescent="0.25">
      <c r="A334" s="73" t="s">
        <v>132</v>
      </c>
      <c r="B334" s="71" t="s">
        <v>7</v>
      </c>
      <c r="C334" s="71" t="s">
        <v>3212</v>
      </c>
      <c r="I334" s="73"/>
      <c r="J334" s="76"/>
    </row>
    <row r="335" spans="1:10" x14ac:dyDescent="0.25">
      <c r="A335" s="71" t="s">
        <v>779</v>
      </c>
      <c r="B335" s="71" t="s">
        <v>7</v>
      </c>
    </row>
    <row r="336" spans="1:10" x14ac:dyDescent="0.25">
      <c r="A336" s="73" t="s">
        <v>23</v>
      </c>
      <c r="B336" s="71" t="s">
        <v>255</v>
      </c>
      <c r="C336" s="71" t="s">
        <v>3211</v>
      </c>
      <c r="I336" s="73"/>
      <c r="J336" s="73"/>
    </row>
    <row r="337" spans="1:14" x14ac:dyDescent="0.25">
      <c r="A337" s="73" t="s">
        <v>12</v>
      </c>
      <c r="B337" s="71" t="s">
        <v>7</v>
      </c>
      <c r="C337" s="71" t="s">
        <v>3211</v>
      </c>
    </row>
    <row r="338" spans="1:14" x14ac:dyDescent="0.25">
      <c r="A338" s="73" t="s">
        <v>21</v>
      </c>
      <c r="B338" s="71" t="s">
        <v>7</v>
      </c>
      <c r="C338" s="71" t="s">
        <v>3211</v>
      </c>
      <c r="J338" s="76"/>
    </row>
    <row r="339" spans="1:14" x14ac:dyDescent="0.25">
      <c r="A339" s="71" t="s">
        <v>833</v>
      </c>
      <c r="B339" s="71" t="s">
        <v>7</v>
      </c>
    </row>
    <row r="340" spans="1:14" x14ac:dyDescent="0.25">
      <c r="A340" s="73" t="s">
        <v>17</v>
      </c>
      <c r="B340" s="71" t="s">
        <v>7</v>
      </c>
      <c r="C340" s="71" t="s">
        <v>3211</v>
      </c>
      <c r="E340" s="72" t="s">
        <v>158</v>
      </c>
    </row>
    <row r="341" spans="1:14" x14ac:dyDescent="0.25">
      <c r="A341" s="70" t="s">
        <v>309</v>
      </c>
      <c r="B341" s="71" t="s">
        <v>7</v>
      </c>
      <c r="C341" s="71" t="s">
        <v>3210</v>
      </c>
    </row>
    <row r="342" spans="1:14" x14ac:dyDescent="0.25">
      <c r="A342" s="70" t="s">
        <v>1365</v>
      </c>
      <c r="B342" s="71" t="s">
        <v>7</v>
      </c>
      <c r="C342" s="71" t="s">
        <v>3212</v>
      </c>
    </row>
    <row r="343" spans="1:14" x14ac:dyDescent="0.25">
      <c r="A343" s="77" t="s">
        <v>197</v>
      </c>
      <c r="B343" s="71" t="s">
        <v>7</v>
      </c>
      <c r="C343" s="71" t="s">
        <v>3212</v>
      </c>
      <c r="I343" s="73"/>
      <c r="J343" s="76"/>
    </row>
    <row r="344" spans="1:14" x14ac:dyDescent="0.25">
      <c r="A344" s="70" t="s">
        <v>368</v>
      </c>
      <c r="B344" s="71" t="s">
        <v>7</v>
      </c>
      <c r="C344" s="71" t="s">
        <v>3213</v>
      </c>
    </row>
    <row r="345" spans="1:14" x14ac:dyDescent="0.25">
      <c r="A345" s="73" t="s">
        <v>355</v>
      </c>
      <c r="B345" s="71" t="s">
        <v>7</v>
      </c>
      <c r="C345" s="71" t="s">
        <v>3212</v>
      </c>
    </row>
    <row r="346" spans="1:14" x14ac:dyDescent="0.25">
      <c r="A346" s="73" t="s">
        <v>408</v>
      </c>
      <c r="B346" s="71" t="s">
        <v>7</v>
      </c>
      <c r="C346" s="71" t="s">
        <v>3212</v>
      </c>
    </row>
    <row r="347" spans="1:14" x14ac:dyDescent="0.25">
      <c r="A347" s="70" t="s">
        <v>310</v>
      </c>
      <c r="B347" s="71" t="s">
        <v>7</v>
      </c>
    </row>
    <row r="348" spans="1:14" x14ac:dyDescent="0.25">
      <c r="A348" s="77" t="s">
        <v>215</v>
      </c>
      <c r="B348" s="71" t="s">
        <v>7</v>
      </c>
      <c r="C348" s="71" t="s">
        <v>3211</v>
      </c>
    </row>
    <row r="349" spans="1:14" x14ac:dyDescent="0.25">
      <c r="A349" s="70" t="s">
        <v>311</v>
      </c>
      <c r="B349" s="71" t="s">
        <v>7</v>
      </c>
      <c r="C349" s="71" t="s">
        <v>3213</v>
      </c>
    </row>
    <row r="350" spans="1:14" x14ac:dyDescent="0.25">
      <c r="A350" s="70" t="s">
        <v>1526</v>
      </c>
      <c r="B350" s="71" t="s">
        <v>7</v>
      </c>
      <c r="C350" s="71" t="s">
        <v>3212</v>
      </c>
    </row>
    <row r="351" spans="1:14" x14ac:dyDescent="0.25">
      <c r="A351" s="73" t="s">
        <v>243</v>
      </c>
      <c r="B351" s="71" t="s">
        <v>7</v>
      </c>
      <c r="C351" s="71" t="s">
        <v>3211</v>
      </c>
      <c r="I351" s="73"/>
      <c r="J351" s="76"/>
      <c r="N351" s="73"/>
    </row>
    <row r="352" spans="1:14" x14ac:dyDescent="0.25">
      <c r="A352" s="70" t="s">
        <v>313</v>
      </c>
      <c r="B352" s="71" t="s">
        <v>268</v>
      </c>
      <c r="C352" s="71" t="s">
        <v>3751</v>
      </c>
    </row>
    <row r="353" spans="1:10" x14ac:dyDescent="0.25">
      <c r="A353" s="73" t="s">
        <v>133</v>
      </c>
      <c r="B353" s="71" t="s">
        <v>7</v>
      </c>
      <c r="C353" s="71" t="s">
        <v>3213</v>
      </c>
      <c r="I353" s="73"/>
    </row>
    <row r="354" spans="1:10" x14ac:dyDescent="0.25">
      <c r="A354" s="73" t="s">
        <v>256</v>
      </c>
      <c r="B354" s="71" t="s">
        <v>254</v>
      </c>
      <c r="C354" s="71" t="s">
        <v>3211</v>
      </c>
      <c r="E354" s="72" t="s">
        <v>342</v>
      </c>
    </row>
    <row r="355" spans="1:10" x14ac:dyDescent="0.25">
      <c r="A355" s="73" t="s">
        <v>350</v>
      </c>
      <c r="B355" s="71" t="s">
        <v>7</v>
      </c>
      <c r="C355" s="71" t="s">
        <v>3212</v>
      </c>
    </row>
    <row r="356" spans="1:10" x14ac:dyDescent="0.25">
      <c r="A356" s="70" t="s">
        <v>367</v>
      </c>
      <c r="B356" s="71" t="s">
        <v>7</v>
      </c>
      <c r="C356" s="71" t="s">
        <v>3213</v>
      </c>
    </row>
    <row r="357" spans="1:10" x14ac:dyDescent="0.25">
      <c r="A357" s="70" t="s">
        <v>442</v>
      </c>
      <c r="B357" s="71" t="s">
        <v>7</v>
      </c>
    </row>
    <row r="358" spans="1:10" x14ac:dyDescent="0.25">
      <c r="A358" s="73" t="s">
        <v>11</v>
      </c>
      <c r="B358" s="71" t="s">
        <v>7</v>
      </c>
      <c r="C358" s="71" t="s">
        <v>3213</v>
      </c>
      <c r="I358" s="73"/>
    </row>
    <row r="359" spans="1:10" x14ac:dyDescent="0.25">
      <c r="A359" s="73" t="s">
        <v>134</v>
      </c>
      <c r="B359" s="71" t="s">
        <v>7</v>
      </c>
      <c r="C359" s="71" t="s">
        <v>3210</v>
      </c>
      <c r="I359" s="73"/>
    </row>
    <row r="360" spans="1:10" x14ac:dyDescent="0.25">
      <c r="A360" s="73" t="s">
        <v>203</v>
      </c>
      <c r="B360" s="71" t="s">
        <v>7</v>
      </c>
      <c r="C360" s="71" t="s">
        <v>3212</v>
      </c>
      <c r="I360" s="73"/>
    </row>
    <row r="361" spans="1:10" x14ac:dyDescent="0.25">
      <c r="A361" s="77" t="s">
        <v>196</v>
      </c>
      <c r="B361" s="71" t="s">
        <v>7</v>
      </c>
      <c r="C361" s="71" t="s">
        <v>3211</v>
      </c>
    </row>
    <row r="362" spans="1:10" x14ac:dyDescent="0.25">
      <c r="A362" s="73" t="s">
        <v>340</v>
      </c>
      <c r="B362" s="71" t="s">
        <v>7</v>
      </c>
      <c r="C362" s="71" t="s">
        <v>3211</v>
      </c>
    </row>
    <row r="363" spans="1:10" x14ac:dyDescent="0.25">
      <c r="A363" s="73" t="s">
        <v>228</v>
      </c>
      <c r="B363" s="71" t="s">
        <v>7</v>
      </c>
      <c r="C363" s="71" t="s">
        <v>3212</v>
      </c>
    </row>
    <row r="364" spans="1:10" x14ac:dyDescent="0.25">
      <c r="A364" s="73" t="s">
        <v>244</v>
      </c>
      <c r="B364" s="71" t="s">
        <v>7</v>
      </c>
      <c r="C364" s="71" t="s">
        <v>3751</v>
      </c>
      <c r="I364" s="73"/>
    </row>
    <row r="365" spans="1:10" x14ac:dyDescent="0.25">
      <c r="A365" s="70" t="s">
        <v>1343</v>
      </c>
      <c r="B365" s="71" t="s">
        <v>7</v>
      </c>
      <c r="C365" s="71" t="s">
        <v>3212</v>
      </c>
    </row>
    <row r="366" spans="1:10" x14ac:dyDescent="0.25">
      <c r="A366" s="70" t="s">
        <v>438</v>
      </c>
      <c r="B366" s="71" t="s">
        <v>7</v>
      </c>
    </row>
    <row r="367" spans="1:10" x14ac:dyDescent="0.25">
      <c r="A367" s="70" t="s">
        <v>272</v>
      </c>
      <c r="B367" s="71" t="s">
        <v>255</v>
      </c>
    </row>
    <row r="368" spans="1:10" x14ac:dyDescent="0.25">
      <c r="A368" s="73" t="s">
        <v>180</v>
      </c>
      <c r="B368" s="71" t="s">
        <v>7</v>
      </c>
      <c r="C368" s="71" t="s">
        <v>3751</v>
      </c>
      <c r="I368" s="73"/>
      <c r="J368" s="76"/>
    </row>
    <row r="369" spans="1:10" x14ac:dyDescent="0.25">
      <c r="A369" s="70" t="s">
        <v>314</v>
      </c>
      <c r="B369" s="71" t="s">
        <v>7</v>
      </c>
      <c r="C369" s="71" t="s">
        <v>3210</v>
      </c>
    </row>
    <row r="370" spans="1:10" x14ac:dyDescent="0.25">
      <c r="A370" s="73" t="s">
        <v>315</v>
      </c>
      <c r="B370" s="71" t="s">
        <v>7</v>
      </c>
      <c r="C370" s="71" t="s">
        <v>3212</v>
      </c>
    </row>
    <row r="371" spans="1:10" x14ac:dyDescent="0.25">
      <c r="A371" s="73" t="s">
        <v>264</v>
      </c>
      <c r="B371" s="71" t="s">
        <v>7</v>
      </c>
      <c r="C371" s="71" t="s">
        <v>3212</v>
      </c>
    </row>
    <row r="372" spans="1:10" x14ac:dyDescent="0.25">
      <c r="A372" s="73" t="s">
        <v>53</v>
      </c>
      <c r="B372" s="71" t="s">
        <v>7</v>
      </c>
      <c r="C372" s="71" t="s">
        <v>3212</v>
      </c>
      <c r="I372" s="73"/>
    </row>
    <row r="373" spans="1:10" x14ac:dyDescent="0.25">
      <c r="A373" s="77" t="s">
        <v>198</v>
      </c>
      <c r="B373" s="71" t="s">
        <v>7</v>
      </c>
      <c r="C373" s="71" t="s">
        <v>3211</v>
      </c>
      <c r="I373" s="73"/>
      <c r="J373" s="76"/>
    </row>
    <row r="374" spans="1:10" x14ac:dyDescent="0.25">
      <c r="A374" s="73" t="s">
        <v>36</v>
      </c>
      <c r="B374" s="71" t="s">
        <v>7</v>
      </c>
      <c r="C374" s="71" t="s">
        <v>3211</v>
      </c>
      <c r="I374" s="73"/>
    </row>
    <row r="375" spans="1:10" x14ac:dyDescent="0.25">
      <c r="A375" s="73" t="s">
        <v>230</v>
      </c>
      <c r="B375" s="71" t="s">
        <v>7</v>
      </c>
      <c r="C375" s="71" t="s">
        <v>3211</v>
      </c>
    </row>
    <row r="376" spans="1:10" x14ac:dyDescent="0.25">
      <c r="A376" s="73" t="s">
        <v>389</v>
      </c>
      <c r="B376" s="71" t="s">
        <v>7</v>
      </c>
      <c r="C376" s="71" t="s">
        <v>3212</v>
      </c>
    </row>
    <row r="377" spans="1:10" x14ac:dyDescent="0.25">
      <c r="A377" s="70" t="s">
        <v>444</v>
      </c>
      <c r="B377" s="71" t="s">
        <v>7</v>
      </c>
      <c r="C377" s="71" t="s">
        <v>3213</v>
      </c>
    </row>
    <row r="378" spans="1:10" x14ac:dyDescent="0.25">
      <c r="A378" s="70" t="s">
        <v>429</v>
      </c>
      <c r="B378" s="71" t="s">
        <v>7</v>
      </c>
    </row>
    <row r="379" spans="1:10" x14ac:dyDescent="0.25">
      <c r="A379" s="73" t="s">
        <v>135</v>
      </c>
      <c r="B379" s="71" t="s">
        <v>7</v>
      </c>
      <c r="C379" s="71" t="s">
        <v>3212</v>
      </c>
      <c r="I379" s="73"/>
      <c r="J379" s="73"/>
    </row>
    <row r="380" spans="1:10" x14ac:dyDescent="0.25">
      <c r="A380" s="73" t="s">
        <v>136</v>
      </c>
      <c r="B380" s="71" t="s">
        <v>7</v>
      </c>
      <c r="C380" s="71" t="s">
        <v>3211</v>
      </c>
      <c r="I380" s="73"/>
    </row>
    <row r="381" spans="1:10" x14ac:dyDescent="0.25">
      <c r="A381" s="78" t="s">
        <v>137</v>
      </c>
      <c r="B381" s="71" t="s">
        <v>7</v>
      </c>
      <c r="C381" s="71" t="s">
        <v>3210</v>
      </c>
      <c r="I381" s="73"/>
      <c r="J381" s="73"/>
    </row>
    <row r="382" spans="1:10" x14ac:dyDescent="0.25">
      <c r="A382" s="70" t="s">
        <v>260</v>
      </c>
      <c r="B382" s="71" t="s">
        <v>7</v>
      </c>
      <c r="C382" s="71" t="s">
        <v>3751</v>
      </c>
    </row>
    <row r="383" spans="1:10" x14ac:dyDescent="0.25">
      <c r="A383" s="73" t="s">
        <v>316</v>
      </c>
      <c r="B383" s="71" t="s">
        <v>7</v>
      </c>
      <c r="C383" s="71" t="s">
        <v>3212</v>
      </c>
    </row>
    <row r="384" spans="1:10" x14ac:dyDescent="0.25">
      <c r="A384" s="77" t="s">
        <v>214</v>
      </c>
      <c r="B384" s="71" t="s">
        <v>7</v>
      </c>
      <c r="C384" s="71" t="s">
        <v>3212</v>
      </c>
      <c r="I384" s="73"/>
      <c r="J384" s="76"/>
    </row>
    <row r="385" spans="1:10" x14ac:dyDescent="0.25">
      <c r="A385" s="73" t="s">
        <v>437</v>
      </c>
      <c r="B385" s="71" t="s">
        <v>7</v>
      </c>
      <c r="C385" s="71" t="s">
        <v>3211</v>
      </c>
    </row>
    <row r="386" spans="1:10" x14ac:dyDescent="0.25">
      <c r="A386" s="73" t="s">
        <v>30</v>
      </c>
      <c r="B386" s="71" t="s">
        <v>7</v>
      </c>
      <c r="C386" s="71" t="s">
        <v>3211</v>
      </c>
      <c r="I386" s="73"/>
      <c r="J386" s="76"/>
    </row>
    <row r="387" spans="1:10" x14ac:dyDescent="0.25">
      <c r="A387" s="70" t="s">
        <v>417</v>
      </c>
      <c r="B387" s="71" t="s">
        <v>7</v>
      </c>
    </row>
    <row r="388" spans="1:10" x14ac:dyDescent="0.25">
      <c r="A388" s="73" t="s">
        <v>43</v>
      </c>
      <c r="B388" s="71" t="s">
        <v>7</v>
      </c>
      <c r="C388" s="71" t="s">
        <v>3751</v>
      </c>
      <c r="I388" s="73"/>
      <c r="J388" s="76"/>
    </row>
    <row r="389" spans="1:10" x14ac:dyDescent="0.25">
      <c r="A389" s="73" t="s">
        <v>225</v>
      </c>
      <c r="B389" s="71" t="s">
        <v>7</v>
      </c>
      <c r="C389" s="71" t="s">
        <v>3211</v>
      </c>
    </row>
    <row r="390" spans="1:10" x14ac:dyDescent="0.25">
      <c r="A390" s="70" t="s">
        <v>317</v>
      </c>
      <c r="B390" s="71" t="s">
        <v>7</v>
      </c>
      <c r="C390" s="71" t="s">
        <v>3210</v>
      </c>
    </row>
    <row r="391" spans="1:10" x14ac:dyDescent="0.25">
      <c r="A391" s="70" t="s">
        <v>199</v>
      </c>
      <c r="B391" s="71" t="s">
        <v>7</v>
      </c>
    </row>
    <row r="392" spans="1:10" x14ac:dyDescent="0.25">
      <c r="A392" s="70" t="s">
        <v>1397</v>
      </c>
      <c r="B392" s="71" t="s">
        <v>7</v>
      </c>
      <c r="C392" s="71" t="s">
        <v>3212</v>
      </c>
    </row>
    <row r="393" spans="1:10" x14ac:dyDescent="0.25">
      <c r="A393" s="73" t="s">
        <v>138</v>
      </c>
      <c r="B393" s="71" t="s">
        <v>7</v>
      </c>
      <c r="C393" s="71" t="s">
        <v>3751</v>
      </c>
      <c r="I393" s="73"/>
      <c r="J393" s="76"/>
    </row>
    <row r="394" spans="1:10" x14ac:dyDescent="0.25">
      <c r="A394" s="70" t="s">
        <v>341</v>
      </c>
      <c r="B394" s="71" t="s">
        <v>7</v>
      </c>
      <c r="C394" s="71" t="s">
        <v>3213</v>
      </c>
    </row>
    <row r="395" spans="1:10" x14ac:dyDescent="0.25">
      <c r="A395" s="73" t="s">
        <v>139</v>
      </c>
      <c r="B395" s="71" t="s">
        <v>255</v>
      </c>
      <c r="C395" s="71" t="s">
        <v>3212</v>
      </c>
      <c r="I395" s="73"/>
    </row>
    <row r="396" spans="1:10" x14ac:dyDescent="0.25">
      <c r="A396" s="77" t="s">
        <v>200</v>
      </c>
      <c r="B396" s="71" t="s">
        <v>7</v>
      </c>
      <c r="C396" s="71" t="s">
        <v>3213</v>
      </c>
    </row>
    <row r="397" spans="1:10" x14ac:dyDescent="0.25">
      <c r="A397" s="73" t="s">
        <v>140</v>
      </c>
      <c r="B397" s="71" t="s">
        <v>7</v>
      </c>
      <c r="C397" s="71" t="s">
        <v>3211</v>
      </c>
    </row>
    <row r="398" spans="1:10" x14ac:dyDescent="0.25">
      <c r="A398" s="70" t="s">
        <v>318</v>
      </c>
      <c r="B398" s="71" t="s">
        <v>7</v>
      </c>
      <c r="C398" s="71" t="s">
        <v>3210</v>
      </c>
    </row>
    <row r="399" spans="1:10" x14ac:dyDescent="0.25">
      <c r="A399" s="73" t="s">
        <v>319</v>
      </c>
      <c r="B399" s="71" t="s">
        <v>268</v>
      </c>
      <c r="C399" s="71" t="s">
        <v>3212</v>
      </c>
    </row>
    <row r="400" spans="1:10" x14ac:dyDescent="0.25">
      <c r="A400" s="73" t="s">
        <v>247</v>
      </c>
      <c r="B400" s="71" t="s">
        <v>7</v>
      </c>
      <c r="C400" s="71" t="s">
        <v>3211</v>
      </c>
    </row>
    <row r="401" spans="1:10" x14ac:dyDescent="0.25">
      <c r="A401" s="73" t="s">
        <v>55</v>
      </c>
      <c r="B401" s="71" t="s">
        <v>7</v>
      </c>
      <c r="C401" s="71" t="s">
        <v>3211</v>
      </c>
      <c r="I401" s="73"/>
      <c r="J401" s="76"/>
    </row>
    <row r="402" spans="1:10" x14ac:dyDescent="0.25">
      <c r="A402" s="70" t="s">
        <v>320</v>
      </c>
      <c r="B402" s="71" t="s">
        <v>7</v>
      </c>
      <c r="C402" s="71" t="s">
        <v>3213</v>
      </c>
    </row>
    <row r="403" spans="1:10" x14ac:dyDescent="0.25">
      <c r="A403" s="70" t="s">
        <v>321</v>
      </c>
      <c r="B403" s="71" t="s">
        <v>268</v>
      </c>
      <c r="C403" s="71" t="s">
        <v>3213</v>
      </c>
    </row>
    <row r="404" spans="1:10" x14ac:dyDescent="0.25">
      <c r="A404" s="75" t="s">
        <v>141</v>
      </c>
      <c r="B404" s="71" t="s">
        <v>7</v>
      </c>
      <c r="I404" s="73"/>
      <c r="J404" s="73"/>
    </row>
    <row r="405" spans="1:10" x14ac:dyDescent="0.25">
      <c r="A405" s="70" t="s">
        <v>3397</v>
      </c>
      <c r="B405" s="71" t="s">
        <v>7</v>
      </c>
    </row>
    <row r="406" spans="1:10" x14ac:dyDescent="0.25">
      <c r="A406" s="73" t="s">
        <v>155</v>
      </c>
      <c r="B406" s="71" t="s">
        <v>7</v>
      </c>
      <c r="C406" s="71" t="s">
        <v>3751</v>
      </c>
      <c r="I406" s="73"/>
    </row>
    <row r="407" spans="1:10" x14ac:dyDescent="0.25">
      <c r="A407" s="70" t="s">
        <v>322</v>
      </c>
      <c r="B407" s="71" t="s">
        <v>7</v>
      </c>
      <c r="C407" s="71" t="s">
        <v>3211</v>
      </c>
    </row>
    <row r="408" spans="1:10" x14ac:dyDescent="0.25">
      <c r="A408" s="73" t="s">
        <v>156</v>
      </c>
      <c r="B408" s="71" t="s">
        <v>7</v>
      </c>
      <c r="C408" s="71" t="s">
        <v>3213</v>
      </c>
    </row>
    <row r="409" spans="1:10" x14ac:dyDescent="0.25">
      <c r="A409" s="73" t="s">
        <v>49</v>
      </c>
      <c r="B409" s="71" t="s">
        <v>7</v>
      </c>
      <c r="C409" s="71" t="s">
        <v>3211</v>
      </c>
    </row>
    <row r="410" spans="1:10" x14ac:dyDescent="0.25">
      <c r="A410" s="73" t="s">
        <v>52</v>
      </c>
      <c r="B410" s="71" t="s">
        <v>7</v>
      </c>
      <c r="C410" s="71" t="s">
        <v>3211</v>
      </c>
      <c r="I410" s="73"/>
      <c r="J410" s="76"/>
    </row>
    <row r="411" spans="1:10" x14ac:dyDescent="0.25">
      <c r="A411" s="73" t="s">
        <v>181</v>
      </c>
      <c r="B411" s="71" t="s">
        <v>7</v>
      </c>
      <c r="C411" s="71" t="s">
        <v>3213</v>
      </c>
      <c r="J411" s="73"/>
    </row>
    <row r="412" spans="1:10" x14ac:dyDescent="0.25">
      <c r="A412" s="73" t="s">
        <v>37</v>
      </c>
      <c r="B412" s="71" t="s">
        <v>7</v>
      </c>
      <c r="C412" s="71" t="s">
        <v>3211</v>
      </c>
    </row>
    <row r="413" spans="1:10" x14ac:dyDescent="0.25">
      <c r="A413" s="73" t="s">
        <v>163</v>
      </c>
      <c r="B413" s="71" t="s">
        <v>255</v>
      </c>
      <c r="C413" s="71" t="s">
        <v>3212</v>
      </c>
    </row>
    <row r="414" spans="1:10" x14ac:dyDescent="0.25">
      <c r="A414" s="73" t="s">
        <v>85</v>
      </c>
      <c r="B414" s="71" t="s">
        <v>7</v>
      </c>
      <c r="C414" s="71" t="s">
        <v>3751</v>
      </c>
    </row>
    <row r="415" spans="1:10" x14ac:dyDescent="0.25">
      <c r="A415" s="70" t="s">
        <v>323</v>
      </c>
      <c r="B415" s="71" t="s">
        <v>7</v>
      </c>
    </row>
    <row r="416" spans="1:10" x14ac:dyDescent="0.25">
      <c r="A416" s="73" t="s">
        <v>142</v>
      </c>
      <c r="B416" s="71" t="s">
        <v>7</v>
      </c>
      <c r="C416" s="71" t="s">
        <v>3210</v>
      </c>
    </row>
    <row r="417" spans="1:9" x14ac:dyDescent="0.25">
      <c r="A417" s="73" t="s">
        <v>45</v>
      </c>
      <c r="B417" s="71" t="s">
        <v>7</v>
      </c>
      <c r="C417" s="71" t="s">
        <v>3751</v>
      </c>
    </row>
    <row r="418" spans="1:9" x14ac:dyDescent="0.25">
      <c r="A418" s="70" t="s">
        <v>3620</v>
      </c>
      <c r="B418" s="71" t="s">
        <v>7</v>
      </c>
    </row>
    <row r="419" spans="1:9" x14ac:dyDescent="0.25">
      <c r="A419" s="70" t="s">
        <v>354</v>
      </c>
      <c r="B419" s="71" t="s">
        <v>7</v>
      </c>
      <c r="C419" s="71" t="s">
        <v>3213</v>
      </c>
    </row>
    <row r="420" spans="1:9" x14ac:dyDescent="0.25">
      <c r="A420" s="70" t="s">
        <v>1933</v>
      </c>
      <c r="B420" s="71" t="s">
        <v>7</v>
      </c>
      <c r="C420" s="71" t="s">
        <v>3212</v>
      </c>
    </row>
    <row r="421" spans="1:9" x14ac:dyDescent="0.25">
      <c r="A421" s="73" t="s">
        <v>324</v>
      </c>
      <c r="B421" s="71" t="s">
        <v>268</v>
      </c>
      <c r="C421" s="71" t="s">
        <v>3212</v>
      </c>
    </row>
    <row r="422" spans="1:9" x14ac:dyDescent="0.25">
      <c r="A422" s="70" t="s">
        <v>2236</v>
      </c>
      <c r="B422" s="71" t="s">
        <v>7</v>
      </c>
      <c r="C422" s="71" t="s">
        <v>3213</v>
      </c>
    </row>
    <row r="423" spans="1:9" x14ac:dyDescent="0.25">
      <c r="A423" s="73" t="s">
        <v>164</v>
      </c>
      <c r="B423" s="71" t="s">
        <v>7</v>
      </c>
      <c r="C423" s="71" t="s">
        <v>3211</v>
      </c>
    </row>
    <row r="424" spans="1:9" x14ac:dyDescent="0.25">
      <c r="A424" s="70" t="s">
        <v>269</v>
      </c>
      <c r="B424" s="71" t="s">
        <v>7</v>
      </c>
      <c r="E424" s="72" t="s">
        <v>342</v>
      </c>
    </row>
    <row r="425" spans="1:9" x14ac:dyDescent="0.25">
      <c r="A425" s="70" t="s">
        <v>1341</v>
      </c>
      <c r="B425" s="71" t="s">
        <v>7</v>
      </c>
      <c r="C425" s="71" t="s">
        <v>3212</v>
      </c>
    </row>
    <row r="426" spans="1:9" x14ac:dyDescent="0.25">
      <c r="A426" s="75" t="s">
        <v>4052</v>
      </c>
      <c r="B426" s="71" t="s">
        <v>7</v>
      </c>
    </row>
    <row r="427" spans="1:9" x14ac:dyDescent="0.25">
      <c r="A427" s="70" t="s">
        <v>326</v>
      </c>
      <c r="B427" s="71" t="s">
        <v>268</v>
      </c>
    </row>
    <row r="428" spans="1:9" x14ac:dyDescent="0.25">
      <c r="A428" s="73" t="s">
        <v>352</v>
      </c>
      <c r="B428" s="71" t="s">
        <v>7</v>
      </c>
      <c r="C428" s="71" t="s">
        <v>3212</v>
      </c>
    </row>
    <row r="429" spans="1:9" x14ac:dyDescent="0.25">
      <c r="A429" s="73" t="s">
        <v>144</v>
      </c>
      <c r="B429" s="71" t="s">
        <v>7</v>
      </c>
      <c r="C429" s="71" t="s">
        <v>3211</v>
      </c>
    </row>
    <row r="430" spans="1:9" x14ac:dyDescent="0.25">
      <c r="A430" s="70" t="s">
        <v>210</v>
      </c>
      <c r="B430" s="71" t="s">
        <v>7</v>
      </c>
      <c r="C430" s="71" t="s">
        <v>3750</v>
      </c>
      <c r="I430" s="73"/>
    </row>
    <row r="431" spans="1:9" x14ac:dyDescent="0.25">
      <c r="A431" s="73" t="s">
        <v>146</v>
      </c>
      <c r="B431" s="71" t="s">
        <v>7</v>
      </c>
      <c r="C431" s="71" t="s">
        <v>3211</v>
      </c>
    </row>
    <row r="432" spans="1:9" x14ac:dyDescent="0.25">
      <c r="A432" s="70" t="s">
        <v>208</v>
      </c>
      <c r="B432" s="71" t="s">
        <v>7</v>
      </c>
      <c r="C432" s="71" t="s">
        <v>3213</v>
      </c>
    </row>
    <row r="433" spans="1:2" x14ac:dyDescent="0.25">
      <c r="A433" s="70" t="s">
        <v>3439</v>
      </c>
      <c r="B433" s="71" t="s">
        <v>7</v>
      </c>
    </row>
  </sheetData>
  <sortState xmlns:xlrd2="http://schemas.microsoft.com/office/spreadsheetml/2017/richdata2" ref="A2:N432">
    <sortCondition ref="A2:A432"/>
    <sortCondition ref="B2:B432"/>
  </sortState>
  <conditionalFormatting sqref="A343:A1048576 A338:A339 A279:A314 A187:A231 A173 A138:A157 A1 A13:A27 A239:A242 A259:A270 A30:A73">
    <cfRule type="duplicateValues" dxfId="37" priority="67"/>
  </conditionalFormatting>
  <conditionalFormatting sqref="A343:A1048576 A338:A339 A279:A314 A187:A231 A173 A138:A157 A1 A13:A27 A239:A242 A259:A270 A29:A73">
    <cfRule type="duplicateValues" dxfId="36" priority="68"/>
  </conditionalFormatting>
  <conditionalFormatting sqref="A77">
    <cfRule type="duplicateValues" dxfId="35" priority="55"/>
  </conditionalFormatting>
  <conditionalFormatting sqref="A28">
    <cfRule type="duplicateValues" dxfId="34" priority="38"/>
  </conditionalFormatting>
  <conditionalFormatting sqref="A78">
    <cfRule type="duplicateValues" dxfId="33" priority="35"/>
  </conditionalFormatting>
  <conditionalFormatting sqref="A79">
    <cfRule type="duplicateValues" dxfId="32" priority="32"/>
  </conditionalFormatting>
  <conditionalFormatting sqref="A343:A1048576 A338:A339 A279:A314 A187:A231 A173 A1 A86:A122 A124:A129 A131:A157 A239:A242 A259:A270 A13:A84">
    <cfRule type="duplicateValues" dxfId="31" priority="28"/>
  </conditionalFormatting>
  <conditionalFormatting sqref="A85">
    <cfRule type="duplicateValues" dxfId="30" priority="23"/>
  </conditionalFormatting>
  <conditionalFormatting sqref="A123">
    <cfRule type="duplicateValues" dxfId="29" priority="22"/>
  </conditionalFormatting>
  <conditionalFormatting sqref="A130">
    <cfRule type="duplicateValues" dxfId="28" priority="21"/>
  </conditionalFormatting>
  <conditionalFormatting sqref="A343:A1048576 A338:A339 A279:A314 A256:A270 A1:A248">
    <cfRule type="duplicateValues" dxfId="27" priority="20"/>
  </conditionalFormatting>
  <conditionalFormatting sqref="D272:D276">
    <cfRule type="duplicateValues" dxfId="26" priority="14"/>
  </conditionalFormatting>
  <conditionalFormatting sqref="A343:A1048576 A338:A339 A1:A314">
    <cfRule type="duplicateValues" dxfId="25" priority="10"/>
  </conditionalFormatting>
  <conditionalFormatting sqref="A343:A1048576 A338:A339 A1:A315">
    <cfRule type="duplicateValues" dxfId="24" priority="9"/>
  </conditionalFormatting>
  <conditionalFormatting sqref="A321">
    <cfRule type="duplicateValues" dxfId="23" priority="8"/>
  </conditionalFormatting>
  <conditionalFormatting sqref="A343:A1048576 A338:A339 A1:A321">
    <cfRule type="duplicateValues" dxfId="22" priority="7"/>
  </conditionalFormatting>
  <conditionalFormatting sqref="A343:A1048576 A338:A339 A1:A330">
    <cfRule type="duplicateValues" dxfId="21" priority="5"/>
  </conditionalFormatting>
  <conditionalFormatting sqref="A159:A165">
    <cfRule type="duplicateValues" dxfId="20" priority="323"/>
  </conditionalFormatting>
  <conditionalFormatting sqref="A158:A165">
    <cfRule type="duplicateValues" dxfId="19" priority="325"/>
  </conditionalFormatting>
  <conditionalFormatting sqref="A331:A337">
    <cfRule type="duplicateValues" dxfId="18" priority="4"/>
  </conditionalFormatting>
  <conditionalFormatting sqref="A343:A1048576 A1:A339">
    <cfRule type="duplicateValues" dxfId="17" priority="3"/>
  </conditionalFormatting>
  <conditionalFormatting sqref="A98:A103">
    <cfRule type="duplicateValues" dxfId="16" priority="652"/>
  </conditionalFormatting>
  <conditionalFormatting sqref="A340:A342">
    <cfRule type="duplicateValues" dxfId="15" priority="748"/>
  </conditionalFormatting>
  <conditionalFormatting sqref="A158:A172">
    <cfRule type="duplicateValues" dxfId="14" priority="1114"/>
  </conditionalFormatting>
  <conditionalFormatting sqref="A174:A186">
    <cfRule type="duplicateValues" dxfId="13" priority="1166"/>
  </conditionalFormatting>
  <conditionalFormatting sqref="A1:A1048576">
    <cfRule type="duplicateValues" dxfId="12" priority="1"/>
  </conditionalFormatting>
  <conditionalFormatting sqref="A271:A278">
    <cfRule type="duplicateValues" dxfId="11" priority="1316"/>
  </conditionalFormatting>
  <conditionalFormatting sqref="D272:D275">
    <cfRule type="duplicateValues" dxfId="10" priority="1320"/>
  </conditionalFormatting>
  <conditionalFormatting sqref="A271:A278 D272:D276">
    <cfRule type="duplicateValues" dxfId="9" priority="1335"/>
  </conditionalFormatting>
  <conditionalFormatting sqref="A30:A73 A1 A13:A27">
    <cfRule type="duplicateValues" dxfId="8" priority="1508"/>
  </conditionalFormatting>
  <conditionalFormatting sqref="A322:A330">
    <cfRule type="duplicateValues" dxfId="7" priority="155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3754</v>
      </c>
      <c r="C2" s="25" t="s">
        <v>2026</v>
      </c>
      <c r="D2" s="126" t="s">
        <v>6684</v>
      </c>
    </row>
    <row r="3" spans="2:5" x14ac:dyDescent="0.25">
      <c r="B3" s="130" t="s">
        <v>3755</v>
      </c>
      <c r="C3" s="131" t="s">
        <v>2023</v>
      </c>
    </row>
    <row r="4" spans="2:5" x14ac:dyDescent="0.25">
      <c r="B4" s="132" t="s">
        <v>3756</v>
      </c>
      <c r="C4" s="133" t="s">
        <v>2024</v>
      </c>
    </row>
    <row r="5" spans="2:5" x14ac:dyDescent="0.25">
      <c r="B5" s="132" t="s">
        <v>3757</v>
      </c>
      <c r="C5" s="133" t="s">
        <v>2025</v>
      </c>
    </row>
    <row r="6" spans="2:5" x14ac:dyDescent="0.25">
      <c r="B6" s="132" t="s">
        <v>3758</v>
      </c>
      <c r="C6" s="133" t="s">
        <v>3752</v>
      </c>
    </row>
    <row r="7" spans="2:5" x14ac:dyDescent="0.25">
      <c r="B7" s="134" t="s">
        <v>3753</v>
      </c>
      <c r="C7" s="135" t="s">
        <v>2027</v>
      </c>
    </row>
    <row r="8" spans="2:5" s="11" customFormat="1" ht="101.25" customHeight="1" x14ac:dyDescent="0.25">
      <c r="B8" s="167" t="s">
        <v>3759</v>
      </c>
      <c r="C8" s="167"/>
    </row>
    <row r="10" spans="2:5" x14ac:dyDescent="0.25">
      <c r="B10" s="127" t="s">
        <v>6679</v>
      </c>
      <c r="C10" s="128" t="s">
        <v>6678</v>
      </c>
      <c r="D10" s="126" t="s">
        <v>6680</v>
      </c>
    </row>
    <row r="11" spans="2:5" s="11" customFormat="1" ht="204.75" customHeight="1" x14ac:dyDescent="0.25">
      <c r="B11" s="167" t="s">
        <v>6682</v>
      </c>
      <c r="C11" s="167"/>
    </row>
    <row r="12" spans="2:5" s="11" customFormat="1" ht="16.5" customHeight="1" x14ac:dyDescent="0.25">
      <c r="B12" s="89"/>
      <c r="C12" s="89"/>
    </row>
    <row r="13" spans="2:5" ht="29.25" customHeight="1" x14ac:dyDescent="0.25">
      <c r="B13" s="129" t="s">
        <v>6681</v>
      </c>
      <c r="C13" s="128" t="s">
        <v>4042</v>
      </c>
      <c r="D13" s="126" t="s">
        <v>6683</v>
      </c>
    </row>
    <row r="14" spans="2:5" s="11" customFormat="1" ht="123.75" customHeight="1" x14ac:dyDescent="0.25">
      <c r="B14" s="167" t="s">
        <v>4043</v>
      </c>
      <c r="C14" s="167"/>
      <c r="E14" s="8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3" t="s">
        <v>6761</v>
      </c>
      <c r="B1" s="3"/>
      <c r="C1" s="3" t="s">
        <v>6753</v>
      </c>
      <c r="D1" s="3"/>
      <c r="E1" s="3" t="s">
        <v>4044</v>
      </c>
      <c r="F1" s="3"/>
      <c r="G1" s="3" t="s">
        <v>6754</v>
      </c>
      <c r="H1" s="3"/>
      <c r="I1" s="3" t="s">
        <v>6755</v>
      </c>
      <c r="J1" s="3"/>
      <c r="K1" s="3" t="s">
        <v>6765</v>
      </c>
      <c r="L1" s="3"/>
      <c r="M1" s="3" t="s">
        <v>6757</v>
      </c>
      <c r="N1" s="3"/>
      <c r="O1" s="3" t="s">
        <v>6758</v>
      </c>
      <c r="P1" s="3"/>
      <c r="Q1" s="3" t="s">
        <v>6759</v>
      </c>
      <c r="R1" s="3"/>
      <c r="S1" s="3" t="s">
        <v>4047</v>
      </c>
      <c r="U1" t="s">
        <v>6760</v>
      </c>
      <c r="W1" t="s">
        <v>4081</v>
      </c>
    </row>
    <row r="2" spans="1:23" x14ac:dyDescent="0.25">
      <c r="A2" t="s">
        <v>4044</v>
      </c>
      <c r="C2" t="s">
        <v>6747</v>
      </c>
      <c r="E2" t="s">
        <v>6762</v>
      </c>
      <c r="G2" t="s">
        <v>6763</v>
      </c>
      <c r="I2" t="s">
        <v>6764</v>
      </c>
      <c r="K2" t="s">
        <v>6766</v>
      </c>
      <c r="M2" t="s">
        <v>6764</v>
      </c>
      <c r="O2" t="s">
        <v>6766</v>
      </c>
      <c r="Q2" t="s">
        <v>6764</v>
      </c>
      <c r="S2" t="s">
        <v>6767</v>
      </c>
      <c r="U2" t="s">
        <v>6764</v>
      </c>
      <c r="W2" t="s">
        <v>6766</v>
      </c>
    </row>
    <row r="3" spans="1:23" x14ac:dyDescent="0.25">
      <c r="A3" t="s">
        <v>6753</v>
      </c>
    </row>
    <row r="4" spans="1:23" x14ac:dyDescent="0.25">
      <c r="A4" t="s">
        <v>6754</v>
      </c>
    </row>
    <row r="5" spans="1:23" x14ac:dyDescent="0.25">
      <c r="A5" t="s">
        <v>6755</v>
      </c>
    </row>
    <row r="6" spans="1:23" x14ac:dyDescent="0.25">
      <c r="A6" t="s">
        <v>6756</v>
      </c>
    </row>
    <row r="7" spans="1:23" x14ac:dyDescent="0.25">
      <c r="A7" t="s">
        <v>6757</v>
      </c>
    </row>
    <row r="8" spans="1:23" x14ac:dyDescent="0.25">
      <c r="A8" t="s">
        <v>6758</v>
      </c>
    </row>
    <row r="9" spans="1:23" x14ac:dyDescent="0.25">
      <c r="A9" t="s">
        <v>6759</v>
      </c>
    </row>
    <row r="10" spans="1:23" x14ac:dyDescent="0.25">
      <c r="A10" t="s">
        <v>4047</v>
      </c>
    </row>
    <row r="11" spans="1:23" x14ac:dyDescent="0.25">
      <c r="A11" t="s">
        <v>6760</v>
      </c>
    </row>
    <row r="12" spans="1:23" x14ac:dyDescent="0.25">
      <c r="A12" t="s">
        <v>4081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B2" sqref="B2:L2"/>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68" t="s">
        <v>6699</v>
      </c>
      <c r="C2" s="168"/>
      <c r="D2" s="168"/>
      <c r="E2" s="168"/>
      <c r="F2" s="168"/>
      <c r="G2" s="168"/>
      <c r="H2" s="168"/>
      <c r="I2" s="168"/>
      <c r="J2" s="168"/>
      <c r="K2" s="168"/>
      <c r="L2" s="168"/>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57"/>
  <sheetViews>
    <sheetView workbookViewId="0">
      <selection activeCell="I19" sqref="I19"/>
    </sheetView>
  </sheetViews>
  <sheetFormatPr defaultColWidth="8.85546875" defaultRowHeight="12" x14ac:dyDescent="0.2"/>
  <cols>
    <col min="1" max="1" width="8.85546875" style="145" customWidth="1"/>
    <col min="2" max="2" width="10.7109375" style="140" customWidth="1"/>
    <col min="3" max="3" width="51.28515625" style="148" customWidth="1"/>
    <col min="4" max="4" width="12" style="148" customWidth="1"/>
    <col min="5" max="5" width="12.85546875" style="148" customWidth="1"/>
    <col min="6" max="6" width="3.85546875" style="145" customWidth="1"/>
    <col min="7" max="7" width="6.42578125" style="145" customWidth="1"/>
    <col min="8" max="8" width="10.7109375" style="140" customWidth="1"/>
    <col min="9" max="9" width="51.28515625" style="148" customWidth="1"/>
    <col min="10" max="10" width="12" style="148" customWidth="1"/>
    <col min="11" max="11" width="12.85546875" style="148" customWidth="1"/>
    <col min="12" max="12" width="3.85546875" style="145" customWidth="1"/>
    <col min="13" max="13" width="9.5703125" style="145" customWidth="1"/>
    <col min="14" max="14" width="13.140625" style="140" customWidth="1"/>
    <col min="15" max="15" width="28.42578125" style="148" customWidth="1"/>
    <col min="16" max="16" width="3.85546875" style="145" customWidth="1"/>
    <col min="17" max="17" width="9.5703125" style="145" customWidth="1"/>
    <col min="18" max="18" width="13.140625" style="140" customWidth="1"/>
    <col min="19" max="19" width="28.42578125" style="148" customWidth="1"/>
    <col min="20" max="20" width="3.85546875" style="145" customWidth="1"/>
    <col min="21" max="21" width="7.85546875" style="140" customWidth="1"/>
    <col min="22" max="22" width="14.85546875" style="145" customWidth="1"/>
    <col min="23" max="23" width="3.85546875" style="145" customWidth="1"/>
    <col min="24" max="24" width="11.28515625" style="145" customWidth="1"/>
    <col min="25" max="25" width="13.7109375" style="140" customWidth="1"/>
    <col min="26" max="26" width="3.85546875" style="145" customWidth="1"/>
    <col min="27" max="27" width="11.85546875" style="145" customWidth="1"/>
    <col min="28" max="28" width="15.5703125" style="140" customWidth="1"/>
    <col min="29" max="29" width="3.85546875" style="145" customWidth="1"/>
    <col min="30" max="16384" width="8.85546875" style="140"/>
  </cols>
  <sheetData>
    <row r="1" spans="1:29" ht="57" customHeight="1" x14ac:dyDescent="0.2">
      <c r="A1" s="136" t="s">
        <v>410</v>
      </c>
      <c r="B1" s="137" t="s">
        <v>6705</v>
      </c>
      <c r="C1" s="138" t="s">
        <v>6769</v>
      </c>
      <c r="D1" s="138" t="s">
        <v>4428</v>
      </c>
      <c r="E1" s="138" t="s">
        <v>6719</v>
      </c>
      <c r="F1" s="137"/>
      <c r="G1" s="136" t="s">
        <v>410</v>
      </c>
      <c r="H1" s="137" t="s">
        <v>6705</v>
      </c>
      <c r="I1" s="138" t="s">
        <v>6709</v>
      </c>
      <c r="J1" s="138" t="s">
        <v>4428</v>
      </c>
      <c r="K1" s="138" t="s">
        <v>6719</v>
      </c>
      <c r="L1" s="137"/>
      <c r="M1" s="136" t="s">
        <v>410</v>
      </c>
      <c r="N1" s="137" t="s">
        <v>6705</v>
      </c>
      <c r="O1" s="138" t="s">
        <v>6687</v>
      </c>
      <c r="P1" s="137"/>
      <c r="Q1" s="136" t="s">
        <v>410</v>
      </c>
      <c r="R1" s="137" t="s">
        <v>6704</v>
      </c>
      <c r="S1" s="138" t="s">
        <v>6687</v>
      </c>
      <c r="T1" s="137"/>
      <c r="U1" s="139" t="s">
        <v>410</v>
      </c>
      <c r="V1" s="137" t="s">
        <v>5634</v>
      </c>
      <c r="W1" s="137"/>
      <c r="X1" s="136" t="s">
        <v>5642</v>
      </c>
      <c r="Y1" s="137" t="s">
        <v>5636</v>
      </c>
      <c r="Z1" s="137"/>
      <c r="AA1" s="136" t="s">
        <v>5641</v>
      </c>
      <c r="AB1" s="137" t="s">
        <v>5640</v>
      </c>
      <c r="AC1" s="137"/>
    </row>
    <row r="2" spans="1:29" x14ac:dyDescent="0.2">
      <c r="A2" s="140" t="s">
        <v>59</v>
      </c>
      <c r="B2" s="141">
        <v>0</v>
      </c>
      <c r="C2" s="142" t="s">
        <v>6703</v>
      </c>
      <c r="D2" s="142" t="s">
        <v>6724</v>
      </c>
      <c r="E2" s="142" t="s">
        <v>4054</v>
      </c>
      <c r="F2" s="143"/>
      <c r="G2" s="140" t="s">
        <v>59</v>
      </c>
      <c r="H2" s="141">
        <v>15000</v>
      </c>
      <c r="I2" s="142" t="s">
        <v>6703</v>
      </c>
      <c r="J2" s="142" t="s">
        <v>6724</v>
      </c>
      <c r="K2" s="142" t="s">
        <v>4054</v>
      </c>
      <c r="L2" s="143"/>
      <c r="M2" s="140" t="s">
        <v>59</v>
      </c>
      <c r="N2" s="141">
        <v>0</v>
      </c>
      <c r="O2" s="142" t="s">
        <v>6703</v>
      </c>
      <c r="P2" s="143"/>
      <c r="Q2" s="140" t="s">
        <v>104</v>
      </c>
      <c r="R2" s="141">
        <v>0</v>
      </c>
      <c r="S2" s="142" t="s">
        <v>6691</v>
      </c>
      <c r="T2" s="143"/>
      <c r="U2" s="140" t="s">
        <v>104</v>
      </c>
      <c r="V2" s="141">
        <v>25000</v>
      </c>
      <c r="W2" s="143"/>
      <c r="X2" s="140" t="s">
        <v>104</v>
      </c>
      <c r="Y2" s="141">
        <v>20000</v>
      </c>
      <c r="Z2" s="143"/>
      <c r="AA2" s="140" t="s">
        <v>104</v>
      </c>
      <c r="AB2" s="141">
        <v>20000</v>
      </c>
      <c r="AC2" s="143"/>
    </row>
    <row r="3" spans="1:29" x14ac:dyDescent="0.2">
      <c r="A3" s="140" t="s">
        <v>104</v>
      </c>
      <c r="B3" s="141">
        <v>0</v>
      </c>
      <c r="C3" s="142" t="s">
        <v>6691</v>
      </c>
      <c r="D3" s="142" t="s">
        <v>6721</v>
      </c>
      <c r="E3" s="142" t="s">
        <v>6722</v>
      </c>
      <c r="F3" s="143"/>
      <c r="G3" s="140" t="s">
        <v>104</v>
      </c>
      <c r="H3" s="141">
        <v>15000</v>
      </c>
      <c r="I3" s="142" t="s">
        <v>6691</v>
      </c>
      <c r="J3" s="142" t="s">
        <v>6721</v>
      </c>
      <c r="K3" s="142" t="s">
        <v>6722</v>
      </c>
      <c r="L3" s="143"/>
      <c r="M3" s="140" t="s">
        <v>104</v>
      </c>
      <c r="N3" s="141">
        <v>0</v>
      </c>
      <c r="O3" s="142" t="s">
        <v>6691</v>
      </c>
      <c r="P3" s="143"/>
      <c r="Q3" s="140" t="s">
        <v>517</v>
      </c>
      <c r="R3" s="141">
        <v>0</v>
      </c>
      <c r="S3" s="142" t="s">
        <v>6690</v>
      </c>
      <c r="T3" s="143"/>
      <c r="U3" s="140" t="s">
        <v>26</v>
      </c>
      <c r="V3" s="141">
        <v>20000</v>
      </c>
      <c r="W3" s="143"/>
      <c r="X3" s="140" t="s">
        <v>26</v>
      </c>
      <c r="Y3" s="141">
        <v>20000</v>
      </c>
      <c r="Z3" s="143"/>
      <c r="AA3" s="140" t="s">
        <v>81</v>
      </c>
      <c r="AB3" s="141">
        <v>20000</v>
      </c>
      <c r="AC3" s="143"/>
    </row>
    <row r="4" spans="1:29" x14ac:dyDescent="0.2">
      <c r="A4" s="140" t="s">
        <v>5629</v>
      </c>
      <c r="B4" s="141">
        <v>0</v>
      </c>
      <c r="C4" s="142" t="s">
        <v>6708</v>
      </c>
      <c r="D4" s="142" t="s">
        <v>6721</v>
      </c>
      <c r="E4" s="142" t="s">
        <v>6722</v>
      </c>
      <c r="F4" s="143"/>
      <c r="G4" s="140" t="s">
        <v>5629</v>
      </c>
      <c r="H4" s="141">
        <v>12500</v>
      </c>
      <c r="I4" s="142" t="s">
        <v>6708</v>
      </c>
      <c r="J4" s="142" t="s">
        <v>6721</v>
      </c>
      <c r="K4" s="142" t="s">
        <v>6722</v>
      </c>
      <c r="L4" s="143"/>
      <c r="M4" s="140" t="s">
        <v>517</v>
      </c>
      <c r="N4" s="141">
        <v>0</v>
      </c>
      <c r="O4" s="142" t="s">
        <v>6690</v>
      </c>
      <c r="P4" s="143"/>
      <c r="Q4" s="140" t="s">
        <v>351</v>
      </c>
      <c r="R4" s="141">
        <v>0</v>
      </c>
      <c r="S4" s="142" t="s">
        <v>6690</v>
      </c>
      <c r="T4" s="143"/>
      <c r="U4" s="140" t="s">
        <v>51</v>
      </c>
      <c r="V4" s="141">
        <v>20000</v>
      </c>
      <c r="W4" s="143"/>
      <c r="X4" s="140" t="s">
        <v>81</v>
      </c>
      <c r="Y4" s="141">
        <v>20000</v>
      </c>
      <c r="Z4" s="143"/>
      <c r="AA4" s="140" t="s">
        <v>51</v>
      </c>
      <c r="AB4" s="141">
        <v>20000</v>
      </c>
      <c r="AC4" s="143"/>
    </row>
    <row r="5" spans="1:29" x14ac:dyDescent="0.2">
      <c r="A5" s="140" t="s">
        <v>6707</v>
      </c>
      <c r="B5" s="141">
        <v>0</v>
      </c>
      <c r="C5" s="142" t="s">
        <v>6738</v>
      </c>
      <c r="D5" s="142" t="s">
        <v>6721</v>
      </c>
      <c r="E5" s="142" t="s">
        <v>6722</v>
      </c>
      <c r="F5" s="143"/>
      <c r="G5" s="140" t="s">
        <v>6707</v>
      </c>
      <c r="H5" s="141">
        <v>7500</v>
      </c>
      <c r="I5" s="142" t="s">
        <v>6738</v>
      </c>
      <c r="J5" s="142" t="s">
        <v>6721</v>
      </c>
      <c r="K5" s="142" t="s">
        <v>6722</v>
      </c>
      <c r="L5" s="143"/>
      <c r="M5" s="140" t="s">
        <v>351</v>
      </c>
      <c r="N5" s="141">
        <v>0</v>
      </c>
      <c r="O5" s="142" t="s">
        <v>6690</v>
      </c>
      <c r="P5" s="143"/>
      <c r="Q5" s="140" t="s">
        <v>3164</v>
      </c>
      <c r="R5" s="141">
        <v>0</v>
      </c>
      <c r="S5" s="142" t="s">
        <v>6686</v>
      </c>
      <c r="T5" s="143"/>
      <c r="U5" s="140" t="s">
        <v>24</v>
      </c>
      <c r="V5" s="141">
        <v>20000</v>
      </c>
      <c r="W5" s="143"/>
      <c r="X5" s="140" t="s">
        <v>51</v>
      </c>
      <c r="Y5" s="141">
        <v>20000</v>
      </c>
      <c r="Z5" s="143"/>
      <c r="AA5" s="140" t="s">
        <v>24</v>
      </c>
      <c r="AB5" s="141">
        <v>20000</v>
      </c>
      <c r="AC5" s="143"/>
    </row>
    <row r="6" spans="1:29" x14ac:dyDescent="0.2">
      <c r="A6" s="140" t="s">
        <v>51</v>
      </c>
      <c r="B6" s="141">
        <v>0</v>
      </c>
      <c r="C6" s="142" t="s">
        <v>6739</v>
      </c>
      <c r="D6" s="142" t="s">
        <v>6721</v>
      </c>
      <c r="E6" s="142" t="s">
        <v>6722</v>
      </c>
      <c r="F6" s="143"/>
      <c r="G6" s="140" t="s">
        <v>51</v>
      </c>
      <c r="H6" s="141">
        <v>7500</v>
      </c>
      <c r="I6" s="142" t="s">
        <v>6739</v>
      </c>
      <c r="J6" s="142" t="s">
        <v>6721</v>
      </c>
      <c r="K6" s="142" t="s">
        <v>6722</v>
      </c>
      <c r="L6" s="143"/>
      <c r="M6" s="140" t="s">
        <v>3164</v>
      </c>
      <c r="N6" s="141">
        <v>0</v>
      </c>
      <c r="O6" s="142" t="s">
        <v>6686</v>
      </c>
      <c r="P6" s="143"/>
      <c r="Q6" s="140" t="s">
        <v>81</v>
      </c>
      <c r="R6" s="141">
        <v>0</v>
      </c>
      <c r="S6" s="142" t="s">
        <v>6686</v>
      </c>
      <c r="T6" s="143"/>
      <c r="U6" s="140" t="s">
        <v>3227</v>
      </c>
      <c r="V6" s="141">
        <v>20000</v>
      </c>
      <c r="W6" s="143"/>
      <c r="X6" s="140" t="s">
        <v>24</v>
      </c>
      <c r="Y6" s="141">
        <v>20000</v>
      </c>
      <c r="Z6" s="143"/>
      <c r="AA6" s="140" t="s">
        <v>3227</v>
      </c>
      <c r="AB6" s="141">
        <v>20000</v>
      </c>
      <c r="AC6" s="143"/>
    </row>
    <row r="7" spans="1:29" x14ac:dyDescent="0.2">
      <c r="A7" s="140" t="s">
        <v>9</v>
      </c>
      <c r="B7" s="141">
        <v>0</v>
      </c>
      <c r="C7" s="161" t="s">
        <v>6751</v>
      </c>
      <c r="D7" s="142" t="s">
        <v>6721</v>
      </c>
      <c r="E7" s="142" t="s">
        <v>6723</v>
      </c>
      <c r="F7" s="143"/>
      <c r="G7" s="140" t="s">
        <v>9</v>
      </c>
      <c r="H7" s="141">
        <v>7500</v>
      </c>
      <c r="I7" s="161" t="s">
        <v>6751</v>
      </c>
      <c r="J7" s="142" t="s">
        <v>6721</v>
      </c>
      <c r="K7" s="142" t="s">
        <v>6723</v>
      </c>
      <c r="L7" s="143"/>
      <c r="M7" s="140" t="s">
        <v>81</v>
      </c>
      <c r="N7" s="141">
        <v>0</v>
      </c>
      <c r="O7" s="142" t="s">
        <v>6686</v>
      </c>
      <c r="P7" s="143"/>
      <c r="Q7" s="140" t="s">
        <v>128</v>
      </c>
      <c r="R7" s="141">
        <v>0</v>
      </c>
      <c r="S7" s="142" t="s">
        <v>6686</v>
      </c>
      <c r="T7" s="143"/>
      <c r="U7" s="140" t="s">
        <v>351</v>
      </c>
      <c r="V7" s="141">
        <v>15000</v>
      </c>
      <c r="W7" s="143"/>
      <c r="X7" s="140" t="s">
        <v>3227</v>
      </c>
      <c r="Y7" s="141">
        <v>20000</v>
      </c>
      <c r="Z7" s="143"/>
      <c r="AA7" s="140" t="s">
        <v>13</v>
      </c>
      <c r="AB7" s="141">
        <v>15000</v>
      </c>
      <c r="AC7" s="143"/>
    </row>
    <row r="8" spans="1:29" x14ac:dyDescent="0.2">
      <c r="A8" s="140" t="s">
        <v>81</v>
      </c>
      <c r="B8" s="141">
        <v>0</v>
      </c>
      <c r="C8" s="142" t="s">
        <v>4671</v>
      </c>
      <c r="D8" s="142" t="s">
        <v>6720</v>
      </c>
      <c r="E8" s="142" t="s">
        <v>6726</v>
      </c>
      <c r="F8" s="143"/>
      <c r="G8" s="140" t="s">
        <v>81</v>
      </c>
      <c r="H8" s="141">
        <v>40000</v>
      </c>
      <c r="I8" s="142" t="s">
        <v>4671</v>
      </c>
      <c r="J8" s="142" t="s">
        <v>6720</v>
      </c>
      <c r="K8" s="142" t="s">
        <v>6726</v>
      </c>
      <c r="L8" s="143"/>
      <c r="M8" s="140" t="s">
        <v>128</v>
      </c>
      <c r="N8" s="141">
        <v>0</v>
      </c>
      <c r="O8" s="142" t="s">
        <v>6686</v>
      </c>
      <c r="P8" s="143"/>
      <c r="Q8" s="140" t="s">
        <v>438</v>
      </c>
      <c r="R8" s="141">
        <v>0</v>
      </c>
      <c r="S8" s="142" t="s">
        <v>6686</v>
      </c>
      <c r="T8" s="143"/>
      <c r="U8" s="140" t="s">
        <v>13</v>
      </c>
      <c r="V8" s="141">
        <v>15000</v>
      </c>
      <c r="W8" s="143"/>
      <c r="X8" s="140" t="s">
        <v>351</v>
      </c>
      <c r="Y8" s="141">
        <v>15000</v>
      </c>
      <c r="Z8" s="143"/>
      <c r="AA8" s="140" t="s">
        <v>517</v>
      </c>
      <c r="AB8" s="141">
        <v>10000</v>
      </c>
      <c r="AC8" s="143"/>
    </row>
    <row r="9" spans="1:29" x14ac:dyDescent="0.2">
      <c r="A9" s="140" t="s">
        <v>179</v>
      </c>
      <c r="B9" s="141">
        <v>0</v>
      </c>
      <c r="C9" s="142" t="s">
        <v>6711</v>
      </c>
      <c r="D9" s="142" t="s">
        <v>6720</v>
      </c>
      <c r="E9" s="142" t="s">
        <v>6726</v>
      </c>
      <c r="F9" s="143"/>
      <c r="G9" s="140" t="s">
        <v>179</v>
      </c>
      <c r="H9" s="141">
        <v>25000</v>
      </c>
      <c r="I9" s="142" t="s">
        <v>6711</v>
      </c>
      <c r="J9" s="142" t="s">
        <v>6720</v>
      </c>
      <c r="K9" s="142" t="s">
        <v>6726</v>
      </c>
      <c r="L9" s="143"/>
      <c r="M9" s="140" t="s">
        <v>438</v>
      </c>
      <c r="N9" s="141">
        <v>0</v>
      </c>
      <c r="O9" s="142" t="s">
        <v>6686</v>
      </c>
      <c r="P9" s="143"/>
      <c r="Q9" s="140" t="s">
        <v>199</v>
      </c>
      <c r="R9" s="141">
        <v>0</v>
      </c>
      <c r="S9" s="142" t="s">
        <v>6686</v>
      </c>
      <c r="T9" s="143"/>
      <c r="U9" s="140" t="s">
        <v>81</v>
      </c>
      <c r="V9" s="141">
        <v>15000</v>
      </c>
      <c r="W9" s="143"/>
      <c r="X9" s="140" t="s">
        <v>13</v>
      </c>
      <c r="Y9" s="141">
        <v>15000</v>
      </c>
      <c r="Z9" s="143"/>
      <c r="AA9" s="140" t="s">
        <v>351</v>
      </c>
      <c r="AB9" s="141">
        <v>10000</v>
      </c>
      <c r="AC9" s="143"/>
    </row>
    <row r="10" spans="1:29" x14ac:dyDescent="0.2">
      <c r="A10" s="140" t="s">
        <v>517</v>
      </c>
      <c r="B10" s="141">
        <v>0</v>
      </c>
      <c r="C10" s="142" t="s">
        <v>6690</v>
      </c>
      <c r="D10" s="142" t="s">
        <v>6727</v>
      </c>
      <c r="E10" s="142" t="s">
        <v>6728</v>
      </c>
      <c r="F10" s="143"/>
      <c r="G10" s="140" t="s">
        <v>517</v>
      </c>
      <c r="H10" s="141">
        <v>12500</v>
      </c>
      <c r="I10" s="142" t="s">
        <v>6690</v>
      </c>
      <c r="J10" s="142" t="s">
        <v>6727</v>
      </c>
      <c r="K10" s="142" t="s">
        <v>6728</v>
      </c>
      <c r="L10" s="143"/>
      <c r="M10" s="140" t="s">
        <v>199</v>
      </c>
      <c r="N10" s="141">
        <v>0</v>
      </c>
      <c r="O10" s="142" t="s">
        <v>6686</v>
      </c>
      <c r="P10" s="143"/>
      <c r="Q10" s="140" t="s">
        <v>13</v>
      </c>
      <c r="R10" s="141">
        <v>0</v>
      </c>
      <c r="S10" s="142" t="s">
        <v>4038</v>
      </c>
      <c r="T10" s="143"/>
      <c r="U10" s="140" t="s">
        <v>474</v>
      </c>
      <c r="V10" s="141">
        <v>15000</v>
      </c>
      <c r="W10" s="143"/>
      <c r="X10" s="140" t="s">
        <v>210</v>
      </c>
      <c r="Y10" s="141">
        <v>15000</v>
      </c>
      <c r="Z10" s="143"/>
      <c r="AA10" s="140" t="s">
        <v>441</v>
      </c>
      <c r="AB10" s="141">
        <v>10000</v>
      </c>
      <c r="AC10" s="143"/>
    </row>
    <row r="11" spans="1:29" x14ac:dyDescent="0.2">
      <c r="A11" s="140" t="s">
        <v>351</v>
      </c>
      <c r="B11" s="141">
        <v>0</v>
      </c>
      <c r="C11" s="142" t="s">
        <v>6690</v>
      </c>
      <c r="D11" s="142" t="s">
        <v>6727</v>
      </c>
      <c r="E11" s="142" t="s">
        <v>6728</v>
      </c>
      <c r="F11" s="143"/>
      <c r="G11" s="140" t="s">
        <v>351</v>
      </c>
      <c r="H11" s="141">
        <v>12500</v>
      </c>
      <c r="I11" s="142" t="s">
        <v>6690</v>
      </c>
      <c r="J11" s="142" t="s">
        <v>6727</v>
      </c>
      <c r="K11" s="142" t="s">
        <v>6728</v>
      </c>
      <c r="L11" s="143"/>
      <c r="M11" s="140" t="s">
        <v>13</v>
      </c>
      <c r="N11" s="141">
        <v>0</v>
      </c>
      <c r="O11" s="142" t="s">
        <v>4038</v>
      </c>
      <c r="P11" s="143"/>
      <c r="Q11" s="140" t="s">
        <v>441</v>
      </c>
      <c r="R11" s="141">
        <v>0</v>
      </c>
      <c r="S11" s="142" t="s">
        <v>4038</v>
      </c>
      <c r="T11" s="143"/>
      <c r="U11" s="140" t="s">
        <v>210</v>
      </c>
      <c r="V11" s="141">
        <v>15000</v>
      </c>
      <c r="W11" s="143"/>
      <c r="X11" s="140" t="s">
        <v>3255</v>
      </c>
      <c r="Y11" s="141">
        <v>10000</v>
      </c>
      <c r="Z11" s="143"/>
      <c r="AA11" s="140" t="s">
        <v>3255</v>
      </c>
      <c r="AB11" s="141">
        <v>10000</v>
      </c>
      <c r="AC11" s="143"/>
    </row>
    <row r="12" spans="1:29" x14ac:dyDescent="0.2">
      <c r="A12" s="140" t="s">
        <v>3164</v>
      </c>
      <c r="B12" s="141">
        <v>0</v>
      </c>
      <c r="C12" s="142" t="s">
        <v>6718</v>
      </c>
      <c r="D12" s="142" t="s">
        <v>6720</v>
      </c>
      <c r="E12" s="142" t="s">
        <v>6726</v>
      </c>
      <c r="F12" s="143"/>
      <c r="G12" s="140" t="s">
        <v>3164</v>
      </c>
      <c r="H12" s="141">
        <v>0</v>
      </c>
      <c r="I12" s="142" t="s">
        <v>6718</v>
      </c>
      <c r="J12" s="142" t="s">
        <v>6720</v>
      </c>
      <c r="K12" s="142" t="s">
        <v>6726</v>
      </c>
      <c r="L12" s="143"/>
      <c r="M12" s="140" t="s">
        <v>441</v>
      </c>
      <c r="N12" s="141">
        <v>0</v>
      </c>
      <c r="O12" s="142" t="s">
        <v>4038</v>
      </c>
      <c r="P12" s="143"/>
      <c r="Q12" s="140" t="s">
        <v>51</v>
      </c>
      <c r="R12" s="141">
        <v>0</v>
      </c>
      <c r="S12" s="142" t="s">
        <v>4038</v>
      </c>
      <c r="T12" s="143"/>
      <c r="U12" s="140" t="s">
        <v>5069</v>
      </c>
      <c r="V12" s="141">
        <v>10000</v>
      </c>
      <c r="W12" s="143"/>
      <c r="X12" s="140" t="s">
        <v>3207</v>
      </c>
      <c r="Y12" s="141">
        <v>10000</v>
      </c>
      <c r="Z12" s="143"/>
      <c r="AA12" s="140" t="s">
        <v>3207</v>
      </c>
      <c r="AB12" s="141">
        <v>10000</v>
      </c>
      <c r="AC12" s="143"/>
    </row>
    <row r="13" spans="1:29" x14ac:dyDescent="0.2">
      <c r="A13" s="140" t="s">
        <v>438</v>
      </c>
      <c r="B13" s="141">
        <v>0</v>
      </c>
      <c r="C13" s="142" t="s">
        <v>6712</v>
      </c>
      <c r="D13" s="142" t="s">
        <v>6720</v>
      </c>
      <c r="E13" s="142" t="s">
        <v>6726</v>
      </c>
      <c r="F13" s="143"/>
      <c r="G13" s="140" t="s">
        <v>438</v>
      </c>
      <c r="H13" s="141">
        <v>0</v>
      </c>
      <c r="I13" s="142" t="s">
        <v>6712</v>
      </c>
      <c r="J13" s="142" t="s">
        <v>6720</v>
      </c>
      <c r="K13" s="142" t="s">
        <v>6726</v>
      </c>
      <c r="L13" s="143"/>
      <c r="M13" s="140" t="s">
        <v>51</v>
      </c>
      <c r="N13" s="141">
        <v>0</v>
      </c>
      <c r="O13" s="142" t="s">
        <v>4038</v>
      </c>
      <c r="P13" s="143"/>
      <c r="Q13" s="140" t="s">
        <v>24</v>
      </c>
      <c r="R13" s="141">
        <v>0</v>
      </c>
      <c r="S13" s="142" t="s">
        <v>4038</v>
      </c>
      <c r="T13" s="143"/>
      <c r="U13" s="140" t="s">
        <v>3255</v>
      </c>
      <c r="V13" s="141">
        <v>10000</v>
      </c>
      <c r="W13" s="143"/>
      <c r="X13" s="140" t="s">
        <v>1895</v>
      </c>
      <c r="Y13" s="141">
        <v>10000</v>
      </c>
      <c r="Z13" s="143"/>
      <c r="AA13" s="140" t="s">
        <v>1895</v>
      </c>
      <c r="AB13" s="141">
        <v>10000</v>
      </c>
      <c r="AC13" s="143"/>
    </row>
    <row r="14" spans="1:29" x14ac:dyDescent="0.2">
      <c r="A14" s="140" t="s">
        <v>13</v>
      </c>
      <c r="B14" s="141">
        <v>0</v>
      </c>
      <c r="C14" s="142" t="s">
        <v>6714</v>
      </c>
      <c r="D14" s="142" t="s">
        <v>6720</v>
      </c>
      <c r="E14" s="142" t="s">
        <v>6726</v>
      </c>
      <c r="F14" s="143"/>
      <c r="G14" s="140" t="s">
        <v>199</v>
      </c>
      <c r="H14" s="141">
        <v>0</v>
      </c>
      <c r="I14" s="142" t="s">
        <v>6713</v>
      </c>
      <c r="J14" s="142" t="s">
        <v>6720</v>
      </c>
      <c r="K14" s="142" t="s">
        <v>6726</v>
      </c>
      <c r="L14" s="143"/>
      <c r="M14" s="140" t="s">
        <v>24</v>
      </c>
      <c r="N14" s="141">
        <v>0</v>
      </c>
      <c r="O14" s="142" t="s">
        <v>4038</v>
      </c>
      <c r="P14" s="143"/>
      <c r="Q14" s="140" t="s">
        <v>3227</v>
      </c>
      <c r="R14" s="141">
        <v>0</v>
      </c>
      <c r="S14" s="142" t="s">
        <v>6693</v>
      </c>
      <c r="T14" s="143"/>
      <c r="U14" s="140" t="s">
        <v>3207</v>
      </c>
      <c r="V14" s="141">
        <v>10000</v>
      </c>
      <c r="W14" s="143"/>
      <c r="X14" s="140" t="s">
        <v>438</v>
      </c>
      <c r="Y14" s="141">
        <v>10000</v>
      </c>
      <c r="Z14" s="143"/>
      <c r="AA14" s="140" t="s">
        <v>438</v>
      </c>
      <c r="AB14" s="141">
        <v>10000</v>
      </c>
      <c r="AC14" s="143"/>
    </row>
    <row r="15" spans="1:29" x14ac:dyDescent="0.2">
      <c r="A15" s="140" t="s">
        <v>441</v>
      </c>
      <c r="B15" s="141">
        <v>0</v>
      </c>
      <c r="C15" s="142" t="s">
        <v>6716</v>
      </c>
      <c r="D15" s="142" t="s">
        <v>6720</v>
      </c>
      <c r="E15" s="142" t="s">
        <v>6729</v>
      </c>
      <c r="F15" s="143"/>
      <c r="G15" s="140" t="s">
        <v>13</v>
      </c>
      <c r="H15" s="141">
        <v>0</v>
      </c>
      <c r="I15" s="142" t="s">
        <v>6714</v>
      </c>
      <c r="J15" s="142" t="s">
        <v>6720</v>
      </c>
      <c r="K15" s="142" t="s">
        <v>6726</v>
      </c>
      <c r="L15" s="143"/>
      <c r="M15" s="140" t="s">
        <v>3227</v>
      </c>
      <c r="N15" s="141">
        <v>0</v>
      </c>
      <c r="O15" s="142" t="s">
        <v>6693</v>
      </c>
      <c r="P15" s="143"/>
      <c r="Q15" s="140" t="s">
        <v>26</v>
      </c>
      <c r="R15" s="141">
        <v>0</v>
      </c>
      <c r="S15" s="142" t="s">
        <v>6689</v>
      </c>
      <c r="T15" s="143"/>
      <c r="U15" s="140" t="s">
        <v>1895</v>
      </c>
      <c r="V15" s="141">
        <v>10000</v>
      </c>
      <c r="W15" s="143"/>
      <c r="X15" s="140" t="s">
        <v>474</v>
      </c>
      <c r="Y15" s="141">
        <v>10000</v>
      </c>
      <c r="Z15" s="143"/>
      <c r="AA15" s="140" t="s">
        <v>474</v>
      </c>
      <c r="AB15" s="141">
        <v>10000</v>
      </c>
      <c r="AC15" s="143"/>
    </row>
    <row r="16" spans="1:29" x14ac:dyDescent="0.2">
      <c r="A16" s="140" t="s">
        <v>3227</v>
      </c>
      <c r="B16" s="141">
        <v>0</v>
      </c>
      <c r="C16" s="142" t="s">
        <v>6715</v>
      </c>
      <c r="D16" s="142" t="s">
        <v>6720</v>
      </c>
      <c r="E16" s="142" t="s">
        <v>6730</v>
      </c>
      <c r="F16" s="143"/>
      <c r="G16" s="140" t="s">
        <v>441</v>
      </c>
      <c r="H16" s="141">
        <v>0</v>
      </c>
      <c r="I16" s="142" t="s">
        <v>6716</v>
      </c>
      <c r="J16" s="142" t="s">
        <v>6720</v>
      </c>
      <c r="K16" s="142" t="s">
        <v>6729</v>
      </c>
      <c r="L16" s="143"/>
      <c r="M16" s="140" t="s">
        <v>26</v>
      </c>
      <c r="N16" s="141">
        <v>0</v>
      </c>
      <c r="O16" s="142" t="s">
        <v>6689</v>
      </c>
      <c r="P16" s="143"/>
      <c r="Q16" s="140" t="s">
        <v>3231</v>
      </c>
      <c r="R16" s="141">
        <v>0</v>
      </c>
      <c r="S16" s="142" t="s">
        <v>6689</v>
      </c>
      <c r="T16" s="143"/>
      <c r="U16" s="140" t="s">
        <v>438</v>
      </c>
      <c r="V16" s="141">
        <v>10000</v>
      </c>
      <c r="W16" s="143"/>
      <c r="X16" s="140" t="s">
        <v>3244</v>
      </c>
      <c r="Y16" s="141">
        <v>10000</v>
      </c>
      <c r="Z16" s="143"/>
      <c r="AA16" s="140" t="s">
        <v>3244</v>
      </c>
      <c r="AB16" s="141">
        <v>10000</v>
      </c>
      <c r="AC16" s="143"/>
    </row>
    <row r="17" spans="1:29" x14ac:dyDescent="0.2">
      <c r="A17" s="140" t="s">
        <v>24</v>
      </c>
      <c r="B17" s="141">
        <v>0</v>
      </c>
      <c r="C17" s="142" t="s">
        <v>6714</v>
      </c>
      <c r="D17" s="142" t="s">
        <v>6724</v>
      </c>
      <c r="E17" s="142" t="s">
        <v>6731</v>
      </c>
      <c r="F17" s="143"/>
      <c r="G17" s="140" t="s">
        <v>3227</v>
      </c>
      <c r="H17" s="141">
        <v>0</v>
      </c>
      <c r="I17" s="142" t="s">
        <v>6715</v>
      </c>
      <c r="J17" s="142" t="s">
        <v>6720</v>
      </c>
      <c r="K17" s="142" t="s">
        <v>6730</v>
      </c>
      <c r="L17" s="143"/>
      <c r="M17" s="140" t="s">
        <v>1895</v>
      </c>
      <c r="N17" s="141">
        <v>0</v>
      </c>
      <c r="O17" s="142" t="s">
        <v>6688</v>
      </c>
      <c r="P17" s="143"/>
      <c r="Q17" s="140" t="s">
        <v>3244</v>
      </c>
      <c r="R17" s="141">
        <v>0</v>
      </c>
      <c r="S17" s="142" t="s">
        <v>6689</v>
      </c>
      <c r="T17" s="143"/>
      <c r="U17" s="140" t="s">
        <v>3244</v>
      </c>
      <c r="V17" s="141">
        <v>10000</v>
      </c>
      <c r="W17" s="143"/>
      <c r="X17" s="140" t="s">
        <v>391</v>
      </c>
      <c r="Y17" s="141">
        <v>5000</v>
      </c>
      <c r="Z17" s="143"/>
      <c r="AA17" s="140" t="s">
        <v>391</v>
      </c>
      <c r="AB17" s="141">
        <v>5000</v>
      </c>
      <c r="AC17" s="143"/>
    </row>
    <row r="18" spans="1:29" x14ac:dyDescent="0.2">
      <c r="A18" s="140" t="s">
        <v>6710</v>
      </c>
      <c r="B18" s="141">
        <v>0</v>
      </c>
      <c r="C18" s="142" t="s">
        <v>6689</v>
      </c>
      <c r="D18" s="142" t="s">
        <v>6721</v>
      </c>
      <c r="E18" s="142" t="s">
        <v>6732</v>
      </c>
      <c r="F18" s="143"/>
      <c r="G18" s="140" t="s">
        <v>24</v>
      </c>
      <c r="H18" s="141">
        <v>0</v>
      </c>
      <c r="I18" s="142" t="s">
        <v>6714</v>
      </c>
      <c r="J18" s="142" t="s">
        <v>6724</v>
      </c>
      <c r="K18" s="142" t="s">
        <v>6731</v>
      </c>
      <c r="L18" s="143"/>
      <c r="M18" s="140" t="s">
        <v>3395</v>
      </c>
      <c r="N18" s="141">
        <v>0</v>
      </c>
      <c r="O18" s="142" t="s">
        <v>6698</v>
      </c>
      <c r="P18" s="143"/>
      <c r="Q18" s="140" t="s">
        <v>1895</v>
      </c>
      <c r="R18" s="141">
        <v>0</v>
      </c>
      <c r="S18" s="142" t="s">
        <v>6688</v>
      </c>
      <c r="T18" s="143"/>
      <c r="U18" s="140" t="s">
        <v>391</v>
      </c>
      <c r="V18" s="141">
        <v>5000</v>
      </c>
      <c r="W18" s="143"/>
      <c r="X18" s="140" t="s">
        <v>273</v>
      </c>
      <c r="Y18" s="141">
        <v>5000</v>
      </c>
      <c r="Z18" s="143"/>
      <c r="AA18" s="140" t="s">
        <v>273</v>
      </c>
      <c r="AB18" s="141">
        <v>5000</v>
      </c>
      <c r="AC18" s="143"/>
    </row>
    <row r="19" spans="1:29" x14ac:dyDescent="0.2">
      <c r="A19" s="140" t="s">
        <v>3231</v>
      </c>
      <c r="B19" s="141">
        <v>0</v>
      </c>
      <c r="C19" s="142" t="s">
        <v>6702</v>
      </c>
      <c r="D19" s="142" t="s">
        <v>6721</v>
      </c>
      <c r="E19" s="142" t="s">
        <v>6733</v>
      </c>
      <c r="F19" s="143"/>
      <c r="G19" s="140" t="s">
        <v>6710</v>
      </c>
      <c r="H19" s="141">
        <v>0</v>
      </c>
      <c r="I19" s="142" t="s">
        <v>6689</v>
      </c>
      <c r="J19" s="142" t="s">
        <v>6721</v>
      </c>
      <c r="K19" s="142" t="s">
        <v>6732</v>
      </c>
      <c r="L19" s="143"/>
      <c r="M19" s="140" t="s">
        <v>3223</v>
      </c>
      <c r="N19" s="141">
        <v>0</v>
      </c>
      <c r="O19" s="142" t="s">
        <v>6698</v>
      </c>
      <c r="P19" s="143"/>
      <c r="Q19" s="140" t="s">
        <v>3395</v>
      </c>
      <c r="R19" s="141">
        <v>0</v>
      </c>
      <c r="S19" s="142" t="s">
        <v>6698</v>
      </c>
      <c r="T19" s="143"/>
      <c r="U19" s="140" t="s">
        <v>273</v>
      </c>
      <c r="V19" s="141">
        <v>5000</v>
      </c>
      <c r="W19" s="143"/>
      <c r="X19" s="140" t="s">
        <v>5069</v>
      </c>
      <c r="Y19" s="141">
        <v>5000</v>
      </c>
      <c r="Z19" s="143"/>
      <c r="AA19" s="140" t="s">
        <v>5069</v>
      </c>
      <c r="AB19" s="141">
        <v>5000</v>
      </c>
      <c r="AC19" s="143"/>
    </row>
    <row r="20" spans="1:29" x14ac:dyDescent="0.2">
      <c r="A20" s="140" t="s">
        <v>3244</v>
      </c>
      <c r="B20" s="141">
        <v>0</v>
      </c>
      <c r="C20" s="160" t="s">
        <v>6750</v>
      </c>
      <c r="D20" s="142" t="s">
        <v>6721</v>
      </c>
      <c r="E20" s="142" t="s">
        <v>6734</v>
      </c>
      <c r="F20" s="143"/>
      <c r="G20" s="140" t="s">
        <v>3231</v>
      </c>
      <c r="H20" s="141">
        <v>0</v>
      </c>
      <c r="I20" s="142" t="s">
        <v>6702</v>
      </c>
      <c r="J20" s="142" t="s">
        <v>6721</v>
      </c>
      <c r="K20" s="142" t="s">
        <v>6733</v>
      </c>
      <c r="L20" s="143"/>
      <c r="M20" s="140" t="s">
        <v>391</v>
      </c>
      <c r="N20" s="141">
        <v>0</v>
      </c>
      <c r="O20" s="142" t="s">
        <v>6692</v>
      </c>
      <c r="P20" s="143"/>
      <c r="Q20" s="140" t="s">
        <v>3223</v>
      </c>
      <c r="R20" s="141">
        <v>0</v>
      </c>
      <c r="S20" s="142" t="s">
        <v>6698</v>
      </c>
      <c r="T20" s="143"/>
      <c r="U20" s="140" t="s">
        <v>384</v>
      </c>
      <c r="V20" s="141">
        <v>5000</v>
      </c>
      <c r="W20" s="143"/>
      <c r="X20" s="140" t="s">
        <v>384</v>
      </c>
      <c r="Y20" s="141">
        <v>5000</v>
      </c>
      <c r="Z20" s="143"/>
      <c r="AA20" s="140" t="s">
        <v>384</v>
      </c>
      <c r="AB20" s="141">
        <v>5000</v>
      </c>
      <c r="AC20" s="143"/>
    </row>
    <row r="21" spans="1:29" x14ac:dyDescent="0.2">
      <c r="A21" s="140" t="s">
        <v>1895</v>
      </c>
      <c r="B21" s="141">
        <v>0</v>
      </c>
      <c r="C21" s="142" t="s">
        <v>6688</v>
      </c>
      <c r="D21" s="142" t="s">
        <v>6720</v>
      </c>
      <c r="E21" s="142" t="s">
        <v>6725</v>
      </c>
      <c r="F21" s="143"/>
      <c r="G21" s="140" t="s">
        <v>3244</v>
      </c>
      <c r="H21" s="141">
        <v>0</v>
      </c>
      <c r="I21" s="160" t="s">
        <v>6750</v>
      </c>
      <c r="J21" s="142" t="s">
        <v>6721</v>
      </c>
      <c r="K21" s="142" t="s">
        <v>6734</v>
      </c>
      <c r="L21" s="143"/>
      <c r="M21" s="140" t="s">
        <v>384</v>
      </c>
      <c r="N21" s="141">
        <v>0</v>
      </c>
      <c r="O21" s="142" t="s">
        <v>6692</v>
      </c>
      <c r="P21" s="143"/>
      <c r="Q21" s="140" t="s">
        <v>391</v>
      </c>
      <c r="R21" s="141">
        <v>0</v>
      </c>
      <c r="S21" s="142" t="s">
        <v>6692</v>
      </c>
      <c r="T21" s="143"/>
      <c r="U21" s="140" t="s">
        <v>128</v>
      </c>
      <c r="V21" s="141">
        <v>5000</v>
      </c>
      <c r="W21" s="143"/>
      <c r="X21" s="140" t="s">
        <v>128</v>
      </c>
      <c r="Y21" s="141">
        <v>5000</v>
      </c>
      <c r="Z21" s="143"/>
      <c r="AA21" s="140" t="s">
        <v>128</v>
      </c>
      <c r="AB21" s="141">
        <v>5000</v>
      </c>
      <c r="AC21" s="143"/>
    </row>
    <row r="22" spans="1:29" x14ac:dyDescent="0.2">
      <c r="A22" s="140" t="s">
        <v>3395</v>
      </c>
      <c r="B22" s="141">
        <v>0</v>
      </c>
      <c r="C22" s="142" t="s">
        <v>6698</v>
      </c>
      <c r="D22" s="142" t="s">
        <v>6720</v>
      </c>
      <c r="E22" s="142" t="s">
        <v>6734</v>
      </c>
      <c r="F22" s="143"/>
      <c r="G22" s="140" t="s">
        <v>1895</v>
      </c>
      <c r="H22" s="141">
        <v>0</v>
      </c>
      <c r="I22" s="142" t="s">
        <v>6688</v>
      </c>
      <c r="J22" s="142" t="s">
        <v>6720</v>
      </c>
      <c r="K22" s="142" t="s">
        <v>6725</v>
      </c>
      <c r="L22" s="143"/>
      <c r="M22" s="140" t="s">
        <v>5633</v>
      </c>
      <c r="N22" s="141">
        <v>0</v>
      </c>
      <c r="O22" s="142" t="s">
        <v>6692</v>
      </c>
      <c r="P22" s="143"/>
      <c r="Q22" s="140" t="s">
        <v>384</v>
      </c>
      <c r="R22" s="141">
        <v>0</v>
      </c>
      <c r="S22" s="142" t="s">
        <v>6692</v>
      </c>
      <c r="T22" s="143"/>
      <c r="U22" s="140" t="s">
        <v>179</v>
      </c>
      <c r="V22" s="141">
        <v>5000</v>
      </c>
      <c r="W22" s="143"/>
      <c r="X22" s="140" t="s">
        <v>179</v>
      </c>
      <c r="Y22" s="141">
        <v>5000</v>
      </c>
      <c r="Z22" s="143"/>
      <c r="AA22" s="140" t="s">
        <v>179</v>
      </c>
      <c r="AB22" s="141">
        <v>5000</v>
      </c>
      <c r="AC22" s="143"/>
    </row>
    <row r="23" spans="1:29" x14ac:dyDescent="0.2">
      <c r="A23" s="140" t="s">
        <v>3223</v>
      </c>
      <c r="B23" s="141">
        <v>0</v>
      </c>
      <c r="C23" s="142" t="s">
        <v>6698</v>
      </c>
      <c r="D23" s="142" t="s">
        <v>6720</v>
      </c>
      <c r="E23" s="142" t="s">
        <v>6734</v>
      </c>
      <c r="F23" s="143"/>
      <c r="G23" s="140" t="s">
        <v>3395</v>
      </c>
      <c r="H23" s="141">
        <v>0</v>
      </c>
      <c r="I23" s="142" t="s">
        <v>6698</v>
      </c>
      <c r="J23" s="142" t="s">
        <v>6720</v>
      </c>
      <c r="K23" s="142" t="s">
        <v>6734</v>
      </c>
      <c r="L23" s="143"/>
      <c r="M23" s="140" t="s">
        <v>5069</v>
      </c>
      <c r="N23" s="141">
        <v>0</v>
      </c>
      <c r="O23" s="142" t="s">
        <v>6694</v>
      </c>
      <c r="P23" s="143"/>
      <c r="Q23" s="140" t="s">
        <v>5633</v>
      </c>
      <c r="R23" s="141">
        <v>0</v>
      </c>
      <c r="S23" s="142" t="s">
        <v>6692</v>
      </c>
      <c r="T23" s="143"/>
      <c r="U23" s="140" t="s">
        <v>308</v>
      </c>
      <c r="V23" s="141">
        <v>5000</v>
      </c>
      <c r="W23" s="143"/>
      <c r="X23" s="140" t="s">
        <v>308</v>
      </c>
      <c r="Y23" s="141">
        <v>5000</v>
      </c>
      <c r="Z23" s="143"/>
      <c r="AA23" s="140" t="s">
        <v>308</v>
      </c>
      <c r="AB23" s="141">
        <v>5000</v>
      </c>
      <c r="AC23" s="143"/>
    </row>
    <row r="24" spans="1:29" x14ac:dyDescent="0.2">
      <c r="A24" s="140" t="s">
        <v>5069</v>
      </c>
      <c r="B24" s="141">
        <v>0</v>
      </c>
      <c r="C24" s="142" t="s">
        <v>6717</v>
      </c>
      <c r="D24" s="142" t="s">
        <v>6727</v>
      </c>
      <c r="E24" s="142" t="s">
        <v>6732</v>
      </c>
      <c r="F24" s="143"/>
      <c r="G24" s="140" t="s">
        <v>3223</v>
      </c>
      <c r="H24" s="141">
        <v>0</v>
      </c>
      <c r="I24" s="142" t="s">
        <v>6698</v>
      </c>
      <c r="J24" s="142" t="s">
        <v>6720</v>
      </c>
      <c r="K24" s="142" t="s">
        <v>6734</v>
      </c>
      <c r="L24" s="143"/>
      <c r="M24" s="140" t="s">
        <v>3207</v>
      </c>
      <c r="N24" s="141">
        <v>0</v>
      </c>
      <c r="O24" s="142" t="s">
        <v>6696</v>
      </c>
      <c r="P24" s="143"/>
      <c r="Q24" s="140" t="s">
        <v>5069</v>
      </c>
      <c r="R24" s="141">
        <v>0</v>
      </c>
      <c r="S24" s="142" t="s">
        <v>6694</v>
      </c>
      <c r="T24" s="143"/>
      <c r="U24" s="140" t="s">
        <v>5633</v>
      </c>
      <c r="V24" s="141">
        <v>5000</v>
      </c>
      <c r="W24" s="143"/>
      <c r="X24" s="140" t="s">
        <v>5633</v>
      </c>
      <c r="Y24" s="141">
        <v>5000</v>
      </c>
      <c r="Z24" s="143"/>
      <c r="AA24" s="140" t="s">
        <v>5633</v>
      </c>
      <c r="AB24" s="141">
        <v>5000</v>
      </c>
      <c r="AC24" s="143"/>
    </row>
    <row r="25" spans="1:29" x14ac:dyDescent="0.2">
      <c r="A25" s="140" t="s">
        <v>3255</v>
      </c>
      <c r="B25" s="141">
        <v>0</v>
      </c>
      <c r="C25" s="142" t="s">
        <v>6701</v>
      </c>
      <c r="D25" s="142" t="s">
        <v>6720</v>
      </c>
      <c r="E25" s="142" t="s">
        <v>6730</v>
      </c>
      <c r="F25" s="144"/>
      <c r="G25" s="140" t="s">
        <v>5069</v>
      </c>
      <c r="H25" s="141">
        <v>0</v>
      </c>
      <c r="I25" s="142" t="s">
        <v>6717</v>
      </c>
      <c r="J25" s="142" t="s">
        <v>6727</v>
      </c>
      <c r="K25" s="142" t="s">
        <v>6732</v>
      </c>
      <c r="L25" s="144"/>
      <c r="M25" s="140" t="s">
        <v>409</v>
      </c>
      <c r="N25" s="141">
        <v>0</v>
      </c>
      <c r="O25" s="142" t="s">
        <v>6700</v>
      </c>
      <c r="P25" s="144"/>
      <c r="Q25" s="140" t="s">
        <v>3207</v>
      </c>
      <c r="R25" s="141">
        <v>0</v>
      </c>
      <c r="S25" s="142" t="s">
        <v>6696</v>
      </c>
      <c r="T25" s="144"/>
      <c r="W25" s="144"/>
      <c r="X25" s="140"/>
      <c r="Z25" s="144"/>
      <c r="AA25" s="140"/>
      <c r="AC25" s="144"/>
    </row>
    <row r="26" spans="1:29" x14ac:dyDescent="0.2">
      <c r="A26" s="140" t="s">
        <v>409</v>
      </c>
      <c r="B26" s="141">
        <v>0</v>
      </c>
      <c r="C26" s="142" t="s">
        <v>6700</v>
      </c>
      <c r="D26" s="142" t="s">
        <v>6724</v>
      </c>
      <c r="E26" s="142" t="s">
        <v>6731</v>
      </c>
      <c r="F26" s="146"/>
      <c r="G26" s="140" t="s">
        <v>3255</v>
      </c>
      <c r="H26" s="141">
        <v>0</v>
      </c>
      <c r="I26" s="142" t="s">
        <v>6701</v>
      </c>
      <c r="J26" s="142" t="s">
        <v>6720</v>
      </c>
      <c r="K26" s="142" t="s">
        <v>6730</v>
      </c>
      <c r="L26" s="146"/>
      <c r="M26" s="140" t="s">
        <v>3255</v>
      </c>
      <c r="N26" s="141">
        <v>0</v>
      </c>
      <c r="O26" s="142" t="s">
        <v>6701</v>
      </c>
      <c r="P26" s="146"/>
      <c r="Q26" s="140" t="s">
        <v>409</v>
      </c>
      <c r="R26" s="141">
        <v>0</v>
      </c>
      <c r="S26" s="142" t="s">
        <v>6700</v>
      </c>
      <c r="T26" s="146"/>
      <c r="U26" s="41"/>
      <c r="V26" s="147"/>
      <c r="W26" s="146"/>
      <c r="X26" s="41"/>
      <c r="Y26" s="147"/>
      <c r="Z26" s="146"/>
      <c r="AA26" s="41"/>
      <c r="AB26" s="147"/>
      <c r="AC26" s="146"/>
    </row>
    <row r="27" spans="1:29" x14ac:dyDescent="0.2">
      <c r="A27" s="140" t="s">
        <v>76</v>
      </c>
      <c r="B27" s="141">
        <v>0</v>
      </c>
      <c r="C27" s="142" t="s">
        <v>6736</v>
      </c>
      <c r="D27" s="142"/>
      <c r="E27" s="142"/>
      <c r="F27" s="144"/>
      <c r="G27" s="140" t="s">
        <v>3207</v>
      </c>
      <c r="H27" s="141">
        <v>0</v>
      </c>
      <c r="I27" s="142" t="s">
        <v>6696</v>
      </c>
      <c r="J27" s="142" t="s">
        <v>6727</v>
      </c>
      <c r="K27" s="142" t="s">
        <v>6735</v>
      </c>
      <c r="L27" s="144"/>
      <c r="M27" s="140" t="s">
        <v>3231</v>
      </c>
      <c r="N27" s="141">
        <v>0</v>
      </c>
      <c r="O27" s="142" t="s">
        <v>6702</v>
      </c>
      <c r="P27" s="144"/>
      <c r="Q27" s="140" t="s">
        <v>3255</v>
      </c>
      <c r="R27" s="141">
        <v>0</v>
      </c>
      <c r="S27" s="142" t="s">
        <v>6695</v>
      </c>
      <c r="T27" s="144"/>
      <c r="W27" s="144"/>
      <c r="Z27" s="144"/>
      <c r="AC27" s="144"/>
    </row>
    <row r="28" spans="1:29" x14ac:dyDescent="0.2">
      <c r="A28" s="140" t="s">
        <v>3178</v>
      </c>
      <c r="B28" s="141">
        <v>0</v>
      </c>
      <c r="C28" s="142" t="s">
        <v>6737</v>
      </c>
      <c r="D28" s="142"/>
      <c r="E28" s="142"/>
      <c r="F28" s="144"/>
      <c r="G28" s="140" t="s">
        <v>409</v>
      </c>
      <c r="H28" s="141">
        <v>0</v>
      </c>
      <c r="I28" s="142" t="s">
        <v>6700</v>
      </c>
      <c r="J28" s="142" t="s">
        <v>6724</v>
      </c>
      <c r="K28" s="142" t="s">
        <v>6731</v>
      </c>
      <c r="L28" s="144"/>
      <c r="M28" s="140" t="s">
        <v>3244</v>
      </c>
      <c r="N28" s="141">
        <v>0</v>
      </c>
      <c r="O28" s="142" t="s">
        <v>6702</v>
      </c>
      <c r="P28" s="144"/>
      <c r="Q28" s="140" t="s">
        <v>4070</v>
      </c>
      <c r="R28" s="141">
        <v>0</v>
      </c>
      <c r="S28" s="142" t="s">
        <v>6697</v>
      </c>
      <c r="T28" s="144"/>
      <c r="W28" s="144"/>
      <c r="Z28" s="144"/>
      <c r="AC28" s="144"/>
    </row>
    <row r="29" spans="1:29" x14ac:dyDescent="0.2">
      <c r="A29" s="157" t="s">
        <v>210</v>
      </c>
      <c r="B29" s="141">
        <v>0</v>
      </c>
      <c r="C29" s="156" t="s">
        <v>6741</v>
      </c>
      <c r="D29" s="142"/>
      <c r="E29" s="142"/>
      <c r="F29" s="144"/>
      <c r="G29" s="140" t="s">
        <v>76</v>
      </c>
      <c r="H29" s="141">
        <v>0</v>
      </c>
      <c r="I29" s="142" t="s">
        <v>6736</v>
      </c>
      <c r="J29" s="142"/>
      <c r="K29" s="142"/>
      <c r="L29" s="144"/>
      <c r="M29" s="140" t="s">
        <v>4070</v>
      </c>
      <c r="N29" s="141">
        <v>0</v>
      </c>
      <c r="O29" s="142" t="s">
        <v>6697</v>
      </c>
      <c r="P29" s="144"/>
      <c r="Q29" s="140"/>
      <c r="R29" s="141"/>
      <c r="S29" s="142"/>
      <c r="T29" s="144"/>
      <c r="W29" s="144"/>
      <c r="Z29" s="144"/>
      <c r="AC29" s="144"/>
    </row>
    <row r="30" spans="1:29" x14ac:dyDescent="0.2">
      <c r="A30" s="163" t="s">
        <v>32</v>
      </c>
      <c r="B30" s="141">
        <v>0</v>
      </c>
      <c r="C30" s="163" t="s">
        <v>6770</v>
      </c>
      <c r="F30" s="144"/>
      <c r="G30" s="140" t="s">
        <v>3178</v>
      </c>
      <c r="H30" s="141">
        <v>0</v>
      </c>
      <c r="I30" s="142" t="s">
        <v>6737</v>
      </c>
      <c r="J30" s="142"/>
      <c r="K30" s="142"/>
      <c r="L30" s="144"/>
      <c r="P30" s="144"/>
      <c r="Q30" s="140"/>
      <c r="R30" s="141"/>
      <c r="S30" s="142"/>
      <c r="T30" s="144"/>
      <c r="W30" s="144"/>
      <c r="Z30" s="144"/>
      <c r="AC30" s="144"/>
    </row>
    <row r="31" spans="1:29" x14ac:dyDescent="0.2">
      <c r="A31" s="163" t="s">
        <v>150</v>
      </c>
      <c r="B31" s="141">
        <v>0</v>
      </c>
      <c r="C31" s="163"/>
      <c r="F31" s="144"/>
      <c r="G31" s="157" t="s">
        <v>210</v>
      </c>
      <c r="H31" s="141">
        <v>0</v>
      </c>
      <c r="I31" s="156" t="s">
        <v>6741</v>
      </c>
      <c r="J31" s="142"/>
      <c r="K31" s="142"/>
      <c r="L31" s="144"/>
      <c r="M31" s="140"/>
      <c r="N31" s="141"/>
      <c r="O31" s="142"/>
      <c r="P31" s="144"/>
      <c r="Q31" s="140"/>
      <c r="R31" s="141"/>
      <c r="S31" s="142"/>
      <c r="T31" s="144"/>
      <c r="W31" s="144"/>
      <c r="Z31" s="144"/>
      <c r="AC31" s="144"/>
    </row>
    <row r="32" spans="1:29" x14ac:dyDescent="0.2">
      <c r="F32" s="144"/>
      <c r="L32" s="144"/>
      <c r="M32" s="140"/>
      <c r="N32" s="141"/>
      <c r="O32" s="142"/>
      <c r="P32" s="144"/>
      <c r="Q32" s="140"/>
      <c r="R32" s="141"/>
      <c r="S32" s="142"/>
      <c r="T32" s="144"/>
      <c r="W32" s="144"/>
      <c r="Z32" s="144"/>
      <c r="AC32" s="144"/>
    </row>
    <row r="33" spans="1:29" x14ac:dyDescent="0.2">
      <c r="A33" s="140" t="s">
        <v>391</v>
      </c>
      <c r="B33" s="141">
        <v>0</v>
      </c>
      <c r="C33" s="156" t="s">
        <v>6740</v>
      </c>
      <c r="D33" s="142"/>
      <c r="E33" s="142"/>
      <c r="F33" s="144"/>
      <c r="L33" s="144"/>
      <c r="M33" s="140"/>
      <c r="N33" s="141"/>
      <c r="O33" s="142"/>
      <c r="P33" s="144"/>
      <c r="Q33" s="41"/>
      <c r="R33" s="147"/>
      <c r="S33" s="149"/>
      <c r="T33" s="144"/>
      <c r="W33" s="144"/>
      <c r="Z33" s="144"/>
      <c r="AC33" s="144"/>
    </row>
    <row r="34" spans="1:29" x14ac:dyDescent="0.2">
      <c r="A34" s="140" t="s">
        <v>384</v>
      </c>
      <c r="B34" s="141">
        <v>0</v>
      </c>
      <c r="C34" s="156" t="s">
        <v>6740</v>
      </c>
      <c r="D34" s="142"/>
      <c r="E34" s="142"/>
      <c r="F34" s="144"/>
      <c r="L34" s="144"/>
      <c r="M34" s="41"/>
      <c r="N34" s="147"/>
      <c r="O34" s="149"/>
      <c r="P34" s="144"/>
      <c r="Q34" s="41"/>
      <c r="R34" s="147"/>
      <c r="S34" s="149"/>
      <c r="T34" s="144"/>
      <c r="W34" s="144"/>
      <c r="Z34" s="144"/>
      <c r="AC34" s="144"/>
    </row>
    <row r="35" spans="1:29" x14ac:dyDescent="0.2">
      <c r="A35" s="140" t="s">
        <v>5633</v>
      </c>
      <c r="B35" s="141">
        <v>0</v>
      </c>
      <c r="C35" s="156" t="s">
        <v>6740</v>
      </c>
      <c r="D35" s="142"/>
      <c r="E35" s="142"/>
      <c r="F35" s="144"/>
      <c r="G35" s="140" t="s">
        <v>391</v>
      </c>
      <c r="H35" s="141">
        <v>0</v>
      </c>
      <c r="I35" s="156" t="s">
        <v>6740</v>
      </c>
      <c r="J35" s="142"/>
      <c r="K35" s="142"/>
      <c r="L35" s="144"/>
      <c r="P35" s="144"/>
      <c r="T35" s="144"/>
      <c r="U35" s="41" t="s">
        <v>5635</v>
      </c>
      <c r="V35" s="147">
        <f>SUM(V2:V34)</f>
        <v>275000</v>
      </c>
      <c r="W35" s="146"/>
      <c r="X35" s="41" t="s">
        <v>5635</v>
      </c>
      <c r="Y35" s="147">
        <f>SUM(Y2:Y34)</f>
        <v>265000</v>
      </c>
      <c r="Z35" s="146"/>
      <c r="AA35" s="41" t="s">
        <v>5635</v>
      </c>
      <c r="AB35" s="147">
        <f>SUM(AB2:AB34)</f>
        <v>245000</v>
      </c>
      <c r="AC35" s="146"/>
    </row>
    <row r="36" spans="1:29" x14ac:dyDescent="0.2">
      <c r="F36" s="144"/>
      <c r="G36" s="140" t="s">
        <v>384</v>
      </c>
      <c r="H36" s="141">
        <v>0</v>
      </c>
      <c r="I36" s="156" t="s">
        <v>6740</v>
      </c>
      <c r="J36" s="142"/>
      <c r="K36" s="142"/>
      <c r="L36" s="144"/>
      <c r="P36" s="144"/>
      <c r="T36" s="144"/>
      <c r="W36" s="144"/>
      <c r="Z36" s="144"/>
      <c r="AC36" s="144"/>
    </row>
    <row r="37" spans="1:29" x14ac:dyDescent="0.2">
      <c r="F37" s="144"/>
      <c r="G37" s="140" t="s">
        <v>5633</v>
      </c>
      <c r="H37" s="141">
        <v>0</v>
      </c>
      <c r="I37" s="156" t="s">
        <v>6740</v>
      </c>
      <c r="J37" s="142"/>
      <c r="K37" s="142"/>
      <c r="L37" s="144"/>
      <c r="P37" s="144"/>
      <c r="T37" s="144"/>
      <c r="U37" s="151"/>
      <c r="V37" s="150"/>
      <c r="W37" s="150"/>
      <c r="X37" s="150"/>
      <c r="Y37" s="151"/>
      <c r="Z37" s="150"/>
      <c r="AA37" s="150"/>
      <c r="AB37" s="151"/>
      <c r="AC37" s="150"/>
    </row>
    <row r="38" spans="1:29" x14ac:dyDescent="0.2">
      <c r="F38" s="144"/>
      <c r="G38" s="153" t="s">
        <v>4070</v>
      </c>
      <c r="H38" s="154">
        <v>0</v>
      </c>
      <c r="I38" s="155" t="s">
        <v>6697</v>
      </c>
      <c r="J38" s="155"/>
      <c r="K38" s="155"/>
      <c r="L38" s="144"/>
      <c r="P38" s="144"/>
      <c r="T38" s="144"/>
    </row>
    <row r="39" spans="1:29" x14ac:dyDescent="0.2">
      <c r="F39" s="144"/>
      <c r="L39" s="144"/>
      <c r="P39" s="144"/>
      <c r="T39" s="144"/>
    </row>
    <row r="40" spans="1:29" ht="24" x14ac:dyDescent="0.2">
      <c r="A40" s="159" t="s">
        <v>6742</v>
      </c>
      <c r="F40" s="144"/>
      <c r="L40" s="144"/>
      <c r="P40" s="144"/>
      <c r="T40" s="144"/>
      <c r="U40" s="169" t="s">
        <v>5637</v>
      </c>
      <c r="V40" s="169"/>
    </row>
    <row r="41" spans="1:29" ht="22.5" customHeight="1" x14ac:dyDescent="0.2">
      <c r="A41" s="158" t="s">
        <v>132</v>
      </c>
      <c r="C41" s="158" t="s">
        <v>6743</v>
      </c>
      <c r="F41" s="144"/>
      <c r="G41" s="159" t="s">
        <v>6742</v>
      </c>
      <c r="L41" s="144"/>
      <c r="P41" s="144"/>
      <c r="T41" s="144"/>
      <c r="U41" s="140" t="s">
        <v>436</v>
      </c>
    </row>
    <row r="42" spans="1:29" x14ac:dyDescent="0.2">
      <c r="A42" s="158" t="s">
        <v>38</v>
      </c>
      <c r="C42" s="158" t="s">
        <v>6744</v>
      </c>
      <c r="F42" s="144"/>
      <c r="G42" s="158" t="s">
        <v>132</v>
      </c>
      <c r="I42" s="158" t="s">
        <v>6743</v>
      </c>
      <c r="L42" s="144"/>
      <c r="P42" s="144"/>
      <c r="T42" s="144"/>
    </row>
    <row r="43" spans="1:29" ht="12" customHeight="1" x14ac:dyDescent="0.2">
      <c r="A43" s="158" t="s">
        <v>3284</v>
      </c>
      <c r="C43" s="158" t="s">
        <v>6745</v>
      </c>
      <c r="F43" s="144"/>
      <c r="G43" s="158" t="s">
        <v>38</v>
      </c>
      <c r="I43" s="158" t="s">
        <v>6744</v>
      </c>
      <c r="L43" s="144"/>
      <c r="P43" s="144"/>
      <c r="T43" s="144"/>
      <c r="U43" s="169" t="s">
        <v>5637</v>
      </c>
      <c r="V43" s="169"/>
    </row>
    <row r="44" spans="1:29" x14ac:dyDescent="0.2">
      <c r="C44" s="158" t="s">
        <v>6746</v>
      </c>
      <c r="F44" s="144"/>
      <c r="G44" s="158" t="s">
        <v>3284</v>
      </c>
      <c r="I44" s="158" t="s">
        <v>6745</v>
      </c>
      <c r="L44" s="144"/>
      <c r="P44" s="144"/>
      <c r="T44" s="144"/>
      <c r="U44" s="140" t="s">
        <v>436</v>
      </c>
    </row>
    <row r="45" spans="1:29" x14ac:dyDescent="0.2">
      <c r="C45" s="158" t="s">
        <v>6747</v>
      </c>
      <c r="F45" s="144"/>
      <c r="I45" s="158" t="s">
        <v>6746</v>
      </c>
      <c r="L45" s="144"/>
      <c r="M45" s="41" t="s">
        <v>5635</v>
      </c>
      <c r="N45" s="147">
        <f>SUM(N1:N38)</f>
        <v>0</v>
      </c>
      <c r="O45" s="149"/>
      <c r="P45" s="144"/>
      <c r="Q45" s="41" t="s">
        <v>5635</v>
      </c>
      <c r="R45" s="147">
        <f>SUM(R1:R38)</f>
        <v>0</v>
      </c>
      <c r="S45" s="149"/>
      <c r="T45" s="144"/>
      <c r="U45" s="140" t="s">
        <v>441</v>
      </c>
    </row>
    <row r="46" spans="1:29" x14ac:dyDescent="0.2">
      <c r="C46" s="158" t="s">
        <v>6748</v>
      </c>
      <c r="F46" s="144"/>
      <c r="I46" s="158" t="s">
        <v>6747</v>
      </c>
      <c r="L46" s="144"/>
      <c r="P46" s="144"/>
      <c r="T46" s="144"/>
      <c r="U46" s="140" t="s">
        <v>407</v>
      </c>
    </row>
    <row r="47" spans="1:29" x14ac:dyDescent="0.2">
      <c r="C47" s="158" t="s">
        <v>6749</v>
      </c>
      <c r="F47" s="144"/>
      <c r="I47" s="158" t="s">
        <v>6748</v>
      </c>
      <c r="L47" s="144"/>
      <c r="M47" s="150"/>
      <c r="N47" s="151"/>
      <c r="O47" s="152"/>
      <c r="P47" s="150"/>
      <c r="Q47" s="150"/>
      <c r="R47" s="151"/>
      <c r="S47" s="152"/>
      <c r="T47" s="150"/>
    </row>
    <row r="48" spans="1:29" x14ac:dyDescent="0.2">
      <c r="F48" s="144"/>
      <c r="I48" s="158" t="s">
        <v>6749</v>
      </c>
      <c r="L48" s="144"/>
    </row>
    <row r="49" spans="1:12" x14ac:dyDescent="0.2">
      <c r="F49" s="144"/>
      <c r="L49" s="144"/>
    </row>
    <row r="50" spans="1:12" x14ac:dyDescent="0.2">
      <c r="F50" s="144"/>
      <c r="L50" s="144"/>
    </row>
    <row r="51" spans="1:12" x14ac:dyDescent="0.2">
      <c r="F51" s="144"/>
      <c r="L51" s="144"/>
    </row>
    <row r="52" spans="1:12" x14ac:dyDescent="0.2">
      <c r="A52" s="41" t="s">
        <v>5635</v>
      </c>
      <c r="B52" s="147">
        <f>SUM(B1:B51)</f>
        <v>0</v>
      </c>
      <c r="C52" s="149"/>
      <c r="D52" s="149"/>
      <c r="E52" s="149"/>
      <c r="F52" s="144"/>
      <c r="G52" s="41" t="s">
        <v>5635</v>
      </c>
      <c r="H52" s="147">
        <f>SUM(H1:H51)</f>
        <v>155000</v>
      </c>
      <c r="I52" s="149"/>
      <c r="J52" s="149"/>
      <c r="K52" s="149"/>
      <c r="L52" s="144"/>
    </row>
    <row r="53" spans="1:12" x14ac:dyDescent="0.2">
      <c r="F53" s="144"/>
      <c r="L53" s="144"/>
    </row>
    <row r="54" spans="1:12" x14ac:dyDescent="0.2">
      <c r="A54" s="150"/>
      <c r="B54" s="151"/>
      <c r="C54" s="152"/>
      <c r="D54" s="152"/>
      <c r="E54" s="152"/>
      <c r="F54" s="144"/>
      <c r="G54" s="150"/>
      <c r="H54" s="151"/>
      <c r="I54" s="152"/>
      <c r="J54" s="152"/>
      <c r="K54" s="152"/>
      <c r="L54" s="144"/>
    </row>
    <row r="55" spans="1:12" x14ac:dyDescent="0.2">
      <c r="F55" s="144"/>
      <c r="L55" s="144"/>
    </row>
    <row r="56" spans="1:12" x14ac:dyDescent="0.2">
      <c r="F56" s="144"/>
      <c r="L56" s="144"/>
    </row>
    <row r="57" spans="1:12" x14ac:dyDescent="0.2">
      <c r="F57" s="150"/>
      <c r="L57" s="150"/>
    </row>
  </sheetData>
  <mergeCells count="2">
    <mergeCell ref="U43:V43"/>
    <mergeCell ref="U40:V4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dimension ref="A1:G145"/>
  <sheetViews>
    <sheetView workbookViewId="0">
      <selection activeCell="E29" sqref="E29"/>
    </sheetView>
  </sheetViews>
  <sheetFormatPr defaultRowHeight="15" x14ac:dyDescent="0.25"/>
  <cols>
    <col min="2" max="2" width="15.140625" customWidth="1"/>
    <col min="3" max="3" width="12.140625" style="165" customWidth="1"/>
    <col min="4" max="4" width="14.5703125" style="165" customWidth="1"/>
    <col min="5" max="5" width="73.42578125" customWidth="1"/>
    <col min="6" max="6" width="53.5703125" customWidth="1"/>
    <col min="7" max="7" width="42.7109375" customWidth="1"/>
  </cols>
  <sheetData>
    <row r="1" spans="1:7" x14ac:dyDescent="0.25">
      <c r="A1" s="3" t="s">
        <v>327</v>
      </c>
      <c r="B1" s="3" t="s">
        <v>6785</v>
      </c>
      <c r="C1" s="164" t="s">
        <v>4064</v>
      </c>
      <c r="D1" s="164" t="s">
        <v>6782</v>
      </c>
      <c r="E1" s="3" t="s">
        <v>6789</v>
      </c>
      <c r="F1" s="3" t="s">
        <v>6790</v>
      </c>
    </row>
    <row r="2" spans="1:7" x14ac:dyDescent="0.25">
      <c r="A2" t="s">
        <v>3351</v>
      </c>
      <c r="B2" t="s">
        <v>6853</v>
      </c>
      <c r="C2" s="166">
        <v>44901</v>
      </c>
      <c r="D2" s="166">
        <v>44901</v>
      </c>
      <c r="E2" t="s">
        <v>6854</v>
      </c>
      <c r="F2" t="s">
        <v>6854</v>
      </c>
      <c r="G2" t="s">
        <v>4058</v>
      </c>
    </row>
    <row r="3" spans="1:7" x14ac:dyDescent="0.25">
      <c r="A3" t="s">
        <v>2326</v>
      </c>
      <c r="B3" t="s">
        <v>6853</v>
      </c>
      <c r="C3" s="166">
        <v>44901</v>
      </c>
      <c r="D3" s="166">
        <v>44901</v>
      </c>
      <c r="E3" t="s">
        <v>6805</v>
      </c>
    </row>
    <row r="4" spans="1:7" x14ac:dyDescent="0.25">
      <c r="A4" t="s">
        <v>1803</v>
      </c>
      <c r="B4" t="s">
        <v>6853</v>
      </c>
      <c r="C4" s="166">
        <v>44901</v>
      </c>
      <c r="D4" s="166">
        <v>44901</v>
      </c>
      <c r="E4" t="s">
        <v>6828</v>
      </c>
    </row>
    <row r="5" spans="1:7" x14ac:dyDescent="0.25">
      <c r="A5" t="s">
        <v>2823</v>
      </c>
      <c r="B5" t="s">
        <v>6853</v>
      </c>
      <c r="C5" s="166">
        <v>44901</v>
      </c>
      <c r="D5" s="166">
        <v>44901</v>
      </c>
      <c r="E5" t="s">
        <v>6805</v>
      </c>
    </row>
    <row r="6" spans="1:7" x14ac:dyDescent="0.25">
      <c r="A6" t="s">
        <v>2117</v>
      </c>
      <c r="B6" t="s">
        <v>6853</v>
      </c>
      <c r="C6" s="166">
        <v>44901</v>
      </c>
      <c r="D6" s="166">
        <v>44901</v>
      </c>
      <c r="E6" t="s">
        <v>6854</v>
      </c>
      <c r="F6" t="s">
        <v>6854</v>
      </c>
    </row>
    <row r="7" spans="1:7" x14ac:dyDescent="0.25">
      <c r="A7" t="s">
        <v>614</v>
      </c>
      <c r="B7" t="s">
        <v>6853</v>
      </c>
      <c r="C7" s="166">
        <v>44901</v>
      </c>
      <c r="D7" s="166">
        <v>44901</v>
      </c>
      <c r="E7" t="s">
        <v>6854</v>
      </c>
      <c r="F7" t="s">
        <v>6855</v>
      </c>
    </row>
    <row r="8" spans="1:7" x14ac:dyDescent="0.25">
      <c r="A8" t="s">
        <v>6830</v>
      </c>
      <c r="B8" t="s">
        <v>6853</v>
      </c>
      <c r="C8" s="166">
        <v>44901</v>
      </c>
      <c r="D8" s="166">
        <v>44901</v>
      </c>
      <c r="E8" t="s">
        <v>6805</v>
      </c>
    </row>
    <row r="9" spans="1:7" x14ac:dyDescent="0.25">
      <c r="A9" t="s">
        <v>2351</v>
      </c>
      <c r="B9" t="s">
        <v>6853</v>
      </c>
      <c r="C9" s="166">
        <v>44901</v>
      </c>
      <c r="D9" s="166">
        <v>44901</v>
      </c>
    </row>
    <row r="10" spans="1:7" x14ac:dyDescent="0.25">
      <c r="A10" t="s">
        <v>1334</v>
      </c>
      <c r="B10" t="s">
        <v>6853</v>
      </c>
      <c r="C10" s="166">
        <v>44901</v>
      </c>
      <c r="D10" s="166">
        <v>44901</v>
      </c>
    </row>
    <row r="11" spans="1:7" x14ac:dyDescent="0.25">
      <c r="A11" t="s">
        <v>6831</v>
      </c>
      <c r="B11" t="s">
        <v>6853</v>
      </c>
      <c r="C11" s="166">
        <v>44901</v>
      </c>
      <c r="D11" s="166">
        <v>44901</v>
      </c>
    </row>
    <row r="12" spans="1:7" x14ac:dyDescent="0.25">
      <c r="A12" t="s">
        <v>742</v>
      </c>
      <c r="B12" t="s">
        <v>6853</v>
      </c>
      <c r="C12" s="166">
        <v>44901</v>
      </c>
      <c r="D12" s="166">
        <v>44901</v>
      </c>
    </row>
    <row r="13" spans="1:7" x14ac:dyDescent="0.25">
      <c r="A13" t="s">
        <v>2571</v>
      </c>
      <c r="B13" t="s">
        <v>6853</v>
      </c>
      <c r="C13" s="166">
        <v>44901</v>
      </c>
      <c r="D13" s="166">
        <v>44901</v>
      </c>
    </row>
    <row r="14" spans="1:7" x14ac:dyDescent="0.25">
      <c r="A14" t="s">
        <v>3744</v>
      </c>
      <c r="B14" t="s">
        <v>6853</v>
      </c>
      <c r="C14" s="166">
        <v>44901</v>
      </c>
      <c r="D14" s="166">
        <v>44901</v>
      </c>
    </row>
    <row r="15" spans="1:7" x14ac:dyDescent="0.25">
      <c r="A15" t="s">
        <v>1923</v>
      </c>
      <c r="B15" t="s">
        <v>6853</v>
      </c>
      <c r="C15" s="166">
        <v>44901</v>
      </c>
      <c r="D15" s="166">
        <v>44901</v>
      </c>
    </row>
    <row r="16" spans="1:7" x14ac:dyDescent="0.25">
      <c r="A16" t="s">
        <v>3855</v>
      </c>
      <c r="B16" t="s">
        <v>6853</v>
      </c>
      <c r="C16" s="166">
        <v>44901</v>
      </c>
      <c r="D16" s="166">
        <v>44901</v>
      </c>
    </row>
    <row r="17" spans="1:4" x14ac:dyDescent="0.25">
      <c r="A17" t="s">
        <v>1480</v>
      </c>
      <c r="B17" t="s">
        <v>6853</v>
      </c>
      <c r="C17" s="166">
        <v>44901</v>
      </c>
      <c r="D17" s="166">
        <v>44901</v>
      </c>
    </row>
    <row r="18" spans="1:4" x14ac:dyDescent="0.25">
      <c r="A18" t="s">
        <v>2735</v>
      </c>
      <c r="B18" t="s">
        <v>6853</v>
      </c>
      <c r="C18" s="166">
        <v>44901</v>
      </c>
      <c r="D18" s="166">
        <v>44901</v>
      </c>
    </row>
    <row r="19" spans="1:4" x14ac:dyDescent="0.25">
      <c r="A19" t="s">
        <v>6832</v>
      </c>
      <c r="B19" t="s">
        <v>6853</v>
      </c>
      <c r="C19" s="166">
        <v>44901</v>
      </c>
      <c r="D19" s="166">
        <v>44901</v>
      </c>
    </row>
    <row r="20" spans="1:4" x14ac:dyDescent="0.25">
      <c r="A20" t="s">
        <v>1851</v>
      </c>
      <c r="B20" t="s">
        <v>6853</v>
      </c>
      <c r="C20" s="166">
        <v>44901</v>
      </c>
      <c r="D20" s="166">
        <v>44901</v>
      </c>
    </row>
    <row r="21" spans="1:4" x14ac:dyDescent="0.25">
      <c r="A21" t="s">
        <v>3867</v>
      </c>
      <c r="B21" t="s">
        <v>6853</v>
      </c>
      <c r="C21" s="166">
        <v>44901</v>
      </c>
      <c r="D21" s="166">
        <v>44901</v>
      </c>
    </row>
    <row r="22" spans="1:4" x14ac:dyDescent="0.25">
      <c r="A22" t="s">
        <v>817</v>
      </c>
      <c r="B22" t="s">
        <v>6853</v>
      </c>
      <c r="C22" s="166">
        <v>44901</v>
      </c>
      <c r="D22" s="166">
        <v>44901</v>
      </c>
    </row>
    <row r="23" spans="1:4" x14ac:dyDescent="0.25">
      <c r="A23" t="s">
        <v>6833</v>
      </c>
      <c r="B23" t="s">
        <v>6853</v>
      </c>
      <c r="C23" s="166">
        <v>44901</v>
      </c>
      <c r="D23" s="166">
        <v>44901</v>
      </c>
    </row>
    <row r="24" spans="1:4" x14ac:dyDescent="0.25">
      <c r="A24" t="s">
        <v>2234</v>
      </c>
      <c r="B24" t="s">
        <v>6853</v>
      </c>
      <c r="C24" s="166">
        <v>44901</v>
      </c>
      <c r="D24" s="166">
        <v>44901</v>
      </c>
    </row>
    <row r="25" spans="1:4" x14ac:dyDescent="0.25">
      <c r="A25" t="s">
        <v>1939</v>
      </c>
      <c r="B25" t="s">
        <v>6853</v>
      </c>
      <c r="C25" s="166">
        <v>44901</v>
      </c>
      <c r="D25" s="166">
        <v>44901</v>
      </c>
    </row>
    <row r="26" spans="1:4" x14ac:dyDescent="0.25">
      <c r="A26" t="s">
        <v>6834</v>
      </c>
      <c r="B26" t="s">
        <v>6853</v>
      </c>
      <c r="C26" s="166">
        <v>44901</v>
      </c>
      <c r="D26" s="166">
        <v>44901</v>
      </c>
    </row>
    <row r="27" spans="1:4" x14ac:dyDescent="0.25">
      <c r="A27" t="s">
        <v>6835</v>
      </c>
      <c r="B27" t="s">
        <v>6853</v>
      </c>
      <c r="C27" s="166">
        <v>44901</v>
      </c>
      <c r="D27" s="166">
        <v>44901</v>
      </c>
    </row>
    <row r="28" spans="1:4" x14ac:dyDescent="0.25">
      <c r="A28" t="s">
        <v>1553</v>
      </c>
      <c r="B28" t="s">
        <v>6853</v>
      </c>
      <c r="C28" s="166">
        <v>44901</v>
      </c>
      <c r="D28" s="166">
        <v>44901</v>
      </c>
    </row>
    <row r="29" spans="1:4" x14ac:dyDescent="0.25">
      <c r="A29" t="s">
        <v>1786</v>
      </c>
      <c r="B29" t="s">
        <v>6853</v>
      </c>
      <c r="C29" s="166">
        <v>44901</v>
      </c>
      <c r="D29" s="166">
        <v>44901</v>
      </c>
    </row>
    <row r="30" spans="1:4" x14ac:dyDescent="0.25">
      <c r="A30" t="s">
        <v>6836</v>
      </c>
      <c r="B30" t="s">
        <v>6853</v>
      </c>
      <c r="C30" s="166">
        <v>44901</v>
      </c>
      <c r="D30" s="166">
        <v>44901</v>
      </c>
    </row>
    <row r="31" spans="1:4" x14ac:dyDescent="0.25">
      <c r="A31" t="s">
        <v>2546</v>
      </c>
      <c r="B31" t="s">
        <v>6853</v>
      </c>
      <c r="C31" s="166">
        <v>44901</v>
      </c>
      <c r="D31" s="166">
        <v>44901</v>
      </c>
    </row>
    <row r="32" spans="1:4" x14ac:dyDescent="0.25">
      <c r="A32" t="s">
        <v>6837</v>
      </c>
      <c r="B32" t="s">
        <v>6853</v>
      </c>
      <c r="C32" s="166">
        <v>44901</v>
      </c>
      <c r="D32" s="166">
        <v>44901</v>
      </c>
    </row>
    <row r="33" spans="1:7" x14ac:dyDescent="0.25">
      <c r="A33" t="s">
        <v>1468</v>
      </c>
      <c r="B33" t="s">
        <v>6853</v>
      </c>
      <c r="C33" s="166">
        <v>44901</v>
      </c>
      <c r="D33" s="166">
        <v>44901</v>
      </c>
    </row>
    <row r="34" spans="1:7" x14ac:dyDescent="0.25">
      <c r="A34" t="s">
        <v>2030</v>
      </c>
      <c r="B34" t="s">
        <v>6853</v>
      </c>
      <c r="C34" s="166">
        <v>44901</v>
      </c>
      <c r="D34" s="166">
        <v>44901</v>
      </c>
      <c r="G34" t="s">
        <v>6856</v>
      </c>
    </row>
    <row r="35" spans="1:7" x14ac:dyDescent="0.25">
      <c r="A35" t="s">
        <v>3596</v>
      </c>
      <c r="B35" t="s">
        <v>6853</v>
      </c>
      <c r="C35" s="166">
        <v>44901</v>
      </c>
    </row>
    <row r="36" spans="1:7" x14ac:dyDescent="0.25">
      <c r="A36" t="s">
        <v>6838</v>
      </c>
      <c r="B36" t="s">
        <v>6853</v>
      </c>
      <c r="C36" s="166">
        <v>44901</v>
      </c>
    </row>
    <row r="37" spans="1:7" x14ac:dyDescent="0.25">
      <c r="A37" t="s">
        <v>6839</v>
      </c>
      <c r="B37" t="s">
        <v>6853</v>
      </c>
      <c r="C37" s="166">
        <v>44901</v>
      </c>
    </row>
    <row r="38" spans="1:7" x14ac:dyDescent="0.25">
      <c r="A38" t="s">
        <v>3459</v>
      </c>
      <c r="B38" t="s">
        <v>6853</v>
      </c>
      <c r="C38" s="166">
        <v>44901</v>
      </c>
    </row>
    <row r="39" spans="1:7" x14ac:dyDescent="0.25">
      <c r="A39" t="s">
        <v>3660</v>
      </c>
      <c r="B39" t="s">
        <v>6853</v>
      </c>
      <c r="C39" s="166">
        <v>44901</v>
      </c>
    </row>
    <row r="40" spans="1:7" x14ac:dyDescent="0.25">
      <c r="A40" t="s">
        <v>705</v>
      </c>
      <c r="B40" t="s">
        <v>6853</v>
      </c>
      <c r="C40" s="166">
        <v>44901</v>
      </c>
    </row>
    <row r="41" spans="1:7" x14ac:dyDescent="0.25">
      <c r="A41" t="s">
        <v>2707</v>
      </c>
      <c r="B41" t="s">
        <v>6853</v>
      </c>
      <c r="C41" s="166">
        <v>44901</v>
      </c>
    </row>
    <row r="42" spans="1:7" x14ac:dyDescent="0.25">
      <c r="A42" t="s">
        <v>2763</v>
      </c>
      <c r="B42" t="s">
        <v>6853</v>
      </c>
      <c r="C42" s="166">
        <v>44901</v>
      </c>
    </row>
    <row r="43" spans="1:7" x14ac:dyDescent="0.25">
      <c r="A43" t="s">
        <v>2295</v>
      </c>
      <c r="B43" t="s">
        <v>6853</v>
      </c>
      <c r="C43" s="166">
        <v>44901</v>
      </c>
    </row>
    <row r="44" spans="1:7" x14ac:dyDescent="0.25">
      <c r="A44" t="s">
        <v>3302</v>
      </c>
      <c r="B44" t="s">
        <v>6853</v>
      </c>
      <c r="C44" s="166">
        <v>44901</v>
      </c>
    </row>
    <row r="45" spans="1:7" x14ac:dyDescent="0.25">
      <c r="A45" t="s">
        <v>6840</v>
      </c>
      <c r="B45" t="s">
        <v>6853</v>
      </c>
      <c r="C45" s="166">
        <v>44901</v>
      </c>
    </row>
    <row r="46" spans="1:7" x14ac:dyDescent="0.25">
      <c r="A46" t="s">
        <v>2266</v>
      </c>
      <c r="B46" t="s">
        <v>6853</v>
      </c>
      <c r="C46" s="166">
        <v>44901</v>
      </c>
    </row>
    <row r="47" spans="1:7" x14ac:dyDescent="0.25">
      <c r="A47" t="s">
        <v>3791</v>
      </c>
      <c r="B47" t="s">
        <v>6853</v>
      </c>
      <c r="C47" s="166">
        <v>44901</v>
      </c>
    </row>
    <row r="48" spans="1:7" x14ac:dyDescent="0.25">
      <c r="A48" t="s">
        <v>6841</v>
      </c>
      <c r="B48" t="s">
        <v>6853</v>
      </c>
      <c r="C48" s="166">
        <v>44901</v>
      </c>
    </row>
    <row r="49" spans="1:3" x14ac:dyDescent="0.25">
      <c r="A49" t="s">
        <v>526</v>
      </c>
      <c r="B49" t="s">
        <v>6853</v>
      </c>
      <c r="C49" s="166">
        <v>44901</v>
      </c>
    </row>
    <row r="50" spans="1:3" x14ac:dyDescent="0.25">
      <c r="A50" t="s">
        <v>6842</v>
      </c>
      <c r="B50" t="s">
        <v>6853</v>
      </c>
      <c r="C50" s="166">
        <v>44901</v>
      </c>
    </row>
    <row r="51" spans="1:3" x14ac:dyDescent="0.25">
      <c r="A51" t="s">
        <v>1688</v>
      </c>
      <c r="B51" t="s">
        <v>6853</v>
      </c>
      <c r="C51" s="166">
        <v>44901</v>
      </c>
    </row>
    <row r="52" spans="1:3" x14ac:dyDescent="0.25">
      <c r="A52" t="s">
        <v>6843</v>
      </c>
      <c r="B52" t="s">
        <v>6853</v>
      </c>
      <c r="C52" s="166">
        <v>44901</v>
      </c>
    </row>
    <row r="53" spans="1:3" x14ac:dyDescent="0.25">
      <c r="A53" t="s">
        <v>6844</v>
      </c>
      <c r="B53" t="s">
        <v>6853</v>
      </c>
      <c r="C53" s="166">
        <v>44901</v>
      </c>
    </row>
    <row r="54" spans="1:3" x14ac:dyDescent="0.25">
      <c r="A54" t="s">
        <v>472</v>
      </c>
      <c r="B54" t="s">
        <v>6853</v>
      </c>
      <c r="C54" s="166">
        <v>44901</v>
      </c>
    </row>
    <row r="55" spans="1:3" x14ac:dyDescent="0.25">
      <c r="A55" t="s">
        <v>3096</v>
      </c>
      <c r="B55" t="s">
        <v>6853</v>
      </c>
      <c r="C55" s="166">
        <v>44901</v>
      </c>
    </row>
    <row r="56" spans="1:3" x14ac:dyDescent="0.25">
      <c r="A56" t="s">
        <v>595</v>
      </c>
      <c r="B56" t="s">
        <v>6853</v>
      </c>
      <c r="C56" s="166">
        <v>44901</v>
      </c>
    </row>
    <row r="57" spans="1:3" x14ac:dyDescent="0.25">
      <c r="A57" t="s">
        <v>2471</v>
      </c>
      <c r="B57" t="s">
        <v>6853</v>
      </c>
      <c r="C57" s="166">
        <v>44901</v>
      </c>
    </row>
    <row r="58" spans="1:3" x14ac:dyDescent="0.25">
      <c r="A58" t="s">
        <v>3494</v>
      </c>
      <c r="B58" t="s">
        <v>6853</v>
      </c>
      <c r="C58" s="166">
        <v>44901</v>
      </c>
    </row>
    <row r="59" spans="1:3" x14ac:dyDescent="0.25">
      <c r="A59" t="s">
        <v>2151</v>
      </c>
      <c r="B59" t="s">
        <v>6853</v>
      </c>
      <c r="C59" s="166">
        <v>44901</v>
      </c>
    </row>
    <row r="60" spans="1:3" x14ac:dyDescent="0.25">
      <c r="A60" t="s">
        <v>6845</v>
      </c>
      <c r="B60" t="s">
        <v>6853</v>
      </c>
      <c r="C60" s="166">
        <v>44901</v>
      </c>
    </row>
    <row r="61" spans="1:3" x14ac:dyDescent="0.25">
      <c r="A61" t="s">
        <v>1308</v>
      </c>
      <c r="B61" t="s">
        <v>6853</v>
      </c>
      <c r="C61" s="166">
        <v>44901</v>
      </c>
    </row>
    <row r="62" spans="1:3" x14ac:dyDescent="0.25">
      <c r="A62" t="s">
        <v>1987</v>
      </c>
      <c r="B62" t="s">
        <v>6853</v>
      </c>
      <c r="C62" s="166">
        <v>44901</v>
      </c>
    </row>
    <row r="63" spans="1:3" x14ac:dyDescent="0.25">
      <c r="A63" t="s">
        <v>6846</v>
      </c>
      <c r="B63" t="s">
        <v>6853</v>
      </c>
      <c r="C63" s="166">
        <v>44901</v>
      </c>
    </row>
    <row r="64" spans="1:3" x14ac:dyDescent="0.25">
      <c r="A64" t="s">
        <v>1709</v>
      </c>
      <c r="B64" t="s">
        <v>6853</v>
      </c>
      <c r="C64" s="166">
        <v>44901</v>
      </c>
    </row>
    <row r="65" spans="1:3" x14ac:dyDescent="0.25">
      <c r="A65" t="s">
        <v>2357</v>
      </c>
      <c r="B65" t="s">
        <v>6853</v>
      </c>
      <c r="C65" s="166">
        <v>44901</v>
      </c>
    </row>
    <row r="66" spans="1:3" x14ac:dyDescent="0.25">
      <c r="A66" t="s">
        <v>3936</v>
      </c>
      <c r="B66" t="s">
        <v>6853</v>
      </c>
      <c r="C66" s="166">
        <v>44901</v>
      </c>
    </row>
    <row r="67" spans="1:3" x14ac:dyDescent="0.25">
      <c r="A67" t="s">
        <v>1434</v>
      </c>
      <c r="B67" t="s">
        <v>6853</v>
      </c>
      <c r="C67" s="166">
        <v>44901</v>
      </c>
    </row>
    <row r="68" spans="1:3" x14ac:dyDescent="0.25">
      <c r="A68" t="s">
        <v>2220</v>
      </c>
      <c r="B68" t="s">
        <v>6853</v>
      </c>
      <c r="C68" s="166">
        <v>44901</v>
      </c>
    </row>
    <row r="69" spans="1:3" x14ac:dyDescent="0.25">
      <c r="A69" t="s">
        <v>3538</v>
      </c>
      <c r="B69" t="s">
        <v>6853</v>
      </c>
      <c r="C69" s="166">
        <v>44901</v>
      </c>
    </row>
    <row r="70" spans="1:3" x14ac:dyDescent="0.25">
      <c r="A70" t="s">
        <v>3616</v>
      </c>
      <c r="B70" t="s">
        <v>6853</v>
      </c>
      <c r="C70" s="166">
        <v>44901</v>
      </c>
    </row>
    <row r="71" spans="1:3" x14ac:dyDescent="0.25">
      <c r="A71" t="s">
        <v>3941</v>
      </c>
      <c r="B71" t="s">
        <v>6853</v>
      </c>
      <c r="C71" s="166">
        <v>44901</v>
      </c>
    </row>
    <row r="72" spans="1:3" x14ac:dyDescent="0.25">
      <c r="A72" t="s">
        <v>2274</v>
      </c>
      <c r="B72" t="s">
        <v>6853</v>
      </c>
      <c r="C72" s="166">
        <v>44901</v>
      </c>
    </row>
    <row r="73" spans="1:3" x14ac:dyDescent="0.25">
      <c r="A73" t="s">
        <v>6847</v>
      </c>
      <c r="B73" t="s">
        <v>6853</v>
      </c>
      <c r="C73" s="166">
        <v>44901</v>
      </c>
    </row>
    <row r="74" spans="1:3" x14ac:dyDescent="0.25">
      <c r="A74" t="s">
        <v>1808</v>
      </c>
      <c r="B74" t="s">
        <v>6853</v>
      </c>
      <c r="C74" s="166">
        <v>44901</v>
      </c>
    </row>
    <row r="75" spans="1:3" x14ac:dyDescent="0.25">
      <c r="A75" t="s">
        <v>6848</v>
      </c>
      <c r="B75" t="s">
        <v>6853</v>
      </c>
      <c r="C75" s="166">
        <v>44901</v>
      </c>
    </row>
    <row r="76" spans="1:3" x14ac:dyDescent="0.25">
      <c r="A76" t="s">
        <v>1762</v>
      </c>
      <c r="B76" t="s">
        <v>6853</v>
      </c>
      <c r="C76" s="166">
        <v>44901</v>
      </c>
    </row>
    <row r="77" spans="1:3" x14ac:dyDescent="0.25">
      <c r="A77" t="s">
        <v>6849</v>
      </c>
      <c r="B77" t="s">
        <v>6853</v>
      </c>
      <c r="C77" s="166">
        <v>44901</v>
      </c>
    </row>
    <row r="78" spans="1:3" x14ac:dyDescent="0.25">
      <c r="A78" t="s">
        <v>2050</v>
      </c>
      <c r="B78" t="s">
        <v>6853</v>
      </c>
      <c r="C78" s="166">
        <v>44901</v>
      </c>
    </row>
    <row r="79" spans="1:3" x14ac:dyDescent="0.25">
      <c r="A79" t="s">
        <v>2272</v>
      </c>
      <c r="B79" t="s">
        <v>6853</v>
      </c>
      <c r="C79" s="166">
        <v>44901</v>
      </c>
    </row>
    <row r="80" spans="1:3" x14ac:dyDescent="0.25">
      <c r="A80" t="s">
        <v>6850</v>
      </c>
      <c r="B80" t="s">
        <v>6853</v>
      </c>
      <c r="C80" s="166">
        <v>44901</v>
      </c>
    </row>
    <row r="81" spans="1:7" x14ac:dyDescent="0.25">
      <c r="A81" t="s">
        <v>3636</v>
      </c>
      <c r="B81" t="s">
        <v>6853</v>
      </c>
      <c r="C81" s="166">
        <v>44901</v>
      </c>
    </row>
    <row r="82" spans="1:7" x14ac:dyDescent="0.25">
      <c r="A82" t="s">
        <v>6851</v>
      </c>
      <c r="B82" t="s">
        <v>6853</v>
      </c>
      <c r="C82" s="166">
        <v>44901</v>
      </c>
    </row>
    <row r="83" spans="1:7" x14ac:dyDescent="0.25">
      <c r="A83" t="s">
        <v>2521</v>
      </c>
      <c r="B83" t="s">
        <v>6853</v>
      </c>
      <c r="C83" s="166">
        <v>44901</v>
      </c>
    </row>
    <row r="84" spans="1:7" x14ac:dyDescent="0.25">
      <c r="A84" t="s">
        <v>6852</v>
      </c>
      <c r="B84" t="s">
        <v>6853</v>
      </c>
      <c r="C84" s="166">
        <v>44901</v>
      </c>
    </row>
    <row r="85" spans="1:7" x14ac:dyDescent="0.25">
      <c r="A85" t="s">
        <v>630</v>
      </c>
      <c r="B85" t="s">
        <v>6853</v>
      </c>
      <c r="C85" s="166">
        <v>44901</v>
      </c>
    </row>
    <row r="86" spans="1:7" x14ac:dyDescent="0.25">
      <c r="A86" t="s">
        <v>3713</v>
      </c>
      <c r="B86" t="s">
        <v>6853</v>
      </c>
      <c r="C86" s="166">
        <v>44901</v>
      </c>
    </row>
    <row r="87" spans="1:7" x14ac:dyDescent="0.25">
      <c r="A87" t="s">
        <v>2863</v>
      </c>
      <c r="B87" t="s">
        <v>6853</v>
      </c>
      <c r="C87" s="166">
        <v>44901</v>
      </c>
    </row>
    <row r="88" spans="1:7" x14ac:dyDescent="0.25">
      <c r="A88" t="s">
        <v>3512</v>
      </c>
      <c r="B88" t="s">
        <v>6853</v>
      </c>
      <c r="C88" s="166">
        <v>44901</v>
      </c>
    </row>
    <row r="89" spans="1:7" x14ac:dyDescent="0.25">
      <c r="A89" t="s">
        <v>709</v>
      </c>
      <c r="B89" t="s">
        <v>6819</v>
      </c>
      <c r="C89" s="166">
        <v>44901</v>
      </c>
      <c r="D89" s="166">
        <v>44901</v>
      </c>
      <c r="E89" t="s">
        <v>6820</v>
      </c>
    </row>
    <row r="90" spans="1:7" x14ac:dyDescent="0.25">
      <c r="A90" t="s">
        <v>1376</v>
      </c>
      <c r="B90" t="s">
        <v>6819</v>
      </c>
      <c r="C90" s="166">
        <v>44901</v>
      </c>
      <c r="D90" s="166">
        <v>44901</v>
      </c>
      <c r="E90" t="s">
        <v>6821</v>
      </c>
      <c r="F90" t="s">
        <v>6821</v>
      </c>
      <c r="G90" t="s">
        <v>4038</v>
      </c>
    </row>
    <row r="91" spans="1:7" x14ac:dyDescent="0.25">
      <c r="A91" t="s">
        <v>1579</v>
      </c>
      <c r="B91" t="s">
        <v>6819</v>
      </c>
      <c r="C91" s="166">
        <v>44901</v>
      </c>
      <c r="D91" s="166">
        <v>44901</v>
      </c>
      <c r="E91" t="s">
        <v>6822</v>
      </c>
    </row>
    <row r="92" spans="1:7" x14ac:dyDescent="0.25">
      <c r="A92" t="s">
        <v>3498</v>
      </c>
      <c r="B92" t="s">
        <v>6819</v>
      </c>
      <c r="C92" s="166">
        <v>44901</v>
      </c>
      <c r="D92" s="166">
        <v>44901</v>
      </c>
      <c r="E92" t="s">
        <v>6823</v>
      </c>
      <c r="F92" t="s">
        <v>6805</v>
      </c>
    </row>
    <row r="93" spans="1:7" x14ac:dyDescent="0.25">
      <c r="A93" t="s">
        <v>2395</v>
      </c>
      <c r="B93" t="s">
        <v>6819</v>
      </c>
      <c r="C93" s="166">
        <v>44901</v>
      </c>
      <c r="D93" s="166">
        <v>44901</v>
      </c>
      <c r="E93" t="s">
        <v>6824</v>
      </c>
      <c r="F93" t="s">
        <v>6823</v>
      </c>
      <c r="G93" t="s">
        <v>6825</v>
      </c>
    </row>
    <row r="94" spans="1:7" x14ac:dyDescent="0.25">
      <c r="A94" t="s">
        <v>6816</v>
      </c>
      <c r="B94" t="s">
        <v>6819</v>
      </c>
      <c r="C94" s="166">
        <v>44901</v>
      </c>
      <c r="D94" s="166">
        <v>44901</v>
      </c>
      <c r="E94" t="s">
        <v>6823</v>
      </c>
      <c r="F94" t="s">
        <v>6823</v>
      </c>
      <c r="G94" t="s">
        <v>4058</v>
      </c>
    </row>
    <row r="95" spans="1:7" x14ac:dyDescent="0.25">
      <c r="A95" t="s">
        <v>3783</v>
      </c>
      <c r="B95" t="s">
        <v>6819</v>
      </c>
      <c r="C95" s="166">
        <v>44901</v>
      </c>
      <c r="D95" s="166">
        <v>44901</v>
      </c>
      <c r="E95" t="s">
        <v>6826</v>
      </c>
    </row>
    <row r="96" spans="1:7" x14ac:dyDescent="0.25">
      <c r="A96" t="s">
        <v>783</v>
      </c>
      <c r="B96" t="s">
        <v>6819</v>
      </c>
      <c r="C96" s="166">
        <v>44901</v>
      </c>
      <c r="D96" s="166">
        <v>44901</v>
      </c>
      <c r="E96" t="s">
        <v>6823</v>
      </c>
      <c r="F96" t="s">
        <v>6823</v>
      </c>
      <c r="G96" t="s">
        <v>4038</v>
      </c>
    </row>
    <row r="97" spans="1:7" x14ac:dyDescent="0.25">
      <c r="A97" t="s">
        <v>1599</v>
      </c>
      <c r="B97" t="s">
        <v>6819</v>
      </c>
      <c r="C97" s="166">
        <v>44901</v>
      </c>
      <c r="D97" s="166">
        <v>44901</v>
      </c>
      <c r="E97" t="s">
        <v>6824</v>
      </c>
      <c r="F97" t="s">
        <v>6824</v>
      </c>
      <c r="G97" t="s">
        <v>6827</v>
      </c>
    </row>
    <row r="98" spans="1:7" x14ac:dyDescent="0.25">
      <c r="A98" t="s">
        <v>1586</v>
      </c>
      <c r="B98" t="s">
        <v>6819</v>
      </c>
      <c r="C98" s="166">
        <v>44901</v>
      </c>
      <c r="D98" s="166">
        <v>44901</v>
      </c>
      <c r="E98" t="s">
        <v>6805</v>
      </c>
    </row>
    <row r="99" spans="1:7" x14ac:dyDescent="0.25">
      <c r="A99" t="s">
        <v>529</v>
      </c>
      <c r="B99" t="s">
        <v>6819</v>
      </c>
      <c r="C99" s="166">
        <v>44901</v>
      </c>
      <c r="D99" s="166">
        <v>44901</v>
      </c>
      <c r="E99" t="s">
        <v>6823</v>
      </c>
      <c r="F99" t="s">
        <v>6805</v>
      </c>
    </row>
    <row r="100" spans="1:7" x14ac:dyDescent="0.25">
      <c r="A100" t="s">
        <v>1332</v>
      </c>
      <c r="B100" t="s">
        <v>6819</v>
      </c>
      <c r="C100" s="166">
        <v>44901</v>
      </c>
      <c r="D100" s="166">
        <v>44901</v>
      </c>
      <c r="E100" t="s">
        <v>6823</v>
      </c>
      <c r="F100" t="s">
        <v>6823</v>
      </c>
      <c r="G100" t="s">
        <v>4038</v>
      </c>
    </row>
    <row r="101" spans="1:7" x14ac:dyDescent="0.25">
      <c r="A101" t="s">
        <v>2741</v>
      </c>
      <c r="B101" t="s">
        <v>6819</v>
      </c>
      <c r="C101" s="166">
        <v>44901</v>
      </c>
      <c r="D101" s="166">
        <v>44901</v>
      </c>
      <c r="E101" t="s">
        <v>6828</v>
      </c>
    </row>
    <row r="102" spans="1:7" x14ac:dyDescent="0.25">
      <c r="A102" t="s">
        <v>6817</v>
      </c>
      <c r="B102" t="s">
        <v>6819</v>
      </c>
      <c r="C102" s="166">
        <v>44901</v>
      </c>
      <c r="D102" s="166">
        <v>44901</v>
      </c>
      <c r="F102" t="s">
        <v>6812</v>
      </c>
    </row>
    <row r="103" spans="1:7" x14ac:dyDescent="0.25">
      <c r="A103" t="s">
        <v>1716</v>
      </c>
      <c r="B103" t="s">
        <v>6819</v>
      </c>
      <c r="C103" s="166">
        <v>44901</v>
      </c>
      <c r="D103" s="166">
        <v>44901</v>
      </c>
      <c r="E103" t="s">
        <v>6829</v>
      </c>
    </row>
    <row r="104" spans="1:7" x14ac:dyDescent="0.25">
      <c r="A104" t="s">
        <v>6818</v>
      </c>
      <c r="B104" t="s">
        <v>6819</v>
      </c>
      <c r="C104" s="166">
        <v>44901</v>
      </c>
      <c r="D104" s="166">
        <v>44901</v>
      </c>
      <c r="E104" t="s">
        <v>6826</v>
      </c>
    </row>
    <row r="105" spans="1:7" x14ac:dyDescent="0.25">
      <c r="A105" t="s">
        <v>2083</v>
      </c>
      <c r="B105" t="s">
        <v>6747</v>
      </c>
      <c r="C105" s="166">
        <v>44900</v>
      </c>
      <c r="D105" s="166">
        <v>44900</v>
      </c>
      <c r="F105" t="s">
        <v>6805</v>
      </c>
    </row>
    <row r="106" spans="1:7" x14ac:dyDescent="0.25">
      <c r="A106" t="s">
        <v>1737</v>
      </c>
      <c r="B106" t="s">
        <v>6747</v>
      </c>
      <c r="C106" s="166">
        <v>44900</v>
      </c>
      <c r="D106" s="166">
        <v>44900</v>
      </c>
      <c r="E106" t="s">
        <v>6810</v>
      </c>
    </row>
    <row r="107" spans="1:7" x14ac:dyDescent="0.25">
      <c r="A107" t="s">
        <v>1484</v>
      </c>
      <c r="B107" t="s">
        <v>6747</v>
      </c>
      <c r="C107" s="166">
        <v>44900</v>
      </c>
      <c r="D107" s="166">
        <v>44900</v>
      </c>
      <c r="E107" t="s">
        <v>6811</v>
      </c>
    </row>
    <row r="108" spans="1:7" x14ac:dyDescent="0.25">
      <c r="A108" t="s">
        <v>3740</v>
      </c>
      <c r="B108" t="s">
        <v>6747</v>
      </c>
      <c r="C108" s="166">
        <v>44900</v>
      </c>
      <c r="D108" s="166">
        <v>44900</v>
      </c>
      <c r="G108" t="s">
        <v>4038</v>
      </c>
    </row>
    <row r="109" spans="1:7" x14ac:dyDescent="0.25">
      <c r="A109" t="s">
        <v>2868</v>
      </c>
      <c r="B109" t="s">
        <v>6747</v>
      </c>
      <c r="C109" s="166">
        <v>44900</v>
      </c>
      <c r="D109" s="166">
        <v>44900</v>
      </c>
      <c r="E109" t="s">
        <v>6805</v>
      </c>
    </row>
    <row r="110" spans="1:7" x14ac:dyDescent="0.25">
      <c r="A110" t="s">
        <v>627</v>
      </c>
      <c r="B110" t="s">
        <v>6747</v>
      </c>
      <c r="C110" s="166">
        <v>44900</v>
      </c>
      <c r="D110" s="166">
        <v>44900</v>
      </c>
      <c r="E110" t="s">
        <v>6805</v>
      </c>
    </row>
    <row r="111" spans="1:7" x14ac:dyDescent="0.25">
      <c r="A111" t="s">
        <v>2503</v>
      </c>
      <c r="B111" t="s">
        <v>6747</v>
      </c>
      <c r="C111" s="166">
        <v>44900</v>
      </c>
      <c r="D111" s="166">
        <v>44900</v>
      </c>
      <c r="E111" t="s">
        <v>6805</v>
      </c>
    </row>
    <row r="112" spans="1:7" x14ac:dyDescent="0.25">
      <c r="A112" t="s">
        <v>6778</v>
      </c>
      <c r="B112" t="s">
        <v>6747</v>
      </c>
      <c r="C112" s="166">
        <v>44900</v>
      </c>
      <c r="D112" s="166">
        <v>44900</v>
      </c>
      <c r="F112" t="s">
        <v>6812</v>
      </c>
    </row>
    <row r="113" spans="1:7" x14ac:dyDescent="0.25">
      <c r="A113" t="s">
        <v>3968</v>
      </c>
      <c r="B113" t="s">
        <v>6747</v>
      </c>
      <c r="C113" s="166">
        <v>44900</v>
      </c>
      <c r="D113" s="166">
        <v>44900</v>
      </c>
      <c r="G113" t="s">
        <v>6813</v>
      </c>
    </row>
    <row r="114" spans="1:7" x14ac:dyDescent="0.25">
      <c r="A114" t="s">
        <v>3492</v>
      </c>
      <c r="B114" t="s">
        <v>6747</v>
      </c>
      <c r="C114" s="166">
        <v>44900</v>
      </c>
      <c r="D114" s="166">
        <v>44900</v>
      </c>
      <c r="E114" t="s">
        <v>6814</v>
      </c>
    </row>
    <row r="115" spans="1:7" x14ac:dyDescent="0.25">
      <c r="A115" t="s">
        <v>6779</v>
      </c>
      <c r="B115" t="s">
        <v>6747</v>
      </c>
      <c r="C115" s="166">
        <v>44900</v>
      </c>
      <c r="D115" s="166">
        <v>44900</v>
      </c>
      <c r="E115" t="s">
        <v>6815</v>
      </c>
    </row>
    <row r="116" spans="1:7" x14ac:dyDescent="0.25">
      <c r="A116" t="s">
        <v>6780</v>
      </c>
      <c r="B116" t="s">
        <v>6747</v>
      </c>
      <c r="C116" s="166">
        <v>44900</v>
      </c>
      <c r="D116" s="166">
        <v>44900</v>
      </c>
      <c r="E116" t="s">
        <v>6805</v>
      </c>
    </row>
    <row r="117" spans="1:7" x14ac:dyDescent="0.25">
      <c r="A117" t="s">
        <v>6781</v>
      </c>
      <c r="B117" t="s">
        <v>6747</v>
      </c>
      <c r="C117" s="166">
        <v>44900</v>
      </c>
      <c r="D117" s="166">
        <v>44900</v>
      </c>
      <c r="E117" t="s">
        <v>891</v>
      </c>
    </row>
    <row r="118" spans="1:7" x14ac:dyDescent="0.25">
      <c r="A118" t="s">
        <v>457</v>
      </c>
      <c r="B118" t="s">
        <v>6747</v>
      </c>
      <c r="C118" s="166">
        <v>44900</v>
      </c>
      <c r="D118" s="166">
        <v>44900</v>
      </c>
      <c r="E118" t="s">
        <v>891</v>
      </c>
    </row>
    <row r="119" spans="1:7" x14ac:dyDescent="0.25">
      <c r="A119" t="s">
        <v>503</v>
      </c>
      <c r="B119" t="s">
        <v>6747</v>
      </c>
      <c r="C119" s="166">
        <v>44900</v>
      </c>
      <c r="D119" s="166">
        <v>44900</v>
      </c>
      <c r="E119" t="s">
        <v>6786</v>
      </c>
    </row>
    <row r="120" spans="1:7" x14ac:dyDescent="0.25">
      <c r="A120" t="s">
        <v>501</v>
      </c>
      <c r="B120" t="s">
        <v>6747</v>
      </c>
      <c r="C120" s="166">
        <v>44900</v>
      </c>
      <c r="D120" s="166">
        <v>44900</v>
      </c>
      <c r="E120" t="s">
        <v>6786</v>
      </c>
    </row>
    <row r="121" spans="1:7" x14ac:dyDescent="0.25">
      <c r="A121" t="s">
        <v>641</v>
      </c>
      <c r="B121" t="s">
        <v>6747</v>
      </c>
      <c r="C121" s="166">
        <v>44900</v>
      </c>
      <c r="D121" s="166">
        <v>44900</v>
      </c>
      <c r="E121" t="s">
        <v>6786</v>
      </c>
    </row>
    <row r="122" spans="1:7" x14ac:dyDescent="0.25">
      <c r="A122" t="s">
        <v>3872</v>
      </c>
      <c r="B122" t="s">
        <v>6747</v>
      </c>
      <c r="C122" s="166">
        <v>44899</v>
      </c>
      <c r="D122" s="166">
        <v>44899</v>
      </c>
      <c r="E122" t="s">
        <v>6799</v>
      </c>
      <c r="F122" t="s">
        <v>6800</v>
      </c>
    </row>
    <row r="123" spans="1:7" x14ac:dyDescent="0.25">
      <c r="A123" t="s">
        <v>6774</v>
      </c>
      <c r="B123" t="s">
        <v>6747</v>
      </c>
      <c r="C123" s="166">
        <v>44899</v>
      </c>
      <c r="D123" s="166">
        <v>44899</v>
      </c>
      <c r="E123" t="s">
        <v>6801</v>
      </c>
      <c r="F123" t="s">
        <v>6800</v>
      </c>
    </row>
    <row r="124" spans="1:7" x14ac:dyDescent="0.25">
      <c r="A124" t="s">
        <v>551</v>
      </c>
      <c r="B124" t="s">
        <v>6747</v>
      </c>
      <c r="C124" s="166">
        <v>44899</v>
      </c>
      <c r="D124" s="166">
        <v>44899</v>
      </c>
      <c r="E124" t="s">
        <v>6802</v>
      </c>
      <c r="F124" t="s">
        <v>6803</v>
      </c>
    </row>
    <row r="125" spans="1:7" x14ac:dyDescent="0.25">
      <c r="A125" t="s">
        <v>3882</v>
      </c>
      <c r="B125" t="s">
        <v>6747</v>
      </c>
      <c r="C125" s="166">
        <v>44899</v>
      </c>
      <c r="D125" s="166">
        <v>44899</v>
      </c>
      <c r="E125" t="s">
        <v>6804</v>
      </c>
    </row>
    <row r="126" spans="1:7" x14ac:dyDescent="0.25">
      <c r="A126" t="s">
        <v>3885</v>
      </c>
      <c r="B126" t="s">
        <v>6747</v>
      </c>
      <c r="C126" s="166">
        <v>44899</v>
      </c>
      <c r="D126" s="166">
        <v>44899</v>
      </c>
      <c r="E126" t="s">
        <v>6805</v>
      </c>
    </row>
    <row r="127" spans="1:7" x14ac:dyDescent="0.25">
      <c r="A127" t="s">
        <v>2060</v>
      </c>
      <c r="B127" t="s">
        <v>6747</v>
      </c>
      <c r="C127" s="166">
        <v>44899</v>
      </c>
      <c r="D127" s="166">
        <v>44899</v>
      </c>
      <c r="E127" t="s">
        <v>6806</v>
      </c>
      <c r="F127" t="s">
        <v>6807</v>
      </c>
      <c r="G127" t="s">
        <v>4038</v>
      </c>
    </row>
    <row r="128" spans="1:7" x14ac:dyDescent="0.25">
      <c r="A128" t="s">
        <v>3540</v>
      </c>
      <c r="B128" t="s">
        <v>6747</v>
      </c>
      <c r="C128" s="166">
        <v>44899</v>
      </c>
      <c r="D128" s="166">
        <v>44899</v>
      </c>
      <c r="E128" t="s">
        <v>6805</v>
      </c>
    </row>
    <row r="129" spans="1:7" x14ac:dyDescent="0.25">
      <c r="A129" t="s">
        <v>6775</v>
      </c>
      <c r="B129" t="s">
        <v>6747</v>
      </c>
      <c r="C129" s="166">
        <v>44899</v>
      </c>
      <c r="D129" s="166">
        <v>44899</v>
      </c>
    </row>
    <row r="130" spans="1:7" x14ac:dyDescent="0.25">
      <c r="A130" t="s">
        <v>2308</v>
      </c>
      <c r="B130" t="s">
        <v>6747</v>
      </c>
      <c r="C130" s="166">
        <v>44899</v>
      </c>
      <c r="D130" s="166">
        <v>44899</v>
      </c>
    </row>
    <row r="131" spans="1:7" x14ac:dyDescent="0.25">
      <c r="A131" t="s">
        <v>1495</v>
      </c>
      <c r="B131" t="s">
        <v>6747</v>
      </c>
      <c r="C131" s="166">
        <v>44899</v>
      </c>
      <c r="D131" s="166">
        <v>44899</v>
      </c>
    </row>
    <row r="132" spans="1:7" x14ac:dyDescent="0.25">
      <c r="A132" t="s">
        <v>3638</v>
      </c>
      <c r="B132" t="s">
        <v>6747</v>
      </c>
      <c r="C132" s="166">
        <v>44899</v>
      </c>
      <c r="D132" s="166">
        <v>44899</v>
      </c>
      <c r="E132" t="s">
        <v>6808</v>
      </c>
    </row>
    <row r="133" spans="1:7" x14ac:dyDescent="0.25">
      <c r="A133" t="s">
        <v>6776</v>
      </c>
      <c r="B133" t="s">
        <v>6747</v>
      </c>
      <c r="C133" s="166">
        <v>44899</v>
      </c>
      <c r="D133" s="166">
        <v>44899</v>
      </c>
      <c r="E133" t="s">
        <v>6808</v>
      </c>
    </row>
    <row r="134" spans="1:7" x14ac:dyDescent="0.25">
      <c r="A134" t="s">
        <v>6777</v>
      </c>
      <c r="B134" t="s">
        <v>6747</v>
      </c>
      <c r="C134" s="166">
        <v>44899</v>
      </c>
      <c r="D134" s="166">
        <v>44899</v>
      </c>
      <c r="E134" t="s">
        <v>6809</v>
      </c>
      <c r="F134" t="s">
        <v>6805</v>
      </c>
    </row>
    <row r="135" spans="1:7" x14ac:dyDescent="0.25">
      <c r="A135" t="s">
        <v>775</v>
      </c>
      <c r="B135" t="s">
        <v>6747</v>
      </c>
      <c r="C135" s="166">
        <v>44899</v>
      </c>
      <c r="D135" s="166">
        <v>44899</v>
      </c>
      <c r="E135" t="s">
        <v>6805</v>
      </c>
    </row>
    <row r="136" spans="1:7" x14ac:dyDescent="0.25">
      <c r="A136" t="s">
        <v>6773</v>
      </c>
      <c r="B136" t="s">
        <v>6747</v>
      </c>
      <c r="C136" s="166">
        <v>44898</v>
      </c>
      <c r="D136" s="166">
        <v>44898</v>
      </c>
      <c r="E136" t="s">
        <v>6797</v>
      </c>
      <c r="F136" t="s">
        <v>6798</v>
      </c>
    </row>
    <row r="137" spans="1:7" x14ac:dyDescent="0.25">
      <c r="A137" t="s">
        <v>805</v>
      </c>
      <c r="B137" t="s">
        <v>6747</v>
      </c>
      <c r="C137" s="166">
        <v>44897</v>
      </c>
      <c r="D137" s="166">
        <v>44897</v>
      </c>
      <c r="E137" t="s">
        <v>6783</v>
      </c>
    </row>
    <row r="138" spans="1:7" x14ac:dyDescent="0.25">
      <c r="A138" t="s">
        <v>6771</v>
      </c>
      <c r="B138" t="s">
        <v>6747</v>
      </c>
      <c r="C138" s="166">
        <v>44897</v>
      </c>
      <c r="D138" s="166">
        <v>44897</v>
      </c>
      <c r="E138" t="s">
        <v>6784</v>
      </c>
    </row>
    <row r="139" spans="1:7" x14ac:dyDescent="0.25">
      <c r="A139" t="s">
        <v>1387</v>
      </c>
      <c r="B139" t="s">
        <v>6747</v>
      </c>
      <c r="C139" s="166">
        <v>44897</v>
      </c>
      <c r="D139" s="166">
        <v>44897</v>
      </c>
      <c r="E139" t="s">
        <v>6792</v>
      </c>
      <c r="F139" t="s">
        <v>6791</v>
      </c>
      <c r="G139" t="s">
        <v>158</v>
      </c>
    </row>
    <row r="140" spans="1:7" x14ac:dyDescent="0.25">
      <c r="A140" t="s">
        <v>6772</v>
      </c>
      <c r="B140" t="s">
        <v>6747</v>
      </c>
      <c r="C140" s="166">
        <v>44897</v>
      </c>
      <c r="D140" s="166">
        <v>44897</v>
      </c>
      <c r="E140" t="s">
        <v>6784</v>
      </c>
    </row>
    <row r="141" spans="1:7" x14ac:dyDescent="0.25">
      <c r="A141" t="s">
        <v>2833</v>
      </c>
      <c r="B141" t="s">
        <v>6747</v>
      </c>
      <c r="C141" s="166">
        <v>44897</v>
      </c>
      <c r="D141" s="166">
        <v>44897</v>
      </c>
      <c r="E141" t="s">
        <v>6787</v>
      </c>
    </row>
    <row r="142" spans="1:7" x14ac:dyDescent="0.25">
      <c r="A142" t="s">
        <v>2038</v>
      </c>
      <c r="B142" t="s">
        <v>6747</v>
      </c>
      <c r="C142" s="166">
        <v>44897</v>
      </c>
      <c r="D142" s="166">
        <v>44897</v>
      </c>
      <c r="E142" t="s">
        <v>6788</v>
      </c>
    </row>
    <row r="143" spans="1:7" x14ac:dyDescent="0.25">
      <c r="A143" t="s">
        <v>753</v>
      </c>
      <c r="B143" t="s">
        <v>6747</v>
      </c>
      <c r="C143" s="166">
        <v>44897</v>
      </c>
      <c r="D143" s="166">
        <v>44897</v>
      </c>
      <c r="E143" t="s">
        <v>6793</v>
      </c>
      <c r="F143" t="s">
        <v>6794</v>
      </c>
    </row>
    <row r="144" spans="1:7" x14ac:dyDescent="0.25">
      <c r="A144" t="s">
        <v>3869</v>
      </c>
      <c r="B144" t="s">
        <v>6747</v>
      </c>
      <c r="C144" s="166">
        <v>44897</v>
      </c>
      <c r="D144" s="166">
        <v>44897</v>
      </c>
      <c r="E144" t="s">
        <v>6795</v>
      </c>
      <c r="F144" t="s">
        <v>6796</v>
      </c>
    </row>
    <row r="145" spans="1:2" x14ac:dyDescent="0.25">
      <c r="A145" t="s">
        <v>3607</v>
      </c>
      <c r="B145" t="s">
        <v>6747</v>
      </c>
    </row>
  </sheetData>
  <sortState xmlns:xlrd2="http://schemas.microsoft.com/office/spreadsheetml/2017/richdata2" ref="A2:G145">
    <sortCondition descending="1" ref="C2:C145"/>
    <sortCondition ref="B2:B145"/>
  </sortState>
  <phoneticPr fontId="27"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29</v>
      </c>
      <c r="B2" s="33">
        <v>44613</v>
      </c>
      <c r="C2" t="s">
        <v>5631</v>
      </c>
      <c r="G2" t="s">
        <v>5632</v>
      </c>
    </row>
    <row r="3" spans="1:8" x14ac:dyDescent="0.25">
      <c r="A3" t="s">
        <v>87</v>
      </c>
      <c r="B3" s="33">
        <v>44613</v>
      </c>
      <c r="C3" t="s">
        <v>5631</v>
      </c>
      <c r="G3" t="s">
        <v>5632</v>
      </c>
    </row>
    <row r="4" spans="1:8" x14ac:dyDescent="0.25">
      <c r="A4" t="s">
        <v>1620</v>
      </c>
      <c r="B4" s="33">
        <v>44613</v>
      </c>
      <c r="C4" t="s">
        <v>5631</v>
      </c>
      <c r="G4" t="s">
        <v>5632</v>
      </c>
    </row>
    <row r="5" spans="1:8" x14ac:dyDescent="0.25">
      <c r="A5" t="s">
        <v>5604</v>
      </c>
      <c r="B5" s="33">
        <v>44596</v>
      </c>
      <c r="G5" t="s">
        <v>5605</v>
      </c>
    </row>
    <row r="6" spans="1:8" x14ac:dyDescent="0.25">
      <c r="A6" t="s">
        <v>5612</v>
      </c>
      <c r="B6" s="33">
        <v>44599</v>
      </c>
      <c r="C6" t="s">
        <v>4088</v>
      </c>
      <c r="G6" t="s">
        <v>5613</v>
      </c>
    </row>
    <row r="7" spans="1:8" x14ac:dyDescent="0.25">
      <c r="A7" t="s">
        <v>4071</v>
      </c>
      <c r="B7" s="33">
        <v>44582</v>
      </c>
      <c r="C7" t="s">
        <v>4072</v>
      </c>
      <c r="G7" t="s">
        <v>4075</v>
      </c>
    </row>
    <row r="8" spans="1:8" x14ac:dyDescent="0.25">
      <c r="A8" t="s">
        <v>390</v>
      </c>
      <c r="B8" s="33">
        <v>44613</v>
      </c>
      <c r="C8" t="s">
        <v>5631</v>
      </c>
      <c r="G8" t="s">
        <v>5632</v>
      </c>
    </row>
    <row r="9" spans="1:8" x14ac:dyDescent="0.25">
      <c r="A9" t="s">
        <v>28</v>
      </c>
      <c r="B9" s="33">
        <v>44613</v>
      </c>
      <c r="C9" t="s">
        <v>5631</v>
      </c>
      <c r="G9" t="s">
        <v>5632</v>
      </c>
    </row>
    <row r="10" spans="1:8" x14ac:dyDescent="0.25">
      <c r="A10" t="s">
        <v>3164</v>
      </c>
      <c r="B10" s="33">
        <v>44675</v>
      </c>
      <c r="C10" t="s">
        <v>5638</v>
      </c>
      <c r="G10" t="s">
        <v>5651</v>
      </c>
    </row>
    <row r="11" spans="1:8" x14ac:dyDescent="0.25">
      <c r="A11" t="s">
        <v>3774</v>
      </c>
      <c r="B11" s="33">
        <v>44613</v>
      </c>
      <c r="C11" t="s">
        <v>5631</v>
      </c>
      <c r="G11" t="s">
        <v>5632</v>
      </c>
    </row>
    <row r="12" spans="1:8" x14ac:dyDescent="0.25">
      <c r="A12" t="s">
        <v>443</v>
      </c>
      <c r="B12" s="33">
        <v>44613</v>
      </c>
      <c r="C12" t="s">
        <v>5631</v>
      </c>
      <c r="G12" t="s">
        <v>5632</v>
      </c>
    </row>
    <row r="13" spans="1:8" x14ac:dyDescent="0.25">
      <c r="A13" t="s">
        <v>98</v>
      </c>
      <c r="B13" s="33">
        <v>44675</v>
      </c>
      <c r="C13" t="s">
        <v>5638</v>
      </c>
      <c r="G13" t="s">
        <v>5644</v>
      </c>
    </row>
    <row r="14" spans="1:8" x14ac:dyDescent="0.25">
      <c r="A14" t="s">
        <v>3857</v>
      </c>
      <c r="B14" s="33">
        <v>44590</v>
      </c>
      <c r="C14" t="s">
        <v>4077</v>
      </c>
      <c r="G14" t="s">
        <v>5067</v>
      </c>
    </row>
    <row r="15" spans="1:8" x14ac:dyDescent="0.25">
      <c r="A15" t="s">
        <v>99</v>
      </c>
      <c r="B15" s="33">
        <v>44613</v>
      </c>
      <c r="C15" t="s">
        <v>5631</v>
      </c>
      <c r="G15" t="s">
        <v>5632</v>
      </c>
    </row>
    <row r="16" spans="1:8" x14ac:dyDescent="0.25">
      <c r="A16" t="s">
        <v>38</v>
      </c>
      <c r="B16" s="33">
        <v>44613</v>
      </c>
      <c r="C16" t="s">
        <v>5631</v>
      </c>
      <c r="G16" t="s">
        <v>5632</v>
      </c>
    </row>
    <row r="17" spans="1:7" x14ac:dyDescent="0.25">
      <c r="A17" t="s">
        <v>4074</v>
      </c>
      <c r="B17" s="33">
        <v>44582</v>
      </c>
      <c r="C17" t="s">
        <v>4072</v>
      </c>
      <c r="G17" t="s">
        <v>4073</v>
      </c>
    </row>
    <row r="18" spans="1:7" x14ac:dyDescent="0.25">
      <c r="A18" t="s">
        <v>3195</v>
      </c>
      <c r="B18" s="33">
        <v>44590</v>
      </c>
      <c r="C18" t="s">
        <v>4077</v>
      </c>
      <c r="G18" t="s">
        <v>5068</v>
      </c>
    </row>
    <row r="19" spans="1:7" x14ac:dyDescent="0.25">
      <c r="A19" t="s">
        <v>356</v>
      </c>
      <c r="B19" s="33">
        <v>44613</v>
      </c>
      <c r="C19" t="s">
        <v>5631</v>
      </c>
      <c r="G19" t="s">
        <v>5632</v>
      </c>
    </row>
    <row r="20" spans="1:7" x14ac:dyDescent="0.25">
      <c r="A20" t="s">
        <v>4070</v>
      </c>
      <c r="B20" s="33">
        <v>44582</v>
      </c>
      <c r="C20" t="s">
        <v>4072</v>
      </c>
      <c r="G20" t="s">
        <v>4075</v>
      </c>
    </row>
    <row r="21" spans="1:7" x14ac:dyDescent="0.25">
      <c r="A21" t="s">
        <v>104</v>
      </c>
      <c r="B21" s="33">
        <v>44675</v>
      </c>
      <c r="C21" t="s">
        <v>5638</v>
      </c>
      <c r="G21" t="s">
        <v>5647</v>
      </c>
    </row>
    <row r="22" spans="1:7" ht="30" x14ac:dyDescent="0.25">
      <c r="A22" t="s">
        <v>517</v>
      </c>
      <c r="B22" s="33">
        <v>44596</v>
      </c>
      <c r="G22" s="88" t="s">
        <v>5623</v>
      </c>
    </row>
    <row r="23" spans="1:7" x14ac:dyDescent="0.25">
      <c r="A23" t="s">
        <v>26</v>
      </c>
      <c r="B23" s="33">
        <v>44595</v>
      </c>
      <c r="G23" t="s">
        <v>5603</v>
      </c>
    </row>
    <row r="24" spans="1:7" ht="30" x14ac:dyDescent="0.25">
      <c r="A24" t="s">
        <v>351</v>
      </c>
      <c r="B24" s="33">
        <v>44583</v>
      </c>
      <c r="C24" t="s">
        <v>4077</v>
      </c>
      <c r="G24" s="88" t="s">
        <v>4078</v>
      </c>
    </row>
    <row r="25" spans="1:7" ht="30" x14ac:dyDescent="0.25">
      <c r="A25" t="s">
        <v>13</v>
      </c>
      <c r="B25" s="33">
        <v>44599</v>
      </c>
      <c r="C25" t="s">
        <v>4088</v>
      </c>
      <c r="G25" s="88" t="s">
        <v>5624</v>
      </c>
    </row>
    <row r="26" spans="1:7" x14ac:dyDescent="0.25">
      <c r="A26" t="s">
        <v>441</v>
      </c>
      <c r="B26" s="33">
        <v>44639</v>
      </c>
      <c r="C26" t="s">
        <v>5638</v>
      </c>
      <c r="G26" t="s">
        <v>5639</v>
      </c>
    </row>
    <row r="27" spans="1:7" x14ac:dyDescent="0.25">
      <c r="A27" t="s">
        <v>5069</v>
      </c>
      <c r="B27" s="33">
        <v>44591</v>
      </c>
      <c r="C27" t="s">
        <v>4091</v>
      </c>
      <c r="G27" t="s">
        <v>5070</v>
      </c>
    </row>
    <row r="28" spans="1:7" x14ac:dyDescent="0.25">
      <c r="A28" t="s">
        <v>59</v>
      </c>
      <c r="B28" s="33">
        <v>44675</v>
      </c>
      <c r="C28" t="s">
        <v>5638</v>
      </c>
      <c r="G28" t="s">
        <v>5645</v>
      </c>
    </row>
    <row r="29" spans="1:7" x14ac:dyDescent="0.25">
      <c r="A29" t="s">
        <v>3273</v>
      </c>
      <c r="B29" s="33">
        <v>44599</v>
      </c>
      <c r="C29" t="s">
        <v>4088</v>
      </c>
      <c r="G29" t="s">
        <v>5610</v>
      </c>
    </row>
    <row r="30" spans="1:7" x14ac:dyDescent="0.25">
      <c r="A30" t="s">
        <v>3178</v>
      </c>
      <c r="B30" s="33">
        <v>44675</v>
      </c>
      <c r="C30" t="s">
        <v>5638</v>
      </c>
      <c r="G30" t="s">
        <v>5646</v>
      </c>
    </row>
    <row r="31" spans="1:7" x14ac:dyDescent="0.25">
      <c r="A31" t="s">
        <v>407</v>
      </c>
      <c r="B31" s="33">
        <v>44675</v>
      </c>
      <c r="C31" t="s">
        <v>5638</v>
      </c>
      <c r="G31" t="s">
        <v>5649</v>
      </c>
    </row>
    <row r="32" spans="1:7" x14ac:dyDescent="0.25">
      <c r="A32" t="s">
        <v>51</v>
      </c>
      <c r="B32" s="33">
        <v>44595</v>
      </c>
      <c r="G32" t="s">
        <v>5603</v>
      </c>
    </row>
    <row r="33" spans="1:8" x14ac:dyDescent="0.25">
      <c r="A33" t="s">
        <v>3516</v>
      </c>
      <c r="B33" s="33">
        <v>44596</v>
      </c>
      <c r="C33" t="s">
        <v>4088</v>
      </c>
      <c r="G33" t="s">
        <v>5607</v>
      </c>
    </row>
    <row r="34" spans="1:8" ht="30" x14ac:dyDescent="0.25">
      <c r="A34" t="s">
        <v>4065</v>
      </c>
      <c r="B34" s="33">
        <v>44582</v>
      </c>
      <c r="C34" t="s">
        <v>4072</v>
      </c>
      <c r="G34" t="s">
        <v>4075</v>
      </c>
      <c r="H34" s="88" t="s">
        <v>5627</v>
      </c>
    </row>
    <row r="35" spans="1:8" x14ac:dyDescent="0.25">
      <c r="A35" t="s">
        <v>307</v>
      </c>
      <c r="B35" s="33">
        <v>44613</v>
      </c>
      <c r="G35" t="s">
        <v>5628</v>
      </c>
    </row>
    <row r="36" spans="1:8" x14ac:dyDescent="0.25">
      <c r="A36" t="s">
        <v>5629</v>
      </c>
      <c r="B36" s="33">
        <v>44613</v>
      </c>
      <c r="C36" t="s">
        <v>4088</v>
      </c>
      <c r="G36" t="s">
        <v>5630</v>
      </c>
    </row>
    <row r="37" spans="1:8" x14ac:dyDescent="0.25">
      <c r="A37" t="s">
        <v>3255</v>
      </c>
      <c r="B37" s="33">
        <v>44608</v>
      </c>
      <c r="C37" t="s">
        <v>4088</v>
      </c>
      <c r="G37" t="s">
        <v>5626</v>
      </c>
    </row>
    <row r="38" spans="1:8" x14ac:dyDescent="0.25">
      <c r="A38" t="s">
        <v>3207</v>
      </c>
      <c r="B38" s="33">
        <v>44606</v>
      </c>
      <c r="G38" t="s">
        <v>5621</v>
      </c>
    </row>
    <row r="39" spans="1:8" ht="30" x14ac:dyDescent="0.25">
      <c r="A39" t="s">
        <v>24</v>
      </c>
      <c r="B39" s="33">
        <v>44592</v>
      </c>
      <c r="G39" s="60" t="s">
        <v>5622</v>
      </c>
    </row>
    <row r="40" spans="1:8" x14ac:dyDescent="0.25">
      <c r="A40" t="s">
        <v>3814</v>
      </c>
      <c r="B40" s="33">
        <v>44583</v>
      </c>
      <c r="C40" t="s">
        <v>4079</v>
      </c>
      <c r="G40" t="s">
        <v>4080</v>
      </c>
    </row>
    <row r="41" spans="1:8" x14ac:dyDescent="0.25">
      <c r="A41" t="s">
        <v>4066</v>
      </c>
      <c r="B41" s="33">
        <v>44582</v>
      </c>
      <c r="C41" t="s">
        <v>4072</v>
      </c>
      <c r="G41" t="s">
        <v>4075</v>
      </c>
    </row>
    <row r="42" spans="1:8" x14ac:dyDescent="0.25">
      <c r="A42" t="s">
        <v>1895</v>
      </c>
      <c r="B42" s="33">
        <v>44582</v>
      </c>
      <c r="C42" t="s">
        <v>4072</v>
      </c>
      <c r="G42" t="s">
        <v>4076</v>
      </c>
    </row>
    <row r="43" spans="1:8" ht="45" x14ac:dyDescent="0.25">
      <c r="A43" t="s">
        <v>3227</v>
      </c>
      <c r="B43" s="33">
        <v>44592</v>
      </c>
      <c r="G43" s="88" t="s">
        <v>5625</v>
      </c>
    </row>
    <row r="44" spans="1:8" x14ac:dyDescent="0.25">
      <c r="A44" t="s">
        <v>474</v>
      </c>
      <c r="B44" s="33">
        <v>44599</v>
      </c>
      <c r="C44" t="s">
        <v>4088</v>
      </c>
      <c r="G44" t="s">
        <v>5611</v>
      </c>
    </row>
    <row r="45" spans="1:8" x14ac:dyDescent="0.25">
      <c r="A45" t="s">
        <v>3381</v>
      </c>
      <c r="B45" s="33">
        <v>44592</v>
      </c>
      <c r="G45" t="s">
        <v>5072</v>
      </c>
    </row>
    <row r="46" spans="1:8" x14ac:dyDescent="0.25">
      <c r="A46" t="s">
        <v>199</v>
      </c>
      <c r="B46" s="33">
        <v>44675</v>
      </c>
      <c r="C46" t="s">
        <v>5638</v>
      </c>
      <c r="G46" t="s">
        <v>5648</v>
      </c>
    </row>
    <row r="47" spans="1:8" x14ac:dyDescent="0.25">
      <c r="A47" t="s">
        <v>3244</v>
      </c>
      <c r="B47" s="33">
        <v>44589</v>
      </c>
      <c r="C47" t="s">
        <v>4088</v>
      </c>
      <c r="G47" t="s">
        <v>5071</v>
      </c>
    </row>
    <row r="48" spans="1:8" x14ac:dyDescent="0.25">
      <c r="A48" t="s">
        <v>2236</v>
      </c>
      <c r="B48" s="33">
        <v>44583</v>
      </c>
      <c r="C48" t="s">
        <v>4081</v>
      </c>
      <c r="G48" t="s">
        <v>4082</v>
      </c>
    </row>
    <row r="49" spans="1:7" x14ac:dyDescent="0.25">
      <c r="A49" t="s">
        <v>210</v>
      </c>
      <c r="B49" s="33">
        <v>44592</v>
      </c>
      <c r="G49" t="s">
        <v>5073</v>
      </c>
    </row>
    <row r="50" spans="1:7" x14ac:dyDescent="0.25">
      <c r="A50" t="s">
        <v>5670</v>
      </c>
      <c r="B50" s="33">
        <v>44686</v>
      </c>
      <c r="C50" t="s">
        <v>4088</v>
      </c>
      <c r="G50" t="s">
        <v>5671</v>
      </c>
    </row>
  </sheetData>
  <sortState xmlns:xlrd2="http://schemas.microsoft.com/office/spreadsheetml/2017/richdata2" ref="A2:H50">
    <sortCondition ref="D2:D50"/>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4089</v>
      </c>
      <c r="B2" s="33">
        <v>44589</v>
      </c>
      <c r="C2" t="s">
        <v>4091</v>
      </c>
      <c r="D2" t="s">
        <v>4073</v>
      </c>
      <c r="G2" t="s">
        <v>4090</v>
      </c>
    </row>
    <row r="3" spans="1:8" x14ac:dyDescent="0.25">
      <c r="A3" t="s">
        <v>5678</v>
      </c>
      <c r="B3" s="33">
        <v>44686</v>
      </c>
      <c r="C3" t="s">
        <v>4044</v>
      </c>
      <c r="D3" t="s">
        <v>4073</v>
      </c>
      <c r="G3" t="s">
        <v>5679</v>
      </c>
    </row>
    <row r="4" spans="1:8" x14ac:dyDescent="0.25">
      <c r="A4" t="s">
        <v>5656</v>
      </c>
      <c r="B4" s="33">
        <v>44686</v>
      </c>
      <c r="C4" t="s">
        <v>5638</v>
      </c>
      <c r="D4" t="s">
        <v>4073</v>
      </c>
      <c r="G4" t="s">
        <v>5658</v>
      </c>
    </row>
    <row r="5" spans="1:8" x14ac:dyDescent="0.25">
      <c r="A5" t="s">
        <v>5654</v>
      </c>
      <c r="B5" s="33">
        <v>44686</v>
      </c>
      <c r="C5" t="s">
        <v>5638</v>
      </c>
      <c r="D5" t="s">
        <v>4073</v>
      </c>
      <c r="G5" t="s">
        <v>5655</v>
      </c>
    </row>
    <row r="6" spans="1:8" x14ac:dyDescent="0.25">
      <c r="A6" t="s">
        <v>5657</v>
      </c>
      <c r="B6" s="33">
        <v>44686</v>
      </c>
      <c r="C6" t="s">
        <v>5638</v>
      </c>
      <c r="D6" t="s">
        <v>4073</v>
      </c>
      <c r="G6" t="s">
        <v>5659</v>
      </c>
    </row>
    <row r="7" spans="1:8" x14ac:dyDescent="0.25">
      <c r="A7" t="s">
        <v>5663</v>
      </c>
      <c r="B7" s="33">
        <v>44675</v>
      </c>
      <c r="C7" t="s">
        <v>5638</v>
      </c>
      <c r="D7" t="s">
        <v>4073</v>
      </c>
      <c r="G7" t="s">
        <v>5650</v>
      </c>
    </row>
    <row r="8" spans="1:8" x14ac:dyDescent="0.25">
      <c r="A8" t="s">
        <v>5652</v>
      </c>
      <c r="B8" s="33">
        <v>44686</v>
      </c>
      <c r="C8" t="s">
        <v>5638</v>
      </c>
      <c r="D8" t="s">
        <v>4073</v>
      </c>
      <c r="G8" t="s">
        <v>5653</v>
      </c>
    </row>
    <row r="9" spans="1:8" x14ac:dyDescent="0.25">
      <c r="A9" t="s">
        <v>5674</v>
      </c>
      <c r="B9" s="33">
        <v>44686</v>
      </c>
      <c r="C9" t="s">
        <v>4044</v>
      </c>
      <c r="D9" t="s">
        <v>4073</v>
      </c>
      <c r="G9" t="s">
        <v>5675</v>
      </c>
    </row>
    <row r="10" spans="1:8" x14ac:dyDescent="0.25">
      <c r="A10" t="s">
        <v>5666</v>
      </c>
      <c r="B10" s="33">
        <v>44686</v>
      </c>
      <c r="C10" t="s">
        <v>4088</v>
      </c>
      <c r="D10" t="s">
        <v>4073</v>
      </c>
      <c r="G10" t="s">
        <v>5667</v>
      </c>
    </row>
    <row r="11" spans="1:8" x14ac:dyDescent="0.25">
      <c r="A11" t="s">
        <v>4068</v>
      </c>
      <c r="B11" s="33">
        <v>44582</v>
      </c>
      <c r="C11" t="s">
        <v>4072</v>
      </c>
      <c r="D11" t="s">
        <v>4073</v>
      </c>
      <c r="G11" t="s">
        <v>5664</v>
      </c>
    </row>
    <row r="12" spans="1:8" x14ac:dyDescent="0.25">
      <c r="A12" t="s">
        <v>5660</v>
      </c>
      <c r="B12" s="33">
        <v>44686</v>
      </c>
      <c r="C12" t="s">
        <v>5638</v>
      </c>
      <c r="D12" t="s">
        <v>4073</v>
      </c>
      <c r="G12" t="s">
        <v>5661</v>
      </c>
    </row>
    <row r="13" spans="1:8" x14ac:dyDescent="0.25">
      <c r="A13" t="s">
        <v>5676</v>
      </c>
      <c r="B13" s="33">
        <v>44686</v>
      </c>
      <c r="C13" t="s">
        <v>4044</v>
      </c>
      <c r="D13" t="s">
        <v>4073</v>
      </c>
      <c r="G13" t="s">
        <v>5677</v>
      </c>
    </row>
    <row r="14" spans="1:8" x14ac:dyDescent="0.25">
      <c r="A14" t="s">
        <v>5668</v>
      </c>
      <c r="B14" s="33">
        <v>44686</v>
      </c>
      <c r="C14" t="s">
        <v>4088</v>
      </c>
      <c r="D14" t="s">
        <v>4073</v>
      </c>
      <c r="G14" t="s">
        <v>5669</v>
      </c>
    </row>
    <row r="15" spans="1:8" x14ac:dyDescent="0.25">
      <c r="A15" t="s">
        <v>4067</v>
      </c>
      <c r="B15" s="33">
        <v>44582</v>
      </c>
      <c r="C15" t="s">
        <v>4072</v>
      </c>
      <c r="D15" t="s">
        <v>4073</v>
      </c>
      <c r="G15" t="s">
        <v>5665</v>
      </c>
    </row>
    <row r="16" spans="1:8" x14ac:dyDescent="0.25">
      <c r="A16" t="s">
        <v>5672</v>
      </c>
      <c r="B16" s="33">
        <v>44686</v>
      </c>
      <c r="C16" t="s">
        <v>4044</v>
      </c>
      <c r="D16" t="s">
        <v>4073</v>
      </c>
      <c r="G16" t="s">
        <v>5673</v>
      </c>
    </row>
    <row r="17" spans="1:7" x14ac:dyDescent="0.25">
      <c r="A17" t="s">
        <v>4069</v>
      </c>
      <c r="B17" s="33">
        <v>44582</v>
      </c>
      <c r="C17" t="s">
        <v>4072</v>
      </c>
      <c r="D17" t="s">
        <v>4073</v>
      </c>
      <c r="G17" t="s">
        <v>5606</v>
      </c>
    </row>
    <row r="18" spans="1:7" x14ac:dyDescent="0.25">
      <c r="A18" t="s">
        <v>5680</v>
      </c>
      <c r="B18" s="33">
        <v>44686</v>
      </c>
      <c r="C18" t="s">
        <v>5681</v>
      </c>
      <c r="D18" t="s">
        <v>4073</v>
      </c>
      <c r="G18" t="s">
        <v>5682</v>
      </c>
    </row>
    <row r="19" spans="1:7" x14ac:dyDescent="0.25">
      <c r="A19" t="s">
        <v>5683</v>
      </c>
      <c r="B19" s="33">
        <v>44686</v>
      </c>
      <c r="C19" t="s">
        <v>5681</v>
      </c>
      <c r="D19" t="s">
        <v>4073</v>
      </c>
      <c r="G19" t="s">
        <v>5684</v>
      </c>
    </row>
    <row r="20" spans="1:7" x14ac:dyDescent="0.25">
      <c r="A20" t="s">
        <v>5685</v>
      </c>
      <c r="B20" s="33">
        <v>44686</v>
      </c>
      <c r="C20" t="s">
        <v>5681</v>
      </c>
      <c r="D20" t="s">
        <v>4073</v>
      </c>
      <c r="G20" t="s">
        <v>5686</v>
      </c>
    </row>
  </sheetData>
  <sortState xmlns:xlrd2="http://schemas.microsoft.com/office/spreadsheetml/2017/richdata2" ref="A2:H17">
    <sortCondition ref="A2:A17"/>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294"/>
  <sheetViews>
    <sheetView topLeftCell="A40" workbookViewId="0">
      <selection activeCell="A12" sqref="A12"/>
    </sheetView>
  </sheetViews>
  <sheetFormatPr defaultColWidth="9.140625" defaultRowHeight="15.75" customHeight="1" x14ac:dyDescent="0.25"/>
  <cols>
    <col min="1" max="1" width="13" style="95" customWidth="1"/>
    <col min="2" max="2" width="63.140625" style="125" customWidth="1"/>
    <col min="3" max="3" width="43.5703125" style="94" customWidth="1"/>
    <col min="4" max="4" width="14" style="94" customWidth="1"/>
    <col min="5" max="5" width="20" style="117" customWidth="1"/>
    <col min="6" max="6" width="16.28515625" style="117" customWidth="1"/>
    <col min="7" max="7" width="56.85546875" style="94" customWidth="1"/>
    <col min="8" max="8" width="19.28515625" style="103" customWidth="1"/>
    <col min="9" max="16384" width="9.140625" style="94"/>
  </cols>
  <sheetData>
    <row r="1" spans="1:8" s="90" customFormat="1" ht="20.25" customHeight="1" x14ac:dyDescent="0.3">
      <c r="A1" s="108" t="s">
        <v>410</v>
      </c>
      <c r="B1" s="109" t="s">
        <v>5687</v>
      </c>
      <c r="C1" s="110" t="s">
        <v>5688</v>
      </c>
      <c r="D1" s="110" t="s">
        <v>5689</v>
      </c>
      <c r="E1" s="112" t="s">
        <v>5690</v>
      </c>
      <c r="F1" s="112" t="s">
        <v>5691</v>
      </c>
      <c r="G1" s="110" t="s">
        <v>5692</v>
      </c>
      <c r="H1" s="111" t="s">
        <v>6677</v>
      </c>
    </row>
    <row r="2" spans="1:8" ht="15.75" customHeight="1" x14ac:dyDescent="0.25">
      <c r="A2" s="91" t="s">
        <v>5839</v>
      </c>
      <c r="B2" s="92" t="s">
        <v>5840</v>
      </c>
      <c r="C2" s="93" t="s">
        <v>5841</v>
      </c>
      <c r="D2" s="93" t="s">
        <v>5842</v>
      </c>
      <c r="E2" s="113">
        <v>7.3000000000000001E-3</v>
      </c>
      <c r="F2" s="113">
        <v>-0.30599999999999999</v>
      </c>
      <c r="G2" s="93" t="s">
        <v>5843</v>
      </c>
      <c r="H2" s="100">
        <f>_xlfn.IFNA(LEFT(D2,LEN(D2)-1)*CHOOSE(MATCH(RIGHT(D2,1), {"K","M","B"},0),1000,1000000,1000000000),D2)</f>
        <v>760070000</v>
      </c>
    </row>
    <row r="3" spans="1:8" ht="15.75" customHeight="1" x14ac:dyDescent="0.25">
      <c r="A3" s="104" t="s">
        <v>4069</v>
      </c>
      <c r="B3" s="121" t="s">
        <v>6051</v>
      </c>
      <c r="C3" s="107" t="s">
        <v>5841</v>
      </c>
      <c r="D3" s="107" t="s">
        <v>6052</v>
      </c>
      <c r="E3" s="119">
        <v>7.6E-3</v>
      </c>
      <c r="F3" s="119">
        <v>-0.23599999999999999</v>
      </c>
      <c r="G3" s="107" t="s">
        <v>5882</v>
      </c>
      <c r="H3" s="105">
        <f>_xlfn.IFNA(LEFT(D3,LEN(D3)-1)*CHOOSE(MATCH(RIGHT(D3,1), {"K","M","B"},0),1000,1000000,1000000000),D3)</f>
        <v>113120000</v>
      </c>
    </row>
    <row r="4" spans="1:8" ht="15.75" customHeight="1" x14ac:dyDescent="0.25">
      <c r="A4" s="104" t="s">
        <v>6285</v>
      </c>
      <c r="B4" s="121" t="s">
        <v>6286</v>
      </c>
      <c r="C4" s="107" t="s">
        <v>5841</v>
      </c>
      <c r="D4" s="107" t="s">
        <v>6287</v>
      </c>
      <c r="E4" s="119">
        <v>8.0999999999999996E-3</v>
      </c>
      <c r="F4" s="119">
        <v>-0.161</v>
      </c>
      <c r="G4" s="107" t="s">
        <v>6145</v>
      </c>
      <c r="H4" s="105">
        <f>_xlfn.IFNA(LEFT(D4,LEN(D4)-1)*CHOOSE(MATCH(RIGHT(D4,1), {"K","M","B"},0),1000,1000000,1000000000),D4)</f>
        <v>19520000</v>
      </c>
    </row>
    <row r="5" spans="1:8" ht="15.75" customHeight="1" x14ac:dyDescent="0.25">
      <c r="A5" s="104" t="s">
        <v>6351</v>
      </c>
      <c r="B5" s="121" t="s">
        <v>6352</v>
      </c>
      <c r="C5" s="107" t="s">
        <v>5841</v>
      </c>
      <c r="D5" s="107" t="s">
        <v>6353</v>
      </c>
      <c r="E5" s="119">
        <v>9.9000000000000008E-3</v>
      </c>
      <c r="F5" s="119">
        <v>-6.6799999999999998E-2</v>
      </c>
      <c r="G5" s="107" t="s">
        <v>6256</v>
      </c>
      <c r="H5" s="105">
        <f>_xlfn.IFNA(LEFT(D5,LEN(D5)-1)*CHOOSE(MATCH(RIGHT(D5,1), {"K","M","B"},0),1000,1000000,1000000000),D5)</f>
        <v>10380000</v>
      </c>
    </row>
    <row r="6" spans="1:8" ht="15.75" customHeight="1" x14ac:dyDescent="0.25">
      <c r="A6" s="104" t="s">
        <v>6402</v>
      </c>
      <c r="B6" s="121" t="s">
        <v>6403</v>
      </c>
      <c r="C6" s="107" t="s">
        <v>5841</v>
      </c>
      <c r="D6" s="107" t="s">
        <v>6404</v>
      </c>
      <c r="E6" s="119">
        <v>9.1999999999999998E-3</v>
      </c>
      <c r="F6" s="119">
        <v>-0.39119999999999999</v>
      </c>
      <c r="G6" s="107" t="s">
        <v>6405</v>
      </c>
      <c r="H6" s="105">
        <f>_xlfn.IFNA(LEFT(D6,LEN(D6)-1)*CHOOSE(MATCH(RIGHT(D6,1), {"K","M","B"},0),1000,1000000,1000000000),D6)</f>
        <v>7100000</v>
      </c>
    </row>
    <row r="7" spans="1:8" ht="15.75" customHeight="1" x14ac:dyDescent="0.25">
      <c r="A7" s="91" t="s">
        <v>6628</v>
      </c>
      <c r="B7" s="122" t="s">
        <v>6629</v>
      </c>
      <c r="C7" s="93" t="s">
        <v>5841</v>
      </c>
      <c r="D7" s="93" t="s">
        <v>5886</v>
      </c>
      <c r="E7" s="113">
        <v>9.9000000000000008E-3</v>
      </c>
      <c r="F7" s="114" t="s">
        <v>5886</v>
      </c>
      <c r="G7" s="93" t="s">
        <v>6071</v>
      </c>
      <c r="H7" s="100" t="e">
        <f>_xlfn.IFNA(LEFT(D7,LEN(D7)-1)*CHOOSE(MATCH(RIGHT(D7,1), {"K","M","B"},0),1000,1000000,1000000000),D7)</f>
        <v>#VALUE!</v>
      </c>
    </row>
    <row r="8" spans="1:8" ht="15.75" customHeight="1" x14ac:dyDescent="0.25">
      <c r="A8" s="104" t="s">
        <v>6500</v>
      </c>
      <c r="B8" s="121" t="s">
        <v>6501</v>
      </c>
      <c r="C8" s="107" t="s">
        <v>6502</v>
      </c>
      <c r="D8" s="107" t="s">
        <v>6503</v>
      </c>
      <c r="E8" s="119">
        <v>4.4999999999999997E-3</v>
      </c>
      <c r="F8" s="119">
        <v>-1.5299999999999999E-2</v>
      </c>
      <c r="G8" s="107" t="s">
        <v>5736</v>
      </c>
      <c r="H8" s="105">
        <f>_xlfn.IFNA(LEFT(D8,LEN(D8)-1)*CHOOSE(MATCH(RIGHT(D8,1), {"K","M","B"},0),1000,1000000,1000000000),D8)</f>
        <v>4120000</v>
      </c>
    </row>
    <row r="9" spans="1:8" ht="15.75" customHeight="1" x14ac:dyDescent="0.25">
      <c r="A9" s="104" t="s">
        <v>6330</v>
      </c>
      <c r="B9" s="121" t="s">
        <v>6331</v>
      </c>
      <c r="C9" s="107" t="s">
        <v>6332</v>
      </c>
      <c r="D9" s="107" t="s">
        <v>6333</v>
      </c>
      <c r="E9" s="119">
        <v>8.9999999999999993E-3</v>
      </c>
      <c r="F9" s="119">
        <v>-0.27110000000000001</v>
      </c>
      <c r="G9" s="107" t="s">
        <v>6334</v>
      </c>
      <c r="H9" s="105">
        <f>_xlfn.IFNA(LEFT(D9,LEN(D9)-1)*CHOOSE(MATCH(RIGHT(D9,1), {"K","M","B"},0),1000,1000000,1000000000),D9)</f>
        <v>11460000</v>
      </c>
    </row>
    <row r="10" spans="1:8" ht="15.75" customHeight="1" x14ac:dyDescent="0.25">
      <c r="A10" s="104" t="s">
        <v>6525</v>
      </c>
      <c r="B10" s="121" t="s">
        <v>6526</v>
      </c>
      <c r="C10" s="107" t="s">
        <v>6332</v>
      </c>
      <c r="D10" s="107" t="s">
        <v>6527</v>
      </c>
      <c r="E10" s="119">
        <v>6.3E-3</v>
      </c>
      <c r="F10" s="119">
        <v>-0.2399</v>
      </c>
      <c r="G10" s="107" t="s">
        <v>6067</v>
      </c>
      <c r="H10" s="105">
        <f>_xlfn.IFNA(LEFT(D10,LEN(D10)-1)*CHOOSE(MATCH(RIGHT(D10,1), {"K","M","B"},0),1000,1000000,1000000000),D10)</f>
        <v>3200000</v>
      </c>
    </row>
    <row r="11" spans="1:8" ht="15.75" customHeight="1" x14ac:dyDescent="0.25">
      <c r="A11" s="91" t="s">
        <v>5830</v>
      </c>
      <c r="B11" s="92" t="s">
        <v>5831</v>
      </c>
      <c r="C11" s="93" t="s">
        <v>5832</v>
      </c>
      <c r="D11" s="93" t="s">
        <v>5833</v>
      </c>
      <c r="E11" s="113">
        <v>7.1000000000000004E-3</v>
      </c>
      <c r="F11" s="113">
        <v>-0.1641</v>
      </c>
      <c r="G11" s="93" t="s">
        <v>5834</v>
      </c>
      <c r="H11" s="100">
        <f>_xlfn.IFNA(LEFT(D11,LEN(D11)-1)*CHOOSE(MATCH(RIGHT(D11,1), {"K","M","B"},0),1000,1000000,1000000000),D11)</f>
        <v>819860000</v>
      </c>
    </row>
    <row r="12" spans="1:8" ht="15.75" customHeight="1" x14ac:dyDescent="0.25">
      <c r="A12" s="91" t="s">
        <v>5998</v>
      </c>
      <c r="B12" s="92" t="s">
        <v>5999</v>
      </c>
      <c r="C12" s="93" t="s">
        <v>5832</v>
      </c>
      <c r="D12" s="93" t="s">
        <v>6000</v>
      </c>
      <c r="E12" s="113">
        <v>5.8999999999999999E-3</v>
      </c>
      <c r="F12" s="113">
        <v>-0.11799999999999999</v>
      </c>
      <c r="G12" s="93" t="s">
        <v>5724</v>
      </c>
      <c r="H12" s="100">
        <f>_xlfn.IFNA(LEFT(D12,LEN(D12)-1)*CHOOSE(MATCH(RIGHT(D12,1), {"K","M","B"},0),1000,1000000,1000000000),D12)</f>
        <v>199060000</v>
      </c>
    </row>
    <row r="13" spans="1:8" ht="15.75" customHeight="1" x14ac:dyDescent="0.25">
      <c r="A13" s="104" t="s">
        <v>4074</v>
      </c>
      <c r="B13" s="121" t="s">
        <v>6136</v>
      </c>
      <c r="C13" s="107" t="s">
        <v>5832</v>
      </c>
      <c r="D13" s="107" t="s">
        <v>6137</v>
      </c>
      <c r="E13" s="119">
        <v>7.4999999999999997E-3</v>
      </c>
      <c r="F13" s="119">
        <v>-0.2288</v>
      </c>
      <c r="G13" s="107" t="s">
        <v>5882</v>
      </c>
      <c r="H13" s="105">
        <f>_xlfn.IFNA(LEFT(D13,LEN(D13)-1)*CHOOSE(MATCH(RIGHT(D13,1), {"K","M","B"},0),1000,1000000,1000000000),D13)</f>
        <v>58550000</v>
      </c>
    </row>
    <row r="14" spans="1:8" ht="15.75" customHeight="1" x14ac:dyDescent="0.25">
      <c r="A14" s="104" t="s">
        <v>6373</v>
      </c>
      <c r="B14" s="121" t="s">
        <v>6374</v>
      </c>
      <c r="C14" s="107" t="s">
        <v>5832</v>
      </c>
      <c r="D14" s="107" t="s">
        <v>6375</v>
      </c>
      <c r="E14" s="119">
        <v>4.8999999999999998E-3</v>
      </c>
      <c r="F14" s="119">
        <v>-0.14530000000000001</v>
      </c>
      <c r="G14" s="107" t="s">
        <v>5696</v>
      </c>
      <c r="H14" s="105">
        <f>_xlfn.IFNA(LEFT(D14,LEN(D14)-1)*CHOOSE(MATCH(RIGHT(D14,1), {"K","M","B"},0),1000,1000000,1000000000),D14)</f>
        <v>8820000</v>
      </c>
    </row>
    <row r="15" spans="1:8" ht="15.75" customHeight="1" x14ac:dyDescent="0.25">
      <c r="A15" s="104" t="s">
        <v>6471</v>
      </c>
      <c r="B15" s="121" t="s">
        <v>6472</v>
      </c>
      <c r="C15" s="107" t="s">
        <v>5832</v>
      </c>
      <c r="D15" s="107" t="s">
        <v>6473</v>
      </c>
      <c r="E15" s="119">
        <v>6.8999999999999999E-3</v>
      </c>
      <c r="F15" s="119">
        <v>-0.2452</v>
      </c>
      <c r="G15" s="107" t="s">
        <v>6474</v>
      </c>
      <c r="H15" s="105">
        <f>_xlfn.IFNA(LEFT(D15,LEN(D15)-1)*CHOOSE(MATCH(RIGHT(D15,1), {"K","M","B"},0),1000,1000000,1000000000),D15)</f>
        <v>4790000</v>
      </c>
    </row>
    <row r="16" spans="1:8" ht="15.75" customHeight="1" x14ac:dyDescent="0.25">
      <c r="A16" s="104" t="s">
        <v>6611</v>
      </c>
      <c r="B16" s="121" t="s">
        <v>6612</v>
      </c>
      <c r="C16" s="107" t="s">
        <v>5832</v>
      </c>
      <c r="D16" s="107" t="s">
        <v>6613</v>
      </c>
      <c r="E16" s="119">
        <v>5.8999999999999999E-3</v>
      </c>
      <c r="F16" s="119">
        <v>-8.1299999999999997E-2</v>
      </c>
      <c r="G16" s="107" t="s">
        <v>5696</v>
      </c>
      <c r="H16" s="105">
        <f>_xlfn.IFNA(LEFT(D16,LEN(D16)-1)*CHOOSE(MATCH(RIGHT(D16,1), {"K","M","B"},0),1000,1000000,1000000000),D16)</f>
        <v>804240</v>
      </c>
    </row>
    <row r="17" spans="1:8" ht="15.75" customHeight="1" x14ac:dyDescent="0.25">
      <c r="A17" s="104" t="s">
        <v>6621</v>
      </c>
      <c r="B17" s="121" t="s">
        <v>6622</v>
      </c>
      <c r="C17" s="107" t="s">
        <v>5832</v>
      </c>
      <c r="D17" s="107" t="s">
        <v>6623</v>
      </c>
      <c r="E17" s="119">
        <v>5.8999999999999999E-3</v>
      </c>
      <c r="F17" s="119">
        <v>-0.19700000000000001</v>
      </c>
      <c r="G17" s="107" t="s">
        <v>5988</v>
      </c>
      <c r="H17" s="105">
        <f>_xlfn.IFNA(LEFT(D17,LEN(D17)-1)*CHOOSE(MATCH(RIGHT(D17,1), {"K","M","B"},0),1000,1000000,1000000000),D17)</f>
        <v>431750</v>
      </c>
    </row>
    <row r="18" spans="1:8" ht="15.75" customHeight="1" x14ac:dyDescent="0.25">
      <c r="A18" s="91" t="s">
        <v>4089</v>
      </c>
      <c r="B18" s="92" t="s">
        <v>5693</v>
      </c>
      <c r="C18" s="93" t="s">
        <v>5694</v>
      </c>
      <c r="D18" s="93" t="s">
        <v>5695</v>
      </c>
      <c r="E18" s="113">
        <v>7.4999999999999997E-3</v>
      </c>
      <c r="F18" s="113">
        <v>-0.31459999999999999</v>
      </c>
      <c r="G18" s="93" t="s">
        <v>5696</v>
      </c>
      <c r="H18" s="100">
        <f>_xlfn.IFNA(LEFT(D18,LEN(D18)-1)*CHOOSE(MATCH(RIGHT(D18,1), {"K","M","B"},0),1000,1000000,1000000000),D18)</f>
        <v>9290000000</v>
      </c>
    </row>
    <row r="19" spans="1:8" ht="15.75" customHeight="1" x14ac:dyDescent="0.25">
      <c r="A19" s="91" t="s">
        <v>4293</v>
      </c>
      <c r="B19" s="92" t="s">
        <v>5737</v>
      </c>
      <c r="C19" s="93" t="s">
        <v>5694</v>
      </c>
      <c r="D19" s="93" t="s">
        <v>5738</v>
      </c>
      <c r="E19" s="113">
        <v>7.4999999999999997E-3</v>
      </c>
      <c r="F19" s="113">
        <v>-0.27150000000000002</v>
      </c>
      <c r="G19" s="93" t="s">
        <v>5739</v>
      </c>
      <c r="H19" s="100">
        <f>_xlfn.IFNA(LEFT(D19,LEN(D19)-1)*CHOOSE(MATCH(RIGHT(D19,1), {"K","M","B"},0),1000,1000000,1000000000),D19)</f>
        <v>2740000000</v>
      </c>
    </row>
    <row r="20" spans="1:8" ht="15.75" customHeight="1" x14ac:dyDescent="0.25">
      <c r="A20" s="91" t="s">
        <v>4251</v>
      </c>
      <c r="B20" s="92" t="s">
        <v>5756</v>
      </c>
      <c r="C20" s="93" t="s">
        <v>5694</v>
      </c>
      <c r="D20" s="93" t="s">
        <v>5757</v>
      </c>
      <c r="E20" s="113">
        <v>8.3000000000000001E-3</v>
      </c>
      <c r="F20" s="113">
        <v>-0.26819999999999999</v>
      </c>
      <c r="G20" s="93" t="s">
        <v>5758</v>
      </c>
      <c r="H20" s="100">
        <f>_xlfn.IFNA(LEFT(D20,LEN(D20)-1)*CHOOSE(MATCH(RIGHT(D20,1), {"K","M","B"},0),1000,1000000,1000000000),D20)</f>
        <v>1840000000</v>
      </c>
    </row>
    <row r="21" spans="1:8" ht="15.75" customHeight="1" x14ac:dyDescent="0.25">
      <c r="A21" s="91" t="s">
        <v>4196</v>
      </c>
      <c r="B21" s="92" t="s">
        <v>5782</v>
      </c>
      <c r="C21" s="93" t="s">
        <v>5694</v>
      </c>
      <c r="D21" s="93" t="s">
        <v>5783</v>
      </c>
      <c r="E21" s="113">
        <v>7.4999999999999997E-3</v>
      </c>
      <c r="F21" s="113">
        <v>-0.11070000000000001</v>
      </c>
      <c r="G21" s="93" t="s">
        <v>5781</v>
      </c>
      <c r="H21" s="100">
        <f>_xlfn.IFNA(LEFT(D21,LEN(D21)-1)*CHOOSE(MATCH(RIGHT(D21,1), {"K","M","B"},0),1000,1000000,1000000000),D21)</f>
        <v>1370000000</v>
      </c>
    </row>
    <row r="22" spans="1:8" ht="15.75" customHeight="1" x14ac:dyDescent="0.25">
      <c r="A22" s="91" t="s">
        <v>4373</v>
      </c>
      <c r="B22" s="92" t="s">
        <v>5797</v>
      </c>
      <c r="C22" s="93" t="s">
        <v>5694</v>
      </c>
      <c r="D22" s="93" t="s">
        <v>5798</v>
      </c>
      <c r="E22" s="113">
        <v>7.4999999999999997E-3</v>
      </c>
      <c r="F22" s="113">
        <v>-0.29349999999999998</v>
      </c>
      <c r="G22" s="93" t="s">
        <v>5799</v>
      </c>
      <c r="H22" s="100">
        <f>_xlfn.IFNA(LEFT(D22,LEN(D22)-1)*CHOOSE(MATCH(RIGHT(D22,1), {"K","M","B"},0),1000,1000000,1000000000),D22)</f>
        <v>1130000000</v>
      </c>
    </row>
    <row r="23" spans="1:8" ht="15.75" customHeight="1" x14ac:dyDescent="0.25">
      <c r="A23" s="91" t="s">
        <v>5920</v>
      </c>
      <c r="B23" s="92" t="s">
        <v>5921</v>
      </c>
      <c r="C23" s="93" t="s">
        <v>5694</v>
      </c>
      <c r="D23" s="93" t="s">
        <v>5922</v>
      </c>
      <c r="E23" s="113">
        <v>7.4999999999999997E-3</v>
      </c>
      <c r="F23" s="113">
        <v>-5.1400000000000001E-2</v>
      </c>
      <c r="G23" s="93" t="s">
        <v>5923</v>
      </c>
      <c r="H23" s="100">
        <f>_xlfn.IFNA(LEFT(D23,LEN(D23)-1)*CHOOSE(MATCH(RIGHT(D23,1), {"K","M","B"},0),1000,1000000,1000000000),D23)</f>
        <v>359980000</v>
      </c>
    </row>
    <row r="24" spans="1:8" ht="15.75" customHeight="1" x14ac:dyDescent="0.25">
      <c r="A24" s="91" t="s">
        <v>5979</v>
      </c>
      <c r="B24" s="92" t="s">
        <v>5980</v>
      </c>
      <c r="C24" s="93" t="s">
        <v>5694</v>
      </c>
      <c r="D24" s="93" t="s">
        <v>5981</v>
      </c>
      <c r="E24" s="113">
        <v>6.6E-3</v>
      </c>
      <c r="F24" s="113">
        <v>-0.18210000000000001</v>
      </c>
      <c r="G24" s="93" t="s">
        <v>5781</v>
      </c>
      <c r="H24" s="100">
        <f>_xlfn.IFNA(LEFT(D24,LEN(D24)-1)*CHOOSE(MATCH(RIGHT(D24,1), {"K","M","B"},0),1000,1000000,1000000000),D24)</f>
        <v>244250000</v>
      </c>
    </row>
    <row r="25" spans="1:8" ht="15.75" customHeight="1" x14ac:dyDescent="0.25">
      <c r="A25" s="91" t="s">
        <v>6036</v>
      </c>
      <c r="B25" s="92" t="s">
        <v>6037</v>
      </c>
      <c r="C25" s="93" t="s">
        <v>5694</v>
      </c>
      <c r="D25" s="93" t="s">
        <v>6038</v>
      </c>
      <c r="E25" s="113">
        <v>4.8999999999999998E-3</v>
      </c>
      <c r="F25" s="113">
        <v>-0.1321</v>
      </c>
      <c r="G25" s="93" t="s">
        <v>6039</v>
      </c>
      <c r="H25" s="100">
        <f>_xlfn.IFNA(LEFT(D25,LEN(D25)-1)*CHOOSE(MATCH(RIGHT(D25,1), {"K","M","B"},0),1000,1000000,1000000000),D25)</f>
        <v>136890000</v>
      </c>
    </row>
    <row r="26" spans="1:8" ht="15.75" customHeight="1" x14ac:dyDescent="0.25">
      <c r="A26" s="104" t="s">
        <v>6303</v>
      </c>
      <c r="B26" s="121" t="s">
        <v>6304</v>
      </c>
      <c r="C26" s="107" t="s">
        <v>5694</v>
      </c>
      <c r="D26" s="107" t="s">
        <v>6305</v>
      </c>
      <c r="E26" s="119">
        <v>5.4999999999999997E-3</v>
      </c>
      <c r="F26" s="120" t="s">
        <v>5886</v>
      </c>
      <c r="G26" s="107" t="s">
        <v>6306</v>
      </c>
      <c r="H26" s="105">
        <f>_xlfn.IFNA(LEFT(D26,LEN(D26)-1)*CHOOSE(MATCH(RIGHT(D26,1), {"K","M","B"},0),1000,1000000,1000000000),D26)</f>
        <v>15820000</v>
      </c>
    </row>
    <row r="27" spans="1:8" ht="15.75" customHeight="1" x14ac:dyDescent="0.25">
      <c r="A27" s="91" t="s">
        <v>6624</v>
      </c>
      <c r="B27" s="122" t="s">
        <v>6625</v>
      </c>
      <c r="C27" s="93" t="s">
        <v>6626</v>
      </c>
      <c r="D27" s="93" t="s">
        <v>5886</v>
      </c>
      <c r="E27" s="114" t="s">
        <v>5886</v>
      </c>
      <c r="F27" s="114" t="s">
        <v>5886</v>
      </c>
      <c r="G27" s="93" t="s">
        <v>6627</v>
      </c>
      <c r="H27" s="100" t="e">
        <f>_xlfn.IFNA(LEFT(D27,LEN(D27)-1)*CHOOSE(MATCH(RIGHT(D27,1), {"K","M","B"},0),1000,1000000,1000000000),D27)</f>
        <v>#VALUE!</v>
      </c>
    </row>
    <row r="28" spans="1:8" ht="15.75" customHeight="1" x14ac:dyDescent="0.25">
      <c r="A28" s="104" t="s">
        <v>6276</v>
      </c>
      <c r="B28" s="121" t="s">
        <v>6277</v>
      </c>
      <c r="C28" s="107" t="s">
        <v>6278</v>
      </c>
      <c r="D28" s="107" t="s">
        <v>6279</v>
      </c>
      <c r="E28" s="119">
        <v>6.4999999999999997E-3</v>
      </c>
      <c r="F28" s="119">
        <v>-3.95E-2</v>
      </c>
      <c r="G28" s="107" t="s">
        <v>6280</v>
      </c>
      <c r="H28" s="105">
        <f>_xlfn.IFNA(LEFT(D28,LEN(D28)-1)*CHOOSE(MATCH(RIGHT(D28,1), {"K","M","B"},0),1000,1000000,1000000000),D28)</f>
        <v>20530000</v>
      </c>
    </row>
    <row r="29" spans="1:8" ht="15.75" customHeight="1" x14ac:dyDescent="0.25">
      <c r="A29" s="104" t="s">
        <v>6116</v>
      </c>
      <c r="B29" s="121" t="s">
        <v>6117</v>
      </c>
      <c r="C29" s="107" t="s">
        <v>6118</v>
      </c>
      <c r="D29" s="107" t="s">
        <v>6119</v>
      </c>
      <c r="E29" s="119">
        <v>6.0000000000000001E-3</v>
      </c>
      <c r="F29" s="119">
        <v>-0.1167</v>
      </c>
      <c r="G29" s="107" t="s">
        <v>6120</v>
      </c>
      <c r="H29" s="105">
        <f>_xlfn.IFNA(LEFT(D29,LEN(D29)-1)*CHOOSE(MATCH(RIGHT(D29,1), {"K","M","B"},0),1000,1000000,1000000000),D29)</f>
        <v>67150000</v>
      </c>
    </row>
    <row r="30" spans="1:8" ht="15.75" customHeight="1" x14ac:dyDescent="0.25">
      <c r="A30" s="91" t="s">
        <v>5685</v>
      </c>
      <c r="B30" s="92" t="s">
        <v>5686</v>
      </c>
      <c r="C30" s="93" t="s">
        <v>5714</v>
      </c>
      <c r="D30" s="93" t="s">
        <v>5715</v>
      </c>
      <c r="E30" s="113">
        <v>4.1999999999999997E-3</v>
      </c>
      <c r="F30" s="113">
        <v>1.23E-2</v>
      </c>
      <c r="G30" s="93" t="s">
        <v>5716</v>
      </c>
      <c r="H30" s="100">
        <f>_xlfn.IFNA(LEFT(D30,LEN(D30)-1)*CHOOSE(MATCH(RIGHT(D30,1), {"K","M","B"},0),1000,1000000,1000000000),D30)</f>
        <v>4960000000</v>
      </c>
    </row>
    <row r="31" spans="1:8" ht="15.75" customHeight="1" x14ac:dyDescent="0.25">
      <c r="A31" s="91" t="s">
        <v>5725</v>
      </c>
      <c r="B31" s="92" t="s">
        <v>5726</v>
      </c>
      <c r="C31" s="93" t="s">
        <v>5714</v>
      </c>
      <c r="D31" s="93" t="s">
        <v>5727</v>
      </c>
      <c r="E31" s="113">
        <v>4.3E-3</v>
      </c>
      <c r="F31" s="113">
        <v>-0.16159999999999999</v>
      </c>
      <c r="G31" s="93" t="s">
        <v>5728</v>
      </c>
      <c r="H31" s="100">
        <f>_xlfn.IFNA(LEFT(D31,LEN(D31)-1)*CHOOSE(MATCH(RIGHT(D31,1), {"K","M","B"},0),1000,1000000,1000000000),D31)</f>
        <v>3900000000</v>
      </c>
    </row>
    <row r="32" spans="1:8" ht="15.75" customHeight="1" x14ac:dyDescent="0.25">
      <c r="A32" s="91" t="s">
        <v>5733</v>
      </c>
      <c r="B32" s="92" t="s">
        <v>5734</v>
      </c>
      <c r="C32" s="93" t="s">
        <v>5714</v>
      </c>
      <c r="D32" s="93" t="s">
        <v>5735</v>
      </c>
      <c r="E32" s="113">
        <v>4.3E-3</v>
      </c>
      <c r="F32" s="113">
        <v>2.1299999999999999E-2</v>
      </c>
      <c r="G32" s="93" t="s">
        <v>5736</v>
      </c>
      <c r="H32" s="100">
        <f>_xlfn.IFNA(LEFT(D32,LEN(D32)-1)*CHOOSE(MATCH(RIGHT(D32,1), {"K","M","B"},0),1000,1000000,1000000000),D32)</f>
        <v>3320000000</v>
      </c>
    </row>
    <row r="33" spans="1:8" ht="15.75" customHeight="1" x14ac:dyDescent="0.25">
      <c r="A33" s="91" t="s">
        <v>5773</v>
      </c>
      <c r="B33" s="92" t="s">
        <v>5774</v>
      </c>
      <c r="C33" s="93" t="s">
        <v>5714</v>
      </c>
      <c r="D33" s="93" t="s">
        <v>5775</v>
      </c>
      <c r="E33" s="113">
        <v>4.1000000000000003E-3</v>
      </c>
      <c r="F33" s="113">
        <v>-0.17929999999999999</v>
      </c>
      <c r="G33" s="93" t="s">
        <v>5776</v>
      </c>
      <c r="H33" s="100">
        <f>_xlfn.IFNA(LEFT(D33,LEN(D33)-1)*CHOOSE(MATCH(RIGHT(D33,1), {"K","M","B"},0),1000,1000000,1000000000),D33)</f>
        <v>1480000000</v>
      </c>
    </row>
    <row r="34" spans="1:8" ht="15.75" customHeight="1" x14ac:dyDescent="0.25">
      <c r="A34" s="91" t="s">
        <v>5784</v>
      </c>
      <c r="B34" s="92" t="s">
        <v>5785</v>
      </c>
      <c r="C34" s="93" t="s">
        <v>5714</v>
      </c>
      <c r="D34" s="93" t="s">
        <v>5786</v>
      </c>
      <c r="E34" s="113">
        <v>1.4E-3</v>
      </c>
      <c r="F34" s="113">
        <v>-9.8900000000000002E-2</v>
      </c>
      <c r="G34" s="93" t="s">
        <v>5787</v>
      </c>
      <c r="H34" s="100">
        <f>_xlfn.IFNA(LEFT(D34,LEN(D34)-1)*CHOOSE(MATCH(RIGHT(D34,1), {"K","M","B"},0),1000,1000000,1000000000),D34)</f>
        <v>1320000000</v>
      </c>
    </row>
    <row r="35" spans="1:8" ht="15.75" customHeight="1" x14ac:dyDescent="0.25">
      <c r="A35" s="91" t="s">
        <v>5801</v>
      </c>
      <c r="B35" s="92" t="s">
        <v>5802</v>
      </c>
      <c r="C35" s="93" t="s">
        <v>5714</v>
      </c>
      <c r="D35" s="93" t="s">
        <v>5800</v>
      </c>
      <c r="E35" s="113">
        <v>2E-3</v>
      </c>
      <c r="F35" s="113">
        <v>-0.1032</v>
      </c>
      <c r="G35" s="93" t="s">
        <v>5803</v>
      </c>
      <c r="H35" s="100">
        <f>_xlfn.IFNA(LEFT(D35,LEN(D35)-1)*CHOOSE(MATCH(RIGHT(D35,1), {"K","M","B"},0),1000,1000000,1000000000),D35)</f>
        <v>1090000000</v>
      </c>
    </row>
    <row r="36" spans="1:8" ht="15.75" customHeight="1" x14ac:dyDescent="0.25">
      <c r="A36" s="91" t="s">
        <v>5807</v>
      </c>
      <c r="B36" s="92" t="s">
        <v>5808</v>
      </c>
      <c r="C36" s="93" t="s">
        <v>5714</v>
      </c>
      <c r="D36" s="93" t="s">
        <v>5809</v>
      </c>
      <c r="E36" s="113">
        <v>4.3E-3</v>
      </c>
      <c r="F36" s="113">
        <v>0.10489999999999999</v>
      </c>
      <c r="G36" s="93" t="s">
        <v>5810</v>
      </c>
      <c r="H36" s="100">
        <f>_xlfn.IFNA(LEFT(D36,LEN(D36)-1)*CHOOSE(MATCH(RIGHT(D36,1), {"K","M","B"},0),1000,1000000,1000000000),D36)</f>
        <v>1040000000</v>
      </c>
    </row>
    <row r="37" spans="1:8" ht="15.75" customHeight="1" x14ac:dyDescent="0.25">
      <c r="A37" s="91" t="s">
        <v>5824</v>
      </c>
      <c r="B37" s="92" t="s">
        <v>5825</v>
      </c>
      <c r="C37" s="93" t="s">
        <v>5714</v>
      </c>
      <c r="D37" s="93" t="s">
        <v>5826</v>
      </c>
      <c r="E37" s="113">
        <v>3.0000000000000001E-3</v>
      </c>
      <c r="F37" s="113">
        <v>1.1000000000000001E-3</v>
      </c>
      <c r="G37" s="93" t="s">
        <v>5721</v>
      </c>
      <c r="H37" s="100">
        <f>_xlfn.IFNA(LEFT(D37,LEN(D37)-1)*CHOOSE(MATCH(RIGHT(D37,1), {"K","M","B"},0),1000,1000000,1000000000),D37)</f>
        <v>885540000</v>
      </c>
    </row>
    <row r="38" spans="1:8" ht="15.75" customHeight="1" x14ac:dyDescent="0.25">
      <c r="A38" s="91" t="s">
        <v>5873</v>
      </c>
      <c r="B38" s="92" t="s">
        <v>5874</v>
      </c>
      <c r="C38" s="93" t="s">
        <v>5714</v>
      </c>
      <c r="D38" s="93" t="s">
        <v>5875</v>
      </c>
      <c r="E38" s="113">
        <v>4.7000000000000002E-3</v>
      </c>
      <c r="F38" s="113">
        <v>-2.5700000000000001E-2</v>
      </c>
      <c r="G38" s="93" t="s">
        <v>5704</v>
      </c>
      <c r="H38" s="100">
        <f>_xlfn.IFNA(LEFT(D38,LEN(D38)-1)*CHOOSE(MATCH(RIGHT(D38,1), {"K","M","B"},0),1000,1000000,1000000000),D38)</f>
        <v>617090000</v>
      </c>
    </row>
    <row r="39" spans="1:8" ht="15.75" customHeight="1" x14ac:dyDescent="0.25">
      <c r="A39" s="91" t="s">
        <v>5883</v>
      </c>
      <c r="B39" s="92" t="s">
        <v>5884</v>
      </c>
      <c r="C39" s="93" t="s">
        <v>5714</v>
      </c>
      <c r="D39" s="93" t="s">
        <v>5885</v>
      </c>
      <c r="E39" s="113">
        <v>1E-3</v>
      </c>
      <c r="F39" s="114" t="s">
        <v>5886</v>
      </c>
      <c r="G39" s="93" t="s">
        <v>5787</v>
      </c>
      <c r="H39" s="100">
        <f>_xlfn.IFNA(LEFT(D39,LEN(D39)-1)*CHOOSE(MATCH(RIGHT(D39,1), {"K","M","B"},0),1000,1000000,1000000000),D39)</f>
        <v>575560000</v>
      </c>
    </row>
    <row r="40" spans="1:8" ht="15.75" customHeight="1" x14ac:dyDescent="0.25">
      <c r="A40" s="91" t="s">
        <v>5890</v>
      </c>
      <c r="B40" s="92" t="s">
        <v>5891</v>
      </c>
      <c r="C40" s="93" t="s">
        <v>5714</v>
      </c>
      <c r="D40" s="93" t="s">
        <v>5892</v>
      </c>
      <c r="E40" s="113">
        <v>2E-3</v>
      </c>
      <c r="F40" s="113">
        <v>-0.1089</v>
      </c>
      <c r="G40" s="93" t="s">
        <v>5893</v>
      </c>
      <c r="H40" s="100">
        <f>_xlfn.IFNA(LEFT(D40,LEN(D40)-1)*CHOOSE(MATCH(RIGHT(D40,1), {"K","M","B"},0),1000,1000000,1000000000),D40)</f>
        <v>520450000.00000006</v>
      </c>
    </row>
    <row r="41" spans="1:8" ht="15.75" customHeight="1" x14ac:dyDescent="0.25">
      <c r="A41" s="91" t="s">
        <v>5894</v>
      </c>
      <c r="B41" s="92" t="s">
        <v>5895</v>
      </c>
      <c r="C41" s="93" t="s">
        <v>5714</v>
      </c>
      <c r="D41" s="93" t="s">
        <v>5896</v>
      </c>
      <c r="E41" s="113">
        <v>4.7000000000000002E-3</v>
      </c>
      <c r="F41" s="113">
        <v>-0.1847</v>
      </c>
      <c r="G41" s="93" t="s">
        <v>5724</v>
      </c>
      <c r="H41" s="100">
        <f>_xlfn.IFNA(LEFT(D41,LEN(D41)-1)*CHOOSE(MATCH(RIGHT(D41,1), {"K","M","B"},0),1000,1000000,1000000000),D41)</f>
        <v>498610000</v>
      </c>
    </row>
    <row r="42" spans="1:8" ht="15.75" customHeight="1" x14ac:dyDescent="0.25">
      <c r="A42" s="91" t="s">
        <v>5933</v>
      </c>
      <c r="B42" s="92" t="s">
        <v>5934</v>
      </c>
      <c r="C42" s="93" t="s">
        <v>5714</v>
      </c>
      <c r="D42" s="93" t="s">
        <v>5935</v>
      </c>
      <c r="E42" s="113">
        <v>4.1999999999999997E-3</v>
      </c>
      <c r="F42" s="113">
        <v>-0.1447</v>
      </c>
      <c r="G42" s="93" t="s">
        <v>5936</v>
      </c>
      <c r="H42" s="100">
        <f>_xlfn.IFNA(LEFT(D42,LEN(D42)-1)*CHOOSE(MATCH(RIGHT(D42,1), {"K","M","B"},0),1000,1000000,1000000000),D42)</f>
        <v>351150000</v>
      </c>
    </row>
    <row r="43" spans="1:8" ht="15.75" customHeight="1" x14ac:dyDescent="0.25">
      <c r="A43" s="91" t="s">
        <v>5937</v>
      </c>
      <c r="B43" s="92" t="s">
        <v>5938</v>
      </c>
      <c r="C43" s="93" t="s">
        <v>5714</v>
      </c>
      <c r="D43" s="93" t="s">
        <v>5939</v>
      </c>
      <c r="E43" s="113">
        <v>4.0000000000000001E-3</v>
      </c>
      <c r="F43" s="113">
        <v>-0.15260000000000001</v>
      </c>
      <c r="G43" s="93" t="s">
        <v>5940</v>
      </c>
      <c r="H43" s="100">
        <f>_xlfn.IFNA(LEFT(D43,LEN(D43)-1)*CHOOSE(MATCH(RIGHT(D43,1), {"K","M","B"},0),1000,1000000,1000000000),D43)</f>
        <v>334720000</v>
      </c>
    </row>
    <row r="44" spans="1:8" ht="15.75" customHeight="1" x14ac:dyDescent="0.25">
      <c r="A44" s="91" t="s">
        <v>5941</v>
      </c>
      <c r="B44" s="92" t="s">
        <v>5942</v>
      </c>
      <c r="C44" s="93" t="s">
        <v>5714</v>
      </c>
      <c r="D44" s="93" t="s">
        <v>5943</v>
      </c>
      <c r="E44" s="113">
        <v>4.3E-3</v>
      </c>
      <c r="F44" s="113">
        <v>-2.2200000000000001E-2</v>
      </c>
      <c r="G44" s="93" t="s">
        <v>5944</v>
      </c>
      <c r="H44" s="100">
        <f>_xlfn.IFNA(LEFT(D44,LEN(D44)-1)*CHOOSE(MATCH(RIGHT(D44,1), {"K","M","B"},0),1000,1000000,1000000000),D44)</f>
        <v>315620000</v>
      </c>
    </row>
    <row r="45" spans="1:8" ht="15.75" customHeight="1" x14ac:dyDescent="0.25">
      <c r="A45" s="91" t="s">
        <v>5948</v>
      </c>
      <c r="B45" s="92" t="s">
        <v>5949</v>
      </c>
      <c r="C45" s="93" t="s">
        <v>5714</v>
      </c>
      <c r="D45" s="93" t="s">
        <v>5950</v>
      </c>
      <c r="E45" s="113">
        <v>3.8999999999999998E-3</v>
      </c>
      <c r="F45" s="113">
        <v>8.6499999999999994E-2</v>
      </c>
      <c r="G45" s="93" t="s">
        <v>5751</v>
      </c>
      <c r="H45" s="100">
        <f>_xlfn.IFNA(LEFT(D45,LEN(D45)-1)*CHOOSE(MATCH(RIGHT(D45,1), {"K","M","B"},0),1000,1000000,1000000000),D45)</f>
        <v>286880000</v>
      </c>
    </row>
    <row r="46" spans="1:8" ht="15.75" customHeight="1" x14ac:dyDescent="0.25">
      <c r="A46" s="91" t="s">
        <v>5951</v>
      </c>
      <c r="B46" s="92" t="s">
        <v>5952</v>
      </c>
      <c r="C46" s="93" t="s">
        <v>5714</v>
      </c>
      <c r="D46" s="93" t="s">
        <v>5953</v>
      </c>
      <c r="E46" s="113">
        <v>4.7000000000000002E-3</v>
      </c>
      <c r="F46" s="113">
        <v>-0.19409999999999999</v>
      </c>
      <c r="G46" s="93" t="s">
        <v>5781</v>
      </c>
      <c r="H46" s="100">
        <f>_xlfn.IFNA(LEFT(D46,LEN(D46)-1)*CHOOSE(MATCH(RIGHT(D46,1), {"K","M","B"},0),1000,1000000,1000000000),D46)</f>
        <v>286640000</v>
      </c>
    </row>
    <row r="47" spans="1:8" ht="15.75" customHeight="1" x14ac:dyDescent="0.25">
      <c r="A47" s="91" t="s">
        <v>5995</v>
      </c>
      <c r="B47" s="92" t="s">
        <v>5996</v>
      </c>
      <c r="C47" s="93" t="s">
        <v>5714</v>
      </c>
      <c r="D47" s="93" t="s">
        <v>5997</v>
      </c>
      <c r="E47" s="113">
        <v>4.7000000000000002E-3</v>
      </c>
      <c r="F47" s="113">
        <v>-0.15640000000000001</v>
      </c>
      <c r="G47" s="93" t="s">
        <v>5739</v>
      </c>
      <c r="H47" s="100">
        <f>_xlfn.IFNA(LEFT(D47,LEN(D47)-1)*CHOOSE(MATCH(RIGHT(D47,1), {"K","M","B"},0),1000,1000000,1000000000),D47)</f>
        <v>199920000</v>
      </c>
    </row>
    <row r="48" spans="1:8" ht="15.75" customHeight="1" x14ac:dyDescent="0.25">
      <c r="A48" s="104" t="s">
        <v>6272</v>
      </c>
      <c r="B48" s="121" t="s">
        <v>6273</v>
      </c>
      <c r="C48" s="107" t="s">
        <v>5714</v>
      </c>
      <c r="D48" s="107" t="s">
        <v>6274</v>
      </c>
      <c r="E48" s="119">
        <v>6.0000000000000001E-3</v>
      </c>
      <c r="F48" s="119">
        <v>-9.9000000000000005E-2</v>
      </c>
      <c r="G48" s="107" t="s">
        <v>6275</v>
      </c>
      <c r="H48" s="105">
        <f>_xlfn.IFNA(LEFT(D48,LEN(D48)-1)*CHOOSE(MATCH(RIGHT(D48,1), {"K","M","B"},0),1000,1000000,1000000000),D48)</f>
        <v>20570000</v>
      </c>
    </row>
    <row r="49" spans="1:8" ht="15.75" customHeight="1" x14ac:dyDescent="0.25">
      <c r="A49" s="104" t="s">
        <v>6327</v>
      </c>
      <c r="B49" s="121" t="s">
        <v>6328</v>
      </c>
      <c r="C49" s="107" t="s">
        <v>5714</v>
      </c>
      <c r="D49" s="107" t="s">
        <v>6329</v>
      </c>
      <c r="E49" s="119">
        <v>8.8000000000000005E-3</v>
      </c>
      <c r="F49" s="119">
        <v>-0.18429999999999999</v>
      </c>
      <c r="G49" s="107" t="s">
        <v>6025</v>
      </c>
      <c r="H49" s="105">
        <f>_xlfn.IFNA(LEFT(D49,LEN(D49)-1)*CHOOSE(MATCH(RIGHT(D49,1), {"K","M","B"},0),1000,1000000,1000000000),D49)</f>
        <v>12720000</v>
      </c>
    </row>
    <row r="50" spans="1:8" ht="15.75" customHeight="1" x14ac:dyDescent="0.25">
      <c r="A50" s="104" t="s">
        <v>6389</v>
      </c>
      <c r="B50" s="121" t="s">
        <v>6390</v>
      </c>
      <c r="C50" s="107" t="s">
        <v>5714</v>
      </c>
      <c r="D50" s="107" t="s">
        <v>6391</v>
      </c>
      <c r="E50" s="119">
        <v>5.8999999999999999E-3</v>
      </c>
      <c r="F50" s="119">
        <v>-0.2324</v>
      </c>
      <c r="G50" s="107" t="s">
        <v>6392</v>
      </c>
      <c r="H50" s="105">
        <f>_xlfn.IFNA(LEFT(D50,LEN(D50)-1)*CHOOSE(MATCH(RIGHT(D50,1), {"K","M","B"},0),1000,1000000,1000000000),D50)</f>
        <v>7600000</v>
      </c>
    </row>
    <row r="51" spans="1:8" ht="15.75" customHeight="1" x14ac:dyDescent="0.25">
      <c r="A51" s="104" t="s">
        <v>6467</v>
      </c>
      <c r="B51" s="121" t="s">
        <v>6468</v>
      </c>
      <c r="C51" s="107" t="s">
        <v>5714</v>
      </c>
      <c r="D51" s="107" t="s">
        <v>6469</v>
      </c>
      <c r="E51" s="119">
        <v>4.7000000000000002E-3</v>
      </c>
      <c r="F51" s="119">
        <v>-0.20200000000000001</v>
      </c>
      <c r="G51" s="107" t="s">
        <v>6470</v>
      </c>
      <c r="H51" s="105">
        <f>_xlfn.IFNA(LEFT(D51,LEN(D51)-1)*CHOOSE(MATCH(RIGHT(D51,1), {"K","M","B"},0),1000,1000000,1000000000),D51)</f>
        <v>4800000</v>
      </c>
    </row>
    <row r="52" spans="1:8" ht="15.75" customHeight="1" x14ac:dyDescent="0.25">
      <c r="A52" s="104" t="s">
        <v>6490</v>
      </c>
      <c r="B52" s="121" t="s">
        <v>6491</v>
      </c>
      <c r="C52" s="107" t="s">
        <v>5714</v>
      </c>
      <c r="D52" s="107" t="s">
        <v>6492</v>
      </c>
      <c r="E52" s="119">
        <v>7.0000000000000001E-3</v>
      </c>
      <c r="F52" s="119">
        <v>-7.46E-2</v>
      </c>
      <c r="G52" s="107" t="s">
        <v>5803</v>
      </c>
      <c r="H52" s="105">
        <f>_xlfn.IFNA(LEFT(D52,LEN(D52)-1)*CHOOSE(MATCH(RIGHT(D52,1), {"K","M","B"},0),1000,1000000,1000000000),D52)</f>
        <v>4310000</v>
      </c>
    </row>
    <row r="53" spans="1:8" ht="15.75" customHeight="1" x14ac:dyDescent="0.25">
      <c r="A53" s="91" t="s">
        <v>5674</v>
      </c>
      <c r="B53" s="122" t="s">
        <v>5675</v>
      </c>
      <c r="C53" s="93" t="s">
        <v>5714</v>
      </c>
      <c r="D53" s="93" t="s">
        <v>5886</v>
      </c>
      <c r="E53" s="113">
        <v>4.7000000000000002E-3</v>
      </c>
      <c r="F53" s="114" t="s">
        <v>5886</v>
      </c>
      <c r="G53" s="93" t="s">
        <v>5834</v>
      </c>
      <c r="H53" s="100" t="e">
        <f>_xlfn.IFNA(LEFT(D53,LEN(D53)-1)*CHOOSE(MATCH(RIGHT(D53,1), {"K","M","B"},0),1000,1000000,1000000000),D53)</f>
        <v>#VALUE!</v>
      </c>
    </row>
    <row r="54" spans="1:8" ht="15.75" customHeight="1" x14ac:dyDescent="0.25">
      <c r="A54" s="91" t="s">
        <v>6632</v>
      </c>
      <c r="B54" s="122" t="s">
        <v>6633</v>
      </c>
      <c r="C54" s="93" t="s">
        <v>5714</v>
      </c>
      <c r="D54" s="93" t="s">
        <v>5886</v>
      </c>
      <c r="E54" s="113">
        <v>4.7000000000000002E-3</v>
      </c>
      <c r="F54" s="114" t="s">
        <v>5886</v>
      </c>
      <c r="G54" s="93" t="s">
        <v>5751</v>
      </c>
      <c r="H54" s="100" t="e">
        <f>_xlfn.IFNA(LEFT(D54,LEN(D54)-1)*CHOOSE(MATCH(RIGHT(D54,1), {"K","M","B"},0),1000,1000000,1000000000),D54)</f>
        <v>#VALUE!</v>
      </c>
    </row>
    <row r="55" spans="1:8" ht="15.75" customHeight="1" x14ac:dyDescent="0.25">
      <c r="A55" s="91" t="s">
        <v>5848</v>
      </c>
      <c r="B55" s="92" t="s">
        <v>5849</v>
      </c>
      <c r="C55" s="93" t="s">
        <v>5850</v>
      </c>
      <c r="D55" s="93" t="s">
        <v>5851</v>
      </c>
      <c r="E55" s="113">
        <v>9.4999999999999998E-3</v>
      </c>
      <c r="F55" s="113">
        <v>-0.57340000000000002</v>
      </c>
      <c r="G55" s="93" t="s">
        <v>5852</v>
      </c>
      <c r="H55" s="100">
        <f>_xlfn.IFNA(LEFT(D55,LEN(D55)-1)*CHOOSE(MATCH(RIGHT(D55,1), {"K","M","B"},0),1000,1000000,1000000000),D55)</f>
        <v>718690000</v>
      </c>
    </row>
    <row r="56" spans="1:8" ht="15.75" customHeight="1" x14ac:dyDescent="0.25">
      <c r="A56" s="91" t="s">
        <v>5954</v>
      </c>
      <c r="B56" s="92" t="s">
        <v>5955</v>
      </c>
      <c r="C56" s="93" t="s">
        <v>5850</v>
      </c>
      <c r="D56" s="93" t="s">
        <v>5956</v>
      </c>
      <c r="E56" s="113">
        <v>9.4999999999999998E-3</v>
      </c>
      <c r="F56" s="113">
        <v>-0.57379999999999998</v>
      </c>
      <c r="G56" s="93" t="s">
        <v>5852</v>
      </c>
      <c r="H56" s="100">
        <f>_xlfn.IFNA(LEFT(D56,LEN(D56)-1)*CHOOSE(MATCH(RIGHT(D56,1), {"K","M","B"},0),1000,1000000,1000000000),D56)</f>
        <v>285880000</v>
      </c>
    </row>
    <row r="57" spans="1:8" ht="15.75" customHeight="1" x14ac:dyDescent="0.25">
      <c r="A57" s="91" t="s">
        <v>6040</v>
      </c>
      <c r="B57" s="92" t="s">
        <v>6041</v>
      </c>
      <c r="C57" s="93" t="s">
        <v>5850</v>
      </c>
      <c r="D57" s="93" t="s">
        <v>6042</v>
      </c>
      <c r="E57" s="113">
        <v>9.4999999999999998E-3</v>
      </c>
      <c r="F57" s="113">
        <v>-0.40129999999999999</v>
      </c>
      <c r="G57" s="93" t="s">
        <v>5852</v>
      </c>
      <c r="H57" s="100">
        <f>_xlfn.IFNA(LEFT(D57,LEN(D57)-1)*CHOOSE(MATCH(RIGHT(D57,1), {"K","M","B"},0),1000,1000000,1000000000),D57)</f>
        <v>121780000</v>
      </c>
    </row>
    <row r="58" spans="1:8" ht="15.75" customHeight="1" x14ac:dyDescent="0.25">
      <c r="A58" s="104" t="s">
        <v>6060</v>
      </c>
      <c r="B58" s="121" t="s">
        <v>6061</v>
      </c>
      <c r="C58" s="107" t="s">
        <v>5850</v>
      </c>
      <c r="D58" s="107" t="s">
        <v>6062</v>
      </c>
      <c r="E58" s="119">
        <v>9.4999999999999998E-3</v>
      </c>
      <c r="F58" s="119">
        <v>0.37909999999999999</v>
      </c>
      <c r="G58" s="107" t="s">
        <v>6063</v>
      </c>
      <c r="H58" s="105">
        <f>_xlfn.IFNA(LEFT(D58,LEN(D58)-1)*CHOOSE(MATCH(RIGHT(D58,1), {"K","M","B"},0),1000,1000000,1000000000),D58)</f>
        <v>102380000</v>
      </c>
    </row>
    <row r="59" spans="1:8" ht="15.75" customHeight="1" x14ac:dyDescent="0.25">
      <c r="A59" s="104" t="s">
        <v>6138</v>
      </c>
      <c r="B59" s="121" t="s">
        <v>6139</v>
      </c>
      <c r="C59" s="107" t="s">
        <v>5850</v>
      </c>
      <c r="D59" s="107" t="s">
        <v>6140</v>
      </c>
      <c r="E59" s="119">
        <v>5.7999999999999996E-3</v>
      </c>
      <c r="F59" s="119">
        <v>-0.2056</v>
      </c>
      <c r="G59" s="107" t="s">
        <v>6141</v>
      </c>
      <c r="H59" s="105">
        <f>_xlfn.IFNA(LEFT(D59,LEN(D59)-1)*CHOOSE(MATCH(RIGHT(D59,1), {"K","M","B"},0),1000,1000000,1000000000),D59)</f>
        <v>57650000</v>
      </c>
    </row>
    <row r="60" spans="1:8" ht="15.75" customHeight="1" x14ac:dyDescent="0.25">
      <c r="A60" s="104" t="s">
        <v>6357</v>
      </c>
      <c r="B60" s="121" t="s">
        <v>6358</v>
      </c>
      <c r="C60" s="107" t="s">
        <v>5850</v>
      </c>
      <c r="D60" s="107" t="s">
        <v>6359</v>
      </c>
      <c r="E60" s="119">
        <v>9.4999999999999998E-3</v>
      </c>
      <c r="F60" s="119">
        <v>0.35899999999999999</v>
      </c>
      <c r="G60" s="107" t="s">
        <v>6063</v>
      </c>
      <c r="H60" s="105">
        <f>_xlfn.IFNA(LEFT(D60,LEN(D60)-1)*CHOOSE(MATCH(RIGHT(D60,1), {"K","M","B"},0),1000,1000000,1000000000),D60)</f>
        <v>9550000</v>
      </c>
    </row>
    <row r="61" spans="1:8" ht="15.75" customHeight="1" x14ac:dyDescent="0.25">
      <c r="A61" s="104" t="s">
        <v>6281</v>
      </c>
      <c r="B61" s="121" t="s">
        <v>6282</v>
      </c>
      <c r="C61" s="107" t="s">
        <v>6283</v>
      </c>
      <c r="D61" s="107" t="s">
        <v>6284</v>
      </c>
      <c r="E61" s="119">
        <v>4.1999999999999997E-3</v>
      </c>
      <c r="F61" s="119">
        <v>-0.14760000000000001</v>
      </c>
      <c r="G61" s="107" t="s">
        <v>5882</v>
      </c>
      <c r="H61" s="105">
        <f>_xlfn.IFNA(LEFT(D61,LEN(D61)-1)*CHOOSE(MATCH(RIGHT(D61,1), {"K","M","B"},0),1000,1000000,1000000000),D61)</f>
        <v>19960000</v>
      </c>
    </row>
    <row r="62" spans="1:8" ht="15.75" customHeight="1" x14ac:dyDescent="0.25">
      <c r="A62" s="91" t="s">
        <v>5705</v>
      </c>
      <c r="B62" s="92" t="s">
        <v>5706</v>
      </c>
      <c r="C62" s="93" t="s">
        <v>5707</v>
      </c>
      <c r="D62" s="93" t="s">
        <v>5708</v>
      </c>
      <c r="E62" s="113">
        <v>7.6E-3</v>
      </c>
      <c r="F62" s="113">
        <v>-0.21160000000000001</v>
      </c>
      <c r="G62" s="93" t="s">
        <v>5709</v>
      </c>
      <c r="H62" s="100">
        <f>_xlfn.IFNA(LEFT(D62,LEN(D62)-1)*CHOOSE(MATCH(RIGHT(D62,1), {"K","M","B"},0),1000,1000000,1000000000),D62)</f>
        <v>5980000000</v>
      </c>
    </row>
    <row r="63" spans="1:8" ht="15.75" customHeight="1" x14ac:dyDescent="0.25">
      <c r="A63" s="91" t="s">
        <v>5970</v>
      </c>
      <c r="B63" s="92" t="s">
        <v>5971</v>
      </c>
      <c r="C63" s="93" t="s">
        <v>5707</v>
      </c>
      <c r="D63" s="93" t="s">
        <v>5972</v>
      </c>
      <c r="E63" s="113">
        <v>7.0000000000000001E-3</v>
      </c>
      <c r="F63" s="113">
        <v>-0.18859999999999999</v>
      </c>
      <c r="G63" s="93" t="s">
        <v>5724</v>
      </c>
      <c r="H63" s="100">
        <f>_xlfn.IFNA(LEFT(D63,LEN(D63)-1)*CHOOSE(MATCH(RIGHT(D63,1), {"K","M","B"},0),1000,1000000,1000000000),D63)</f>
        <v>247060000</v>
      </c>
    </row>
    <row r="64" spans="1:8" ht="15.75" customHeight="1" x14ac:dyDescent="0.25">
      <c r="A64" s="104" t="s">
        <v>6382</v>
      </c>
      <c r="B64" s="121" t="s">
        <v>6383</v>
      </c>
      <c r="C64" s="107" t="s">
        <v>5707</v>
      </c>
      <c r="D64" s="107" t="s">
        <v>6384</v>
      </c>
      <c r="E64" s="119">
        <v>6.8999999999999999E-3</v>
      </c>
      <c r="F64" s="119">
        <v>-0.15010000000000001</v>
      </c>
      <c r="G64" s="107" t="s">
        <v>6385</v>
      </c>
      <c r="H64" s="105">
        <f>_xlfn.IFNA(LEFT(D64,LEN(D64)-1)*CHOOSE(MATCH(RIGHT(D64,1), {"K","M","B"},0),1000,1000000,1000000000),D64)</f>
        <v>7870000</v>
      </c>
    </row>
    <row r="65" spans="1:8" ht="15.75" customHeight="1" x14ac:dyDescent="0.25">
      <c r="A65" s="104" t="s">
        <v>6386</v>
      </c>
      <c r="B65" s="121" t="s">
        <v>6387</v>
      </c>
      <c r="C65" s="107" t="s">
        <v>5707</v>
      </c>
      <c r="D65" s="107" t="s">
        <v>6388</v>
      </c>
      <c r="E65" s="119">
        <v>7.9000000000000008E-3</v>
      </c>
      <c r="F65" s="119">
        <v>-0.157</v>
      </c>
      <c r="G65" s="107" t="s">
        <v>5736</v>
      </c>
      <c r="H65" s="105">
        <f>_xlfn.IFNA(LEFT(D65,LEN(D65)-1)*CHOOSE(MATCH(RIGHT(D65,1), {"K","M","B"},0),1000,1000000,1000000000),D65)</f>
        <v>7740000</v>
      </c>
    </row>
    <row r="66" spans="1:8" ht="15.75" customHeight="1" x14ac:dyDescent="0.25">
      <c r="A66" s="104" t="s">
        <v>6446</v>
      </c>
      <c r="B66" s="121" t="s">
        <v>6447</v>
      </c>
      <c r="C66" s="107" t="s">
        <v>5707</v>
      </c>
      <c r="D66" s="107" t="s">
        <v>6448</v>
      </c>
      <c r="E66" s="119">
        <v>6.8999999999999999E-3</v>
      </c>
      <c r="F66" s="119">
        <v>-0.24510000000000001</v>
      </c>
      <c r="G66" s="107" t="s">
        <v>6392</v>
      </c>
      <c r="H66" s="105">
        <f>_xlfn.IFNA(LEFT(D66,LEN(D66)-1)*CHOOSE(MATCH(RIGHT(D66,1), {"K","M","B"},0),1000,1000000,1000000000),D66)</f>
        <v>5470000</v>
      </c>
    </row>
    <row r="67" spans="1:8" ht="15.75" customHeight="1" x14ac:dyDescent="0.25">
      <c r="A67" s="104" t="s">
        <v>6544</v>
      </c>
      <c r="B67" s="121" t="s">
        <v>6545</v>
      </c>
      <c r="C67" s="107" t="s">
        <v>5707</v>
      </c>
      <c r="D67" s="107" t="s">
        <v>6546</v>
      </c>
      <c r="E67" s="119">
        <v>9.9000000000000008E-3</v>
      </c>
      <c r="F67" s="119">
        <v>-0.21970000000000001</v>
      </c>
      <c r="G67" s="107" t="s">
        <v>6547</v>
      </c>
      <c r="H67" s="105">
        <f>_xlfn.IFNA(LEFT(D67,LEN(D67)-1)*CHOOSE(MATCH(RIGHT(D67,1), {"K","M","B"},0),1000,1000000,1000000000),D67)</f>
        <v>2580000</v>
      </c>
    </row>
    <row r="68" spans="1:8" ht="15.75" customHeight="1" x14ac:dyDescent="0.25">
      <c r="A68" s="104" t="s">
        <v>6551</v>
      </c>
      <c r="B68" s="121" t="s">
        <v>6552</v>
      </c>
      <c r="C68" s="107" t="s">
        <v>5707</v>
      </c>
      <c r="D68" s="107" t="s">
        <v>6553</v>
      </c>
      <c r="E68" s="119">
        <v>8.8999999999999999E-3</v>
      </c>
      <c r="F68" s="120" t="s">
        <v>5886</v>
      </c>
      <c r="G68" s="107" t="s">
        <v>5803</v>
      </c>
      <c r="H68" s="105">
        <f>_xlfn.IFNA(LEFT(D68,LEN(D68)-1)*CHOOSE(MATCH(RIGHT(D68,1), {"K","M","B"},0),1000,1000000,1000000000),D68)</f>
        <v>2480000</v>
      </c>
    </row>
    <row r="69" spans="1:8" ht="15.75" customHeight="1" x14ac:dyDescent="0.25">
      <c r="A69" s="104" t="s">
        <v>6455</v>
      </c>
      <c r="B69" s="121" t="s">
        <v>6456</v>
      </c>
      <c r="C69" s="107" t="s">
        <v>6457</v>
      </c>
      <c r="D69" s="107" t="s">
        <v>6458</v>
      </c>
      <c r="E69" s="119">
        <v>9.4999999999999998E-3</v>
      </c>
      <c r="F69" s="119">
        <v>-0.16750000000000001</v>
      </c>
      <c r="G69" s="107" t="s">
        <v>6459</v>
      </c>
      <c r="H69" s="105">
        <f>_xlfn.IFNA(LEFT(D69,LEN(D69)-1)*CHOOSE(MATCH(RIGHT(D69,1), {"K","M","B"},0),1000,1000000,1000000000),D69)</f>
        <v>4970000</v>
      </c>
    </row>
    <row r="70" spans="1:8" ht="15.75" customHeight="1" x14ac:dyDescent="0.25">
      <c r="A70" s="91" t="s">
        <v>6046</v>
      </c>
      <c r="B70" s="92" t="s">
        <v>6047</v>
      </c>
      <c r="C70" s="93" t="s">
        <v>6048</v>
      </c>
      <c r="D70" s="93" t="s">
        <v>6049</v>
      </c>
      <c r="E70" s="113">
        <v>4.8999999999999998E-3</v>
      </c>
      <c r="F70" s="113">
        <v>-0.123</v>
      </c>
      <c r="G70" s="93" t="s">
        <v>6050</v>
      </c>
      <c r="H70" s="100">
        <f>_xlfn.IFNA(LEFT(D70,LEN(D70)-1)*CHOOSE(MATCH(RIGHT(D70,1), {"K","M","B"},0),1000,1000000,1000000000),D70)</f>
        <v>114010000</v>
      </c>
    </row>
    <row r="71" spans="1:8" ht="15.75" customHeight="1" x14ac:dyDescent="0.25">
      <c r="A71" s="104" t="s">
        <v>6098</v>
      </c>
      <c r="B71" s="121" t="s">
        <v>6099</v>
      </c>
      <c r="C71" s="107" t="s">
        <v>6048</v>
      </c>
      <c r="D71" s="107" t="s">
        <v>6100</v>
      </c>
      <c r="E71" s="119">
        <v>7.4999999999999997E-3</v>
      </c>
      <c r="F71" s="119">
        <v>-6.7000000000000004E-2</v>
      </c>
      <c r="G71" s="107" t="s">
        <v>6101</v>
      </c>
      <c r="H71" s="105">
        <f>_xlfn.IFNA(LEFT(D71,LEN(D71)-1)*CHOOSE(MATCH(RIGHT(D71,1), {"K","M","B"},0),1000,1000000,1000000000),D71)</f>
        <v>78210000</v>
      </c>
    </row>
    <row r="72" spans="1:8" ht="15.75" customHeight="1" x14ac:dyDescent="0.25">
      <c r="A72" s="91" t="s">
        <v>5811</v>
      </c>
      <c r="B72" s="92" t="s">
        <v>5812</v>
      </c>
      <c r="C72" s="93" t="s">
        <v>5813</v>
      </c>
      <c r="D72" s="93" t="s">
        <v>5814</v>
      </c>
      <c r="E72" s="113">
        <v>3.0000000000000001E-3</v>
      </c>
      <c r="F72" s="113">
        <v>-0.1177</v>
      </c>
      <c r="G72" s="93" t="s">
        <v>5815</v>
      </c>
      <c r="H72" s="100">
        <f>_xlfn.IFNA(LEFT(D72,LEN(D72)-1)*CHOOSE(MATCH(RIGHT(D72,1), {"K","M","B"},0),1000,1000000,1000000000),D72)</f>
        <v>1010000000</v>
      </c>
    </row>
    <row r="73" spans="1:8" ht="15.75" customHeight="1" x14ac:dyDescent="0.25">
      <c r="A73" s="104" t="s">
        <v>6162</v>
      </c>
      <c r="B73" s="121" t="s">
        <v>6163</v>
      </c>
      <c r="C73" s="107" t="s">
        <v>5813</v>
      </c>
      <c r="D73" s="107" t="s">
        <v>6164</v>
      </c>
      <c r="E73" s="119">
        <v>3.0000000000000001E-3</v>
      </c>
      <c r="F73" s="119">
        <v>-5.2400000000000002E-2</v>
      </c>
      <c r="G73" s="107" t="s">
        <v>5724</v>
      </c>
      <c r="H73" s="105">
        <f>_xlfn.IFNA(LEFT(D73,LEN(D73)-1)*CHOOSE(MATCH(RIGHT(D73,1), {"K","M","B"},0),1000,1000000,1000000000),D73)</f>
        <v>51810000</v>
      </c>
    </row>
    <row r="74" spans="1:8" ht="15.75" customHeight="1" x14ac:dyDescent="0.25">
      <c r="A74" s="104" t="s">
        <v>6360</v>
      </c>
      <c r="B74" s="121" t="s">
        <v>6361</v>
      </c>
      <c r="C74" s="107" t="s">
        <v>5813</v>
      </c>
      <c r="D74" s="107" t="s">
        <v>6362</v>
      </c>
      <c r="E74" s="119">
        <v>6.4999999999999997E-3</v>
      </c>
      <c r="F74" s="119">
        <v>-0.2462</v>
      </c>
      <c r="G74" s="107" t="s">
        <v>5988</v>
      </c>
      <c r="H74" s="105">
        <f>_xlfn.IFNA(LEFT(D74,LEN(D74)-1)*CHOOSE(MATCH(RIGHT(D74,1), {"K","M","B"},0),1000,1000000,1000000000),D74)</f>
        <v>9230000</v>
      </c>
    </row>
    <row r="75" spans="1:8" ht="15.75" customHeight="1" x14ac:dyDescent="0.25">
      <c r="A75" s="104" t="s">
        <v>6339</v>
      </c>
      <c r="B75" s="121" t="s">
        <v>6340</v>
      </c>
      <c r="C75" s="107" t="s">
        <v>6341</v>
      </c>
      <c r="D75" s="107" t="s">
        <v>6342</v>
      </c>
      <c r="E75" s="119">
        <v>7.0000000000000001E-3</v>
      </c>
      <c r="F75" s="119">
        <v>-0.19689999999999999</v>
      </c>
      <c r="G75" s="107" t="s">
        <v>5988</v>
      </c>
      <c r="H75" s="105">
        <f>_xlfn.IFNA(LEFT(D75,LEN(D75)-1)*CHOOSE(MATCH(RIGHT(D75,1), {"K","M","B"},0),1000,1000000,1000000000),D75)</f>
        <v>11160000</v>
      </c>
    </row>
    <row r="76" spans="1:8" ht="15.75" customHeight="1" x14ac:dyDescent="0.25">
      <c r="A76" s="91" t="s">
        <v>5928</v>
      </c>
      <c r="B76" s="92" t="s">
        <v>5929</v>
      </c>
      <c r="C76" s="93" t="s">
        <v>5930</v>
      </c>
      <c r="D76" s="93" t="s">
        <v>5931</v>
      </c>
      <c r="E76" s="113">
        <v>1.32E-2</v>
      </c>
      <c r="F76" s="113">
        <v>-0.50329999999999997</v>
      </c>
      <c r="G76" s="93" t="s">
        <v>5932</v>
      </c>
      <c r="H76" s="100">
        <f>_xlfn.IFNA(LEFT(D76,LEN(D76)-1)*CHOOSE(MATCH(RIGHT(D76,1), {"K","M","B"},0),1000,1000000,1000000000),D76)</f>
        <v>355750000</v>
      </c>
    </row>
    <row r="77" spans="1:8" ht="15.75" customHeight="1" x14ac:dyDescent="0.25">
      <c r="A77" s="91" t="s">
        <v>6001</v>
      </c>
      <c r="B77" s="92" t="s">
        <v>6002</v>
      </c>
      <c r="C77" s="93" t="s">
        <v>5930</v>
      </c>
      <c r="D77" s="93" t="s">
        <v>6003</v>
      </c>
      <c r="E77" s="113">
        <v>9.5999999999999992E-3</v>
      </c>
      <c r="F77" s="113">
        <v>-0.50700000000000001</v>
      </c>
      <c r="G77" s="93" t="s">
        <v>6004</v>
      </c>
      <c r="H77" s="100">
        <f>_xlfn.IFNA(LEFT(D77,LEN(D77)-1)*CHOOSE(MATCH(RIGHT(D77,1), {"K","M","B"},0),1000,1000000,1000000000),D77)</f>
        <v>193060000</v>
      </c>
    </row>
    <row r="78" spans="1:8" ht="15.75" customHeight="1" x14ac:dyDescent="0.25">
      <c r="A78" s="104" t="s">
        <v>6056</v>
      </c>
      <c r="B78" s="121" t="s">
        <v>6057</v>
      </c>
      <c r="C78" s="107" t="s">
        <v>5930</v>
      </c>
      <c r="D78" s="107" t="s">
        <v>6058</v>
      </c>
      <c r="E78" s="119">
        <v>9.7000000000000003E-3</v>
      </c>
      <c r="F78" s="119">
        <v>-0.55389999999999995</v>
      </c>
      <c r="G78" s="107" t="s">
        <v>6059</v>
      </c>
      <c r="H78" s="105">
        <f>_xlfn.IFNA(LEFT(D78,LEN(D78)-1)*CHOOSE(MATCH(RIGHT(D78,1), {"K","M","B"},0),1000,1000000,1000000000),D78)</f>
        <v>108710000</v>
      </c>
    </row>
    <row r="79" spans="1:8" ht="15.75" customHeight="1" x14ac:dyDescent="0.25">
      <c r="A79" s="104" t="s">
        <v>6112</v>
      </c>
      <c r="B79" s="121" t="s">
        <v>6113</v>
      </c>
      <c r="C79" s="107" t="s">
        <v>5930</v>
      </c>
      <c r="D79" s="107" t="s">
        <v>6114</v>
      </c>
      <c r="E79" s="119">
        <v>9.7000000000000003E-3</v>
      </c>
      <c r="F79" s="119">
        <v>-0.34610000000000002</v>
      </c>
      <c r="G79" s="107" t="s">
        <v>6115</v>
      </c>
      <c r="H79" s="105">
        <f>_xlfn.IFNA(LEFT(D79,LEN(D79)-1)*CHOOSE(MATCH(RIGHT(D79,1), {"K","M","B"},0),1000,1000000,1000000000),D79)</f>
        <v>67630000</v>
      </c>
    </row>
    <row r="80" spans="1:8" ht="15.75" customHeight="1" x14ac:dyDescent="0.25">
      <c r="A80" s="104" t="s">
        <v>6125</v>
      </c>
      <c r="B80" s="121" t="s">
        <v>6126</v>
      </c>
      <c r="C80" s="107" t="s">
        <v>5930</v>
      </c>
      <c r="D80" s="107" t="s">
        <v>6127</v>
      </c>
      <c r="E80" s="119">
        <v>4.4999999999999997E-3</v>
      </c>
      <c r="F80" s="119">
        <v>-0.1421</v>
      </c>
      <c r="G80" s="107" t="s">
        <v>6128</v>
      </c>
      <c r="H80" s="105">
        <f>_xlfn.IFNA(LEFT(D80,LEN(D80)-1)*CHOOSE(MATCH(RIGHT(D80,1), {"K","M","B"},0),1000,1000000,1000000000),D80)</f>
        <v>65239999.999999993</v>
      </c>
    </row>
    <row r="81" spans="1:8" ht="15.75" customHeight="1" x14ac:dyDescent="0.25">
      <c r="A81" s="104" t="s">
        <v>6142</v>
      </c>
      <c r="B81" s="121" t="s">
        <v>6143</v>
      </c>
      <c r="C81" s="107" t="s">
        <v>5930</v>
      </c>
      <c r="D81" s="107" t="s">
        <v>6144</v>
      </c>
      <c r="E81" s="119">
        <v>6.4999999999999997E-3</v>
      </c>
      <c r="F81" s="119">
        <v>-0.20230000000000001</v>
      </c>
      <c r="G81" s="107" t="s">
        <v>6145</v>
      </c>
      <c r="H81" s="105">
        <f>_xlfn.IFNA(LEFT(D81,LEN(D81)-1)*CHOOSE(MATCH(RIGHT(D81,1), {"K","M","B"},0),1000,1000000,1000000000),D81)</f>
        <v>56270000</v>
      </c>
    </row>
    <row r="82" spans="1:8" ht="15.75" customHeight="1" x14ac:dyDescent="0.25">
      <c r="A82" s="104" t="s">
        <v>6177</v>
      </c>
      <c r="B82" s="121" t="s">
        <v>6178</v>
      </c>
      <c r="C82" s="107" t="s">
        <v>5930</v>
      </c>
      <c r="D82" s="107" t="s">
        <v>6179</v>
      </c>
      <c r="E82" s="119">
        <v>9.4999999999999998E-3</v>
      </c>
      <c r="F82" s="119">
        <v>-0.2422</v>
      </c>
      <c r="G82" s="107" t="s">
        <v>6180</v>
      </c>
      <c r="H82" s="105">
        <f>_xlfn.IFNA(LEFT(D82,LEN(D82)-1)*CHOOSE(MATCH(RIGHT(D82,1), {"K","M","B"},0),1000,1000000,1000000000),D82)</f>
        <v>45710000</v>
      </c>
    </row>
    <row r="83" spans="1:8" ht="15.75" customHeight="1" x14ac:dyDescent="0.25">
      <c r="A83" s="104" t="s">
        <v>6216</v>
      </c>
      <c r="B83" s="121" t="s">
        <v>6217</v>
      </c>
      <c r="C83" s="107" t="s">
        <v>5930</v>
      </c>
      <c r="D83" s="107" t="s">
        <v>6218</v>
      </c>
      <c r="E83" s="119">
        <v>4.4999999999999997E-3</v>
      </c>
      <c r="F83" s="119">
        <v>-2.5499999999999998E-2</v>
      </c>
      <c r="G83" s="107" t="s">
        <v>5724</v>
      </c>
      <c r="H83" s="105">
        <f>_xlfn.IFNA(LEFT(D83,LEN(D83)-1)*CHOOSE(MATCH(RIGHT(D83,1), {"K","M","B"},0),1000,1000000,1000000000),D83)</f>
        <v>33390000</v>
      </c>
    </row>
    <row r="84" spans="1:8" ht="15.75" customHeight="1" x14ac:dyDescent="0.25">
      <c r="A84" s="104" t="s">
        <v>6232</v>
      </c>
      <c r="B84" s="121" t="s">
        <v>6233</v>
      </c>
      <c r="C84" s="107" t="s">
        <v>5930</v>
      </c>
      <c r="D84" s="107" t="s">
        <v>6234</v>
      </c>
      <c r="E84" s="119">
        <v>1.01E-2</v>
      </c>
      <c r="F84" s="119">
        <v>0.43659999999999999</v>
      </c>
      <c r="G84" s="107" t="s">
        <v>6235</v>
      </c>
      <c r="H84" s="105">
        <f>_xlfn.IFNA(LEFT(D84,LEN(D84)-1)*CHOOSE(MATCH(RIGHT(D84,1), {"K","M","B"},0),1000,1000000,1000000000),D84)</f>
        <v>27980000</v>
      </c>
    </row>
    <row r="85" spans="1:8" ht="15.75" customHeight="1" x14ac:dyDescent="0.25">
      <c r="A85" s="104" t="s">
        <v>6299</v>
      </c>
      <c r="B85" s="121" t="s">
        <v>6300</v>
      </c>
      <c r="C85" s="107" t="s">
        <v>5930</v>
      </c>
      <c r="D85" s="107" t="s">
        <v>6301</v>
      </c>
      <c r="E85" s="119">
        <v>1.29E-2</v>
      </c>
      <c r="F85" s="119">
        <v>-0.3967</v>
      </c>
      <c r="G85" s="107" t="s">
        <v>6302</v>
      </c>
      <c r="H85" s="105">
        <f>_xlfn.IFNA(LEFT(D85,LEN(D85)-1)*CHOOSE(MATCH(RIGHT(D85,1), {"K","M","B"},0),1000,1000000,1000000000),D85)</f>
        <v>17200000</v>
      </c>
    </row>
    <row r="86" spans="1:8" ht="15.75" customHeight="1" x14ac:dyDescent="0.25">
      <c r="A86" s="104" t="s">
        <v>6366</v>
      </c>
      <c r="B86" s="121" t="s">
        <v>6367</v>
      </c>
      <c r="C86" s="107" t="s">
        <v>5930</v>
      </c>
      <c r="D86" s="107" t="s">
        <v>6368</v>
      </c>
      <c r="E86" s="119">
        <v>9.5999999999999992E-3</v>
      </c>
      <c r="F86" s="119">
        <v>-0.47589999999999999</v>
      </c>
      <c r="G86" s="107" t="s">
        <v>5852</v>
      </c>
      <c r="H86" s="105">
        <f>_xlfn.IFNA(LEFT(D86,LEN(D86)-1)*CHOOSE(MATCH(RIGHT(D86,1), {"K","M","B"},0),1000,1000000,1000000000),D86)</f>
        <v>9150000</v>
      </c>
    </row>
    <row r="87" spans="1:8" ht="15.75" customHeight="1" x14ac:dyDescent="0.25">
      <c r="A87" s="104" t="s">
        <v>6426</v>
      </c>
      <c r="B87" s="121" t="s">
        <v>6427</v>
      </c>
      <c r="C87" s="107" t="s">
        <v>5930</v>
      </c>
      <c r="D87" s="107" t="s">
        <v>6428</v>
      </c>
      <c r="E87" s="119">
        <v>9.5999999999999992E-3</v>
      </c>
      <c r="F87" s="119">
        <v>-4.8599999999999997E-2</v>
      </c>
      <c r="G87" s="107" t="s">
        <v>6429</v>
      </c>
      <c r="H87" s="105">
        <f>_xlfn.IFNA(LEFT(D87,LEN(D87)-1)*CHOOSE(MATCH(RIGHT(D87,1), {"K","M","B"},0),1000,1000000,1000000000),D87)</f>
        <v>6330000</v>
      </c>
    </row>
    <row r="88" spans="1:8" ht="15.75" customHeight="1" x14ac:dyDescent="0.25">
      <c r="A88" s="104" t="s">
        <v>6442</v>
      </c>
      <c r="B88" s="121" t="s">
        <v>6443</v>
      </c>
      <c r="C88" s="107" t="s">
        <v>5930</v>
      </c>
      <c r="D88" s="107" t="s">
        <v>6444</v>
      </c>
      <c r="E88" s="119">
        <v>1.29E-2</v>
      </c>
      <c r="F88" s="119">
        <v>-1.7399999999999999E-2</v>
      </c>
      <c r="G88" s="107" t="s">
        <v>6445</v>
      </c>
      <c r="H88" s="105">
        <f>_xlfn.IFNA(LEFT(D88,LEN(D88)-1)*CHOOSE(MATCH(RIGHT(D88,1), {"K","M","B"},0),1000,1000000,1000000000),D88)</f>
        <v>5550000</v>
      </c>
    </row>
    <row r="89" spans="1:8" ht="15.75" customHeight="1" x14ac:dyDescent="0.25">
      <c r="A89" s="104" t="s">
        <v>6479</v>
      </c>
      <c r="B89" s="121" t="s">
        <v>6480</v>
      </c>
      <c r="C89" s="107" t="s">
        <v>5930</v>
      </c>
      <c r="D89" s="107" t="s">
        <v>6481</v>
      </c>
      <c r="E89" s="119">
        <v>1.0699999999999999E-2</v>
      </c>
      <c r="F89" s="119">
        <v>-0.30209999999999998</v>
      </c>
      <c r="G89" s="107" t="s">
        <v>6482</v>
      </c>
      <c r="H89" s="105">
        <f>_xlfn.IFNA(LEFT(D89,LEN(D89)-1)*CHOOSE(MATCH(RIGHT(D89,1), {"K","M","B"},0),1000,1000000,1000000000),D89)</f>
        <v>4540000</v>
      </c>
    </row>
    <row r="90" spans="1:8" ht="15.75" customHeight="1" x14ac:dyDescent="0.25">
      <c r="A90" s="104" t="s">
        <v>6483</v>
      </c>
      <c r="B90" s="121" t="s">
        <v>6484</v>
      </c>
      <c r="C90" s="107" t="s">
        <v>5930</v>
      </c>
      <c r="D90" s="107" t="s">
        <v>6485</v>
      </c>
      <c r="E90" s="119">
        <v>5.0000000000000001E-3</v>
      </c>
      <c r="F90" s="119">
        <v>-0.12470000000000001</v>
      </c>
      <c r="G90" s="107" t="s">
        <v>6145</v>
      </c>
      <c r="H90" s="105">
        <f>_xlfn.IFNA(LEFT(D90,LEN(D90)-1)*CHOOSE(MATCH(RIGHT(D90,1), {"K","M","B"},0),1000,1000000,1000000000),D90)</f>
        <v>4480000</v>
      </c>
    </row>
    <row r="91" spans="1:8" ht="15.75" customHeight="1" x14ac:dyDescent="0.25">
      <c r="A91" s="104" t="s">
        <v>6583</v>
      </c>
      <c r="B91" s="121" t="s">
        <v>6584</v>
      </c>
      <c r="C91" s="107" t="s">
        <v>5930</v>
      </c>
      <c r="D91" s="107" t="s">
        <v>6585</v>
      </c>
      <c r="E91" s="119">
        <v>6.4999999999999997E-3</v>
      </c>
      <c r="F91" s="119">
        <v>-0.1991</v>
      </c>
      <c r="G91" s="107" t="s">
        <v>5940</v>
      </c>
      <c r="H91" s="105">
        <f>_xlfn.IFNA(LEFT(D91,LEN(D91)-1)*CHOOSE(MATCH(RIGHT(D91,1), {"K","M","B"},0),1000,1000000,1000000000),D91)</f>
        <v>1580000</v>
      </c>
    </row>
    <row r="92" spans="1:8" ht="15.75" customHeight="1" x14ac:dyDescent="0.25">
      <c r="A92" s="91" t="s">
        <v>6665</v>
      </c>
      <c r="B92" s="122" t="s">
        <v>6666</v>
      </c>
      <c r="C92" s="93" t="s">
        <v>5930</v>
      </c>
      <c r="D92" s="93" t="s">
        <v>5886</v>
      </c>
      <c r="E92" s="113">
        <v>4.4999999999999997E-3</v>
      </c>
      <c r="F92" s="118">
        <v>0</v>
      </c>
      <c r="G92" s="93" t="s">
        <v>6256</v>
      </c>
      <c r="H92" s="100" t="e">
        <f>_xlfn.IFNA(LEFT(D92,LEN(D92)-1)*CHOOSE(MATCH(RIGHT(D92,1), {"K","M","B"},0),1000,1000000,1000000000),D92)</f>
        <v>#VALUE!</v>
      </c>
    </row>
    <row r="93" spans="1:8" ht="15.75" customHeight="1" x14ac:dyDescent="0.25">
      <c r="A93" s="91" t="s">
        <v>5857</v>
      </c>
      <c r="B93" s="92" t="s">
        <v>5858</v>
      </c>
      <c r="C93" s="93" t="s">
        <v>5859</v>
      </c>
      <c r="D93" s="93" t="s">
        <v>5860</v>
      </c>
      <c r="E93" s="113">
        <v>1.5E-3</v>
      </c>
      <c r="F93" s="113">
        <v>-0.1168</v>
      </c>
      <c r="G93" s="93" t="s">
        <v>5861</v>
      </c>
      <c r="H93" s="100">
        <f>_xlfn.IFNA(LEFT(D93,LEN(D93)-1)*CHOOSE(MATCH(RIGHT(D93,1), {"K","M","B"},0),1000,1000000,1000000000),D93)</f>
        <v>678610000</v>
      </c>
    </row>
    <row r="94" spans="1:8" ht="15.75" customHeight="1" x14ac:dyDescent="0.25">
      <c r="A94" s="104" t="s">
        <v>6422</v>
      </c>
      <c r="B94" s="121" t="s">
        <v>6423</v>
      </c>
      <c r="C94" s="107" t="s">
        <v>6424</v>
      </c>
      <c r="D94" s="107" t="s">
        <v>6425</v>
      </c>
      <c r="E94" s="119">
        <v>6.0000000000000001E-3</v>
      </c>
      <c r="F94" s="119">
        <v>-0.1585</v>
      </c>
      <c r="G94" s="107" t="s">
        <v>6067</v>
      </c>
      <c r="H94" s="105">
        <f>_xlfn.IFNA(LEFT(D94,LEN(D94)-1)*CHOOSE(MATCH(RIGHT(D94,1), {"K","M","B"},0),1000,1000000,1000000000),D94)</f>
        <v>6570000</v>
      </c>
    </row>
    <row r="95" spans="1:8" ht="15.75" customHeight="1" x14ac:dyDescent="0.25">
      <c r="A95" s="104" t="s">
        <v>6548</v>
      </c>
      <c r="B95" s="121" t="s">
        <v>6549</v>
      </c>
      <c r="C95" s="107" t="s">
        <v>6424</v>
      </c>
      <c r="D95" s="107" t="s">
        <v>6550</v>
      </c>
      <c r="E95" s="119">
        <v>4.8999999999999998E-3</v>
      </c>
      <c r="F95" s="119">
        <v>-0.14710000000000001</v>
      </c>
      <c r="G95" s="107" t="s">
        <v>6256</v>
      </c>
      <c r="H95" s="105">
        <f>_xlfn.IFNA(LEFT(D95,LEN(D95)-1)*CHOOSE(MATCH(RIGHT(D95,1), {"K","M","B"},0),1000,1000000,1000000000),D95)</f>
        <v>2510000</v>
      </c>
    </row>
    <row r="96" spans="1:8" ht="15.75" customHeight="1" x14ac:dyDescent="0.25">
      <c r="A96" s="104" t="s">
        <v>6091</v>
      </c>
      <c r="B96" s="121" t="s">
        <v>6092</v>
      </c>
      <c r="C96" s="107" t="s">
        <v>6093</v>
      </c>
      <c r="D96" s="107" t="s">
        <v>6094</v>
      </c>
      <c r="E96" s="119">
        <v>7.4999999999999997E-3</v>
      </c>
      <c r="F96" s="120" t="s">
        <v>5886</v>
      </c>
      <c r="G96" s="107" t="s">
        <v>5787</v>
      </c>
      <c r="H96" s="105">
        <f>_xlfn.IFNA(LEFT(D96,LEN(D96)-1)*CHOOSE(MATCH(RIGHT(D96,1), {"K","M","B"},0),1000,1000000,1000000000),D96)</f>
        <v>82950000</v>
      </c>
    </row>
    <row r="97" spans="1:8" ht="15.75" customHeight="1" x14ac:dyDescent="0.25">
      <c r="A97" s="104" t="s">
        <v>6207</v>
      </c>
      <c r="B97" s="121" t="s">
        <v>6208</v>
      </c>
      <c r="C97" s="107" t="s">
        <v>6209</v>
      </c>
      <c r="D97" s="107" t="s">
        <v>6210</v>
      </c>
      <c r="E97" s="119">
        <v>4.8999999999999998E-3</v>
      </c>
      <c r="F97" s="119">
        <v>-0.1852</v>
      </c>
      <c r="G97" s="107" t="s">
        <v>6145</v>
      </c>
      <c r="H97" s="105">
        <f>_xlfn.IFNA(LEFT(D97,LEN(D97)-1)*CHOOSE(MATCH(RIGHT(D97,1), {"K","M","B"},0),1000,1000000,1000000000),D97)</f>
        <v>34240000</v>
      </c>
    </row>
    <row r="98" spans="1:8" ht="15.75" customHeight="1" x14ac:dyDescent="0.25">
      <c r="A98" s="104" t="s">
        <v>6249</v>
      </c>
      <c r="B98" s="121" t="s">
        <v>6250</v>
      </c>
      <c r="C98" s="107" t="s">
        <v>6209</v>
      </c>
      <c r="D98" s="107" t="s">
        <v>6251</v>
      </c>
      <c r="E98" s="119">
        <v>7.4999999999999997E-3</v>
      </c>
      <c r="F98" s="119">
        <v>-0.14399999999999999</v>
      </c>
      <c r="G98" s="107" t="s">
        <v>6231</v>
      </c>
      <c r="H98" s="105">
        <f>_xlfn.IFNA(LEFT(D98,LEN(D98)-1)*CHOOSE(MATCH(RIGHT(D98,1), {"K","M","B"},0),1000,1000000,1000000000),D98)</f>
        <v>23750000</v>
      </c>
    </row>
    <row r="99" spans="1:8" ht="15.75" customHeight="1" x14ac:dyDescent="0.25">
      <c r="A99" s="104" t="s">
        <v>6236</v>
      </c>
      <c r="B99" s="121" t="s">
        <v>6237</v>
      </c>
      <c r="C99" s="107" t="s">
        <v>6238</v>
      </c>
      <c r="D99" s="107" t="s">
        <v>6239</v>
      </c>
      <c r="E99" s="119">
        <v>7.4999999999999997E-3</v>
      </c>
      <c r="F99" s="119">
        <v>-0.21260000000000001</v>
      </c>
      <c r="G99" s="107" t="s">
        <v>5815</v>
      </c>
      <c r="H99" s="105">
        <f>_xlfn.IFNA(LEFT(D99,LEN(D99)-1)*CHOOSE(MATCH(RIGHT(D99,1), {"K","M","B"},0),1000,1000000,1000000000),D99)</f>
        <v>27690000</v>
      </c>
    </row>
    <row r="100" spans="1:8" ht="15.75" customHeight="1" x14ac:dyDescent="0.25">
      <c r="A100" s="91" t="s">
        <v>5752</v>
      </c>
      <c r="B100" s="92" t="s">
        <v>5753</v>
      </c>
      <c r="C100" s="93" t="s">
        <v>5754</v>
      </c>
      <c r="D100" s="93" t="s">
        <v>5755</v>
      </c>
      <c r="E100" s="113">
        <v>6.0000000000000001E-3</v>
      </c>
      <c r="F100" s="113">
        <v>-4.24E-2</v>
      </c>
      <c r="G100" s="93" t="s">
        <v>5704</v>
      </c>
      <c r="H100" s="100">
        <f>_xlfn.IFNA(LEFT(D100,LEN(D100)-1)*CHOOSE(MATCH(RIGHT(D100,1), {"K","M","B"},0),1000,1000000,1000000000),D100)</f>
        <v>1920000000</v>
      </c>
    </row>
    <row r="101" spans="1:8" ht="15.75" customHeight="1" x14ac:dyDescent="0.25">
      <c r="A101" s="91" t="s">
        <v>5835</v>
      </c>
      <c r="B101" s="92" t="s">
        <v>5836</v>
      </c>
      <c r="C101" s="93" t="s">
        <v>5754</v>
      </c>
      <c r="D101" s="93" t="s">
        <v>5837</v>
      </c>
      <c r="E101" s="113">
        <v>7.4999999999999997E-3</v>
      </c>
      <c r="F101" s="113">
        <v>-0.13439999999999999</v>
      </c>
      <c r="G101" s="93" t="s">
        <v>5838</v>
      </c>
      <c r="H101" s="100">
        <f>_xlfn.IFNA(LEFT(D101,LEN(D101)-1)*CHOOSE(MATCH(RIGHT(D101,1), {"K","M","B"},0),1000,1000000,1000000000),D101)</f>
        <v>773890000</v>
      </c>
    </row>
    <row r="102" spans="1:8" s="106" customFormat="1" ht="15.75" customHeight="1" x14ac:dyDescent="0.25">
      <c r="A102" s="91" t="s">
        <v>5879</v>
      </c>
      <c r="B102" s="92" t="s">
        <v>5880</v>
      </c>
      <c r="C102" s="93" t="s">
        <v>5754</v>
      </c>
      <c r="D102" s="93" t="s">
        <v>5881</v>
      </c>
      <c r="E102" s="113">
        <v>7.4999999999999997E-3</v>
      </c>
      <c r="F102" s="113">
        <v>-0.16470000000000001</v>
      </c>
      <c r="G102" s="93" t="s">
        <v>5882</v>
      </c>
      <c r="H102" s="100">
        <f>_xlfn.IFNA(LEFT(D102,LEN(D102)-1)*CHOOSE(MATCH(RIGHT(D102,1), {"K","M","B"},0),1000,1000000,1000000000),D102)</f>
        <v>580260000</v>
      </c>
    </row>
    <row r="103" spans="1:8" s="106" customFormat="1" ht="15.75" customHeight="1" x14ac:dyDescent="0.25">
      <c r="A103" s="104" t="s">
        <v>6102</v>
      </c>
      <c r="B103" s="121" t="s">
        <v>6103</v>
      </c>
      <c r="C103" s="107" t="s">
        <v>5754</v>
      </c>
      <c r="D103" s="107" t="s">
        <v>6104</v>
      </c>
      <c r="E103" s="119">
        <v>7.4999999999999997E-3</v>
      </c>
      <c r="F103" s="119">
        <v>-0.18440000000000001</v>
      </c>
      <c r="G103" s="107" t="s">
        <v>5919</v>
      </c>
      <c r="H103" s="105">
        <f>_xlfn.IFNA(LEFT(D103,LEN(D103)-1)*CHOOSE(MATCH(RIGHT(D103,1), {"K","M","B"},0),1000,1000000,1000000000),D103)</f>
        <v>72610000</v>
      </c>
    </row>
    <row r="104" spans="1:8" s="106" customFormat="1" ht="15.75" customHeight="1" x14ac:dyDescent="0.25">
      <c r="A104" s="104" t="s">
        <v>6376</v>
      </c>
      <c r="B104" s="121" t="s">
        <v>6377</v>
      </c>
      <c r="C104" s="107" t="s">
        <v>5754</v>
      </c>
      <c r="D104" s="107" t="s">
        <v>6378</v>
      </c>
      <c r="E104" s="119">
        <v>7.4999999999999997E-3</v>
      </c>
      <c r="F104" s="119">
        <v>-4.9099999999999998E-2</v>
      </c>
      <c r="G104" s="107" t="s">
        <v>6256</v>
      </c>
      <c r="H104" s="105">
        <f>_xlfn.IFNA(LEFT(D104,LEN(D104)-1)*CHOOSE(MATCH(RIGHT(D104,1), {"K","M","B"},0),1000,1000000,1000000000),D104)</f>
        <v>8260000</v>
      </c>
    </row>
    <row r="105" spans="1:8" s="106" customFormat="1" ht="15.75" customHeight="1" x14ac:dyDescent="0.25">
      <c r="A105" s="104" t="s">
        <v>6535</v>
      </c>
      <c r="B105" s="121" t="s">
        <v>6536</v>
      </c>
      <c r="C105" s="107" t="s">
        <v>5754</v>
      </c>
      <c r="D105" s="107" t="s">
        <v>6537</v>
      </c>
      <c r="E105" s="119">
        <v>7.4999999999999997E-3</v>
      </c>
      <c r="F105" s="119">
        <v>-0.3105</v>
      </c>
      <c r="G105" s="107" t="s">
        <v>5843</v>
      </c>
      <c r="H105" s="105">
        <f>_xlfn.IFNA(LEFT(D105,LEN(D105)-1)*CHOOSE(MATCH(RIGHT(D105,1), {"K","M","B"},0),1000,1000000,1000000000),D105)</f>
        <v>2940000</v>
      </c>
    </row>
    <row r="106" spans="1:8" s="106" customFormat="1" ht="15.75" customHeight="1" x14ac:dyDescent="0.25">
      <c r="A106" s="104" t="s">
        <v>6557</v>
      </c>
      <c r="B106" s="121" t="s">
        <v>6558</v>
      </c>
      <c r="C106" s="107" t="s">
        <v>5754</v>
      </c>
      <c r="D106" s="107" t="s">
        <v>6559</v>
      </c>
      <c r="E106" s="119">
        <v>9.4999999999999998E-3</v>
      </c>
      <c r="F106" s="119">
        <v>0.1628</v>
      </c>
      <c r="G106" s="107" t="s">
        <v>6560</v>
      </c>
      <c r="H106" s="105">
        <f>_xlfn.IFNA(LEFT(D106,LEN(D106)-1)*CHOOSE(MATCH(RIGHT(D106,1), {"K","M","B"},0),1000,1000000,1000000000),D106)</f>
        <v>2260000</v>
      </c>
    </row>
    <row r="107" spans="1:8" s="106" customFormat="1" ht="15.75" customHeight="1" x14ac:dyDescent="0.25">
      <c r="A107" s="104" t="s">
        <v>6561</v>
      </c>
      <c r="B107" s="121" t="s">
        <v>6562</v>
      </c>
      <c r="C107" s="107" t="s">
        <v>5754</v>
      </c>
      <c r="D107" s="107" t="s">
        <v>6563</v>
      </c>
      <c r="E107" s="119">
        <v>7.4999999999999997E-3</v>
      </c>
      <c r="F107" s="119">
        <v>1.4500000000000001E-2</v>
      </c>
      <c r="G107" s="107" t="s">
        <v>6298</v>
      </c>
      <c r="H107" s="105">
        <f>_xlfn.IFNA(LEFT(D107,LEN(D107)-1)*CHOOSE(MATCH(RIGHT(D107,1), {"K","M","B"},0),1000,1000000,1000000000),D107)</f>
        <v>2250000</v>
      </c>
    </row>
    <row r="108" spans="1:8" s="106" customFormat="1" ht="15.75" customHeight="1" x14ac:dyDescent="0.25">
      <c r="A108" s="104" t="s">
        <v>6618</v>
      </c>
      <c r="B108" s="121" t="s">
        <v>6619</v>
      </c>
      <c r="C108" s="107" t="s">
        <v>5754</v>
      </c>
      <c r="D108" s="107" t="s">
        <v>6620</v>
      </c>
      <c r="E108" s="119">
        <v>9.4999999999999998E-3</v>
      </c>
      <c r="F108" s="119">
        <v>-0.35110000000000002</v>
      </c>
      <c r="G108" s="107" t="s">
        <v>6405</v>
      </c>
      <c r="H108" s="105">
        <f>_xlfn.IFNA(LEFT(D108,LEN(D108)-1)*CHOOSE(MATCH(RIGHT(D108,1), {"K","M","B"},0),1000,1000000,1000000000),D108)</f>
        <v>715300</v>
      </c>
    </row>
    <row r="109" spans="1:8" s="106" customFormat="1" ht="15.75" customHeight="1" x14ac:dyDescent="0.25">
      <c r="A109" s="91" t="s">
        <v>5777</v>
      </c>
      <c r="B109" s="92" t="s">
        <v>5778</v>
      </c>
      <c r="C109" s="93" t="s">
        <v>5779</v>
      </c>
      <c r="D109" s="93" t="s">
        <v>5780</v>
      </c>
      <c r="E109" s="113">
        <v>9.4999999999999998E-3</v>
      </c>
      <c r="F109" s="113">
        <v>-0.1943</v>
      </c>
      <c r="G109" s="93" t="s">
        <v>5781</v>
      </c>
      <c r="H109" s="100">
        <f>_xlfn.IFNA(LEFT(D109,LEN(D109)-1)*CHOOSE(MATCH(RIGHT(D109,1), {"K","M","B"},0),1000,1000000,1000000000),D109)</f>
        <v>1390000000</v>
      </c>
    </row>
    <row r="110" spans="1:8" s="106" customFormat="1" ht="15.75" customHeight="1" x14ac:dyDescent="0.25">
      <c r="A110" s="91" t="s">
        <v>5865</v>
      </c>
      <c r="B110" s="92" t="s">
        <v>5866</v>
      </c>
      <c r="C110" s="93" t="s">
        <v>5779</v>
      </c>
      <c r="D110" s="93" t="s">
        <v>5867</v>
      </c>
      <c r="E110" s="113">
        <v>8.6E-3</v>
      </c>
      <c r="F110" s="113">
        <v>-0.2223</v>
      </c>
      <c r="G110" s="93" t="s">
        <v>5868</v>
      </c>
      <c r="H110" s="100">
        <f>_xlfn.IFNA(LEFT(D110,LEN(D110)-1)*CHOOSE(MATCH(RIGHT(D110,1), {"K","M","B"},0),1000,1000000,1000000000),D110)</f>
        <v>651270000</v>
      </c>
    </row>
    <row r="111" spans="1:8" s="106" customFormat="1" ht="15.75" customHeight="1" x14ac:dyDescent="0.25">
      <c r="A111" s="104" t="s">
        <v>6072</v>
      </c>
      <c r="B111" s="121" t="s">
        <v>6073</v>
      </c>
      <c r="C111" s="107" t="s">
        <v>5779</v>
      </c>
      <c r="D111" s="107" t="s">
        <v>6074</v>
      </c>
      <c r="E111" s="119">
        <v>8.5000000000000006E-3</v>
      </c>
      <c r="F111" s="119">
        <v>-0.2137</v>
      </c>
      <c r="G111" s="107" t="s">
        <v>5988</v>
      </c>
      <c r="H111" s="105">
        <f>_xlfn.IFNA(LEFT(D111,LEN(D111)-1)*CHOOSE(MATCH(RIGHT(D111,1), {"K","M","B"},0),1000,1000000,1000000000),D111)</f>
        <v>89360000</v>
      </c>
    </row>
    <row r="112" spans="1:8" s="106" customFormat="1" ht="15.75" customHeight="1" x14ac:dyDescent="0.25">
      <c r="A112" s="104" t="s">
        <v>6225</v>
      </c>
      <c r="B112" s="121" t="s">
        <v>6226</v>
      </c>
      <c r="C112" s="107" t="s">
        <v>5779</v>
      </c>
      <c r="D112" s="107" t="s">
        <v>6227</v>
      </c>
      <c r="E112" s="119">
        <v>6.7999999999999996E-3</v>
      </c>
      <c r="F112" s="119">
        <v>-0.18210000000000001</v>
      </c>
      <c r="G112" s="107" t="s">
        <v>5781</v>
      </c>
      <c r="H112" s="105">
        <f>_xlfn.IFNA(LEFT(D112,LEN(D112)-1)*CHOOSE(MATCH(RIGHT(D112,1), {"K","M","B"},0),1000,1000000,1000000000),D112)</f>
        <v>30000000</v>
      </c>
    </row>
    <row r="113" spans="1:8" s="106" customFormat="1" ht="15.75" customHeight="1" x14ac:dyDescent="0.25">
      <c r="A113" s="104" t="s">
        <v>6257</v>
      </c>
      <c r="B113" s="121" t="s">
        <v>6258</v>
      </c>
      <c r="C113" s="107" t="s">
        <v>5779</v>
      </c>
      <c r="D113" s="107" t="s">
        <v>6259</v>
      </c>
      <c r="E113" s="119">
        <v>7.4999999999999997E-3</v>
      </c>
      <c r="F113" s="119">
        <v>-0.12809999999999999</v>
      </c>
      <c r="G113" s="107" t="s">
        <v>5799</v>
      </c>
      <c r="H113" s="105">
        <f>_xlfn.IFNA(LEFT(D113,LEN(D113)-1)*CHOOSE(MATCH(RIGHT(D113,1), {"K","M","B"},0),1000,1000000,1000000000),D113)</f>
        <v>22840000</v>
      </c>
    </row>
    <row r="114" spans="1:8" s="106" customFormat="1" ht="15.75" customHeight="1" x14ac:dyDescent="0.25">
      <c r="A114" s="104" t="s">
        <v>6314</v>
      </c>
      <c r="B114" s="121" t="s">
        <v>6315</v>
      </c>
      <c r="C114" s="107" t="s">
        <v>5779</v>
      </c>
      <c r="D114" s="107" t="s">
        <v>6316</v>
      </c>
      <c r="E114" s="119">
        <v>8.6E-3</v>
      </c>
      <c r="F114" s="119">
        <v>-0.27479999999999999</v>
      </c>
      <c r="G114" s="107" t="s">
        <v>5758</v>
      </c>
      <c r="H114" s="105">
        <f>_xlfn.IFNA(LEFT(D114,LEN(D114)-1)*CHOOSE(MATCH(RIGHT(D114,1), {"K","M","B"},0),1000,1000000,1000000000),D114)</f>
        <v>14880000</v>
      </c>
    </row>
    <row r="115" spans="1:8" s="106" customFormat="1" ht="15.75" customHeight="1" x14ac:dyDescent="0.25">
      <c r="A115" s="104" t="s">
        <v>6363</v>
      </c>
      <c r="B115" s="121" t="s">
        <v>6364</v>
      </c>
      <c r="C115" s="107" t="s">
        <v>5779</v>
      </c>
      <c r="D115" s="107" t="s">
        <v>6365</v>
      </c>
      <c r="E115" s="119">
        <v>6.4999999999999997E-3</v>
      </c>
      <c r="F115" s="119">
        <v>-0.15870000000000001</v>
      </c>
      <c r="G115" s="107" t="s">
        <v>5724</v>
      </c>
      <c r="H115" s="105">
        <f>_xlfn.IFNA(LEFT(D115,LEN(D115)-1)*CHOOSE(MATCH(RIGHT(D115,1), {"K","M","B"},0),1000,1000000,1000000000),D115)</f>
        <v>9220000</v>
      </c>
    </row>
    <row r="116" spans="1:8" s="106" customFormat="1" ht="15.75" customHeight="1" x14ac:dyDescent="0.25">
      <c r="A116" s="104" t="s">
        <v>6379</v>
      </c>
      <c r="B116" s="121" t="s">
        <v>6380</v>
      </c>
      <c r="C116" s="107" t="s">
        <v>5779</v>
      </c>
      <c r="D116" s="107" t="s">
        <v>6381</v>
      </c>
      <c r="E116" s="119">
        <v>7.0000000000000001E-3</v>
      </c>
      <c r="F116" s="119">
        <v>-0.17680000000000001</v>
      </c>
      <c r="G116" s="107" t="s">
        <v>5758</v>
      </c>
      <c r="H116" s="105">
        <f>_xlfn.IFNA(LEFT(D116,LEN(D116)-1)*CHOOSE(MATCH(RIGHT(D116,1), {"K","M","B"},0),1000,1000000,1000000000),D116)</f>
        <v>8109999.9999999991</v>
      </c>
    </row>
    <row r="117" spans="1:8" s="106" customFormat="1" ht="15.75" customHeight="1" x14ac:dyDescent="0.25">
      <c r="A117" s="104" t="s">
        <v>6406</v>
      </c>
      <c r="B117" s="121" t="s">
        <v>6407</v>
      </c>
      <c r="C117" s="107" t="s">
        <v>5779</v>
      </c>
      <c r="D117" s="107" t="s">
        <v>6408</v>
      </c>
      <c r="E117" s="119">
        <v>8.6999999999999994E-3</v>
      </c>
      <c r="F117" s="119">
        <v>-7.22E-2</v>
      </c>
      <c r="G117" s="107" t="s">
        <v>5696</v>
      </c>
      <c r="H117" s="105">
        <f>_xlfn.IFNA(LEFT(D117,LEN(D117)-1)*CHOOSE(MATCH(RIGHT(D117,1), {"K","M","B"},0),1000,1000000,1000000000),D117)</f>
        <v>7060000</v>
      </c>
    </row>
    <row r="118" spans="1:8" s="106" customFormat="1" ht="15.75" customHeight="1" x14ac:dyDescent="0.25">
      <c r="A118" s="104" t="s">
        <v>6439</v>
      </c>
      <c r="B118" s="121" t="s">
        <v>6440</v>
      </c>
      <c r="C118" s="107" t="s">
        <v>5779</v>
      </c>
      <c r="D118" s="107" t="s">
        <v>6441</v>
      </c>
      <c r="E118" s="119">
        <v>7.0000000000000001E-3</v>
      </c>
      <c r="F118" s="119">
        <v>-0.1404</v>
      </c>
      <c r="G118" s="107" t="s">
        <v>6067</v>
      </c>
      <c r="H118" s="105">
        <f>_xlfn.IFNA(LEFT(D118,LEN(D118)-1)*CHOOSE(MATCH(RIGHT(D118,1), {"K","M","B"},0),1000,1000000,1000000000),D118)</f>
        <v>5670000</v>
      </c>
    </row>
    <row r="119" spans="1:8" s="106" customFormat="1" ht="15.75" customHeight="1" x14ac:dyDescent="0.25">
      <c r="A119" s="104" t="s">
        <v>6614</v>
      </c>
      <c r="B119" s="121" t="s">
        <v>6615</v>
      </c>
      <c r="C119" s="107" t="s">
        <v>5779</v>
      </c>
      <c r="D119" s="107" t="s">
        <v>6616</v>
      </c>
      <c r="E119" s="119">
        <v>8.6E-3</v>
      </c>
      <c r="F119" s="120" t="s">
        <v>5886</v>
      </c>
      <c r="G119" s="107" t="s">
        <v>6617</v>
      </c>
      <c r="H119" s="105">
        <f>_xlfn.IFNA(LEFT(D119,LEN(D119)-1)*CHOOSE(MATCH(RIGHT(D119,1), {"K","M","B"},0),1000,1000000,1000000000),D119)</f>
        <v>736550</v>
      </c>
    </row>
    <row r="120" spans="1:8" s="106" customFormat="1" ht="15.75" customHeight="1" x14ac:dyDescent="0.25">
      <c r="A120" s="104" t="s">
        <v>6132</v>
      </c>
      <c r="B120" s="121" t="s">
        <v>6133</v>
      </c>
      <c r="C120" s="107" t="s">
        <v>6134</v>
      </c>
      <c r="D120" s="107" t="s">
        <v>6135</v>
      </c>
      <c r="E120" s="119">
        <v>5.8999999999999999E-3</v>
      </c>
      <c r="F120" s="119">
        <v>-3.73E-2</v>
      </c>
      <c r="G120" s="107" t="s">
        <v>5696</v>
      </c>
      <c r="H120" s="105">
        <f>_xlfn.IFNA(LEFT(D120,LEN(D120)-1)*CHOOSE(MATCH(RIGHT(D120,1), {"K","M","B"},0),1000,1000000,1000000000),D120)</f>
        <v>59780000</v>
      </c>
    </row>
    <row r="121" spans="1:8" s="106" customFormat="1" ht="15.75" customHeight="1" x14ac:dyDescent="0.25">
      <c r="A121" s="104" t="s">
        <v>5657</v>
      </c>
      <c r="B121" s="121" t="s">
        <v>6192</v>
      </c>
      <c r="C121" s="107" t="s">
        <v>6134</v>
      </c>
      <c r="D121" s="107" t="s">
        <v>6193</v>
      </c>
      <c r="E121" s="119">
        <v>3.8999999999999998E-3</v>
      </c>
      <c r="F121" s="119">
        <v>-0.16189999999999999</v>
      </c>
      <c r="G121" s="107" t="s">
        <v>5724</v>
      </c>
      <c r="H121" s="105">
        <f>_xlfn.IFNA(LEFT(D121,LEN(D121)-1)*CHOOSE(MATCH(RIGHT(D121,1), {"K","M","B"},0),1000,1000000,1000000000),D121)</f>
        <v>40280000</v>
      </c>
    </row>
    <row r="122" spans="1:8" s="106" customFormat="1" ht="15.75" customHeight="1" x14ac:dyDescent="0.25">
      <c r="A122" s="104" t="s">
        <v>5652</v>
      </c>
      <c r="B122" s="121" t="s">
        <v>5653</v>
      </c>
      <c r="C122" s="107" t="s">
        <v>6134</v>
      </c>
      <c r="D122" s="107" t="s">
        <v>6243</v>
      </c>
      <c r="E122" s="119">
        <v>3.8999999999999998E-3</v>
      </c>
      <c r="F122" s="119">
        <v>-1.2E-2</v>
      </c>
      <c r="G122" s="107" t="s">
        <v>5716</v>
      </c>
      <c r="H122" s="105">
        <f>_xlfn.IFNA(LEFT(D122,LEN(D122)-1)*CHOOSE(MATCH(RIGHT(D122,1), {"K","M","B"},0),1000,1000000,1000000000),D122)</f>
        <v>24270000</v>
      </c>
    </row>
    <row r="123" spans="1:8" s="106" customFormat="1" ht="15.75" customHeight="1" x14ac:dyDescent="0.25">
      <c r="A123" s="91" t="s">
        <v>6638</v>
      </c>
      <c r="B123" s="122" t="s">
        <v>6639</v>
      </c>
      <c r="C123" s="93" t="s">
        <v>6134</v>
      </c>
      <c r="D123" s="93" t="s">
        <v>5886</v>
      </c>
      <c r="E123" s="113">
        <v>3.8999999999999998E-3</v>
      </c>
      <c r="F123" s="114" t="s">
        <v>5886</v>
      </c>
      <c r="G123" s="93" t="s">
        <v>5988</v>
      </c>
      <c r="H123" s="100" t="e">
        <f>_xlfn.IFNA(LEFT(D123,LEN(D123)-1)*CHOOSE(MATCH(RIGHT(D123,1), {"K","M","B"},0),1000,1000000,1000000000),D123)</f>
        <v>#VALUE!</v>
      </c>
    </row>
    <row r="124" spans="1:8" s="106" customFormat="1" ht="15.75" customHeight="1" x14ac:dyDescent="0.25">
      <c r="A124" s="91" t="s">
        <v>5663</v>
      </c>
      <c r="B124" s="122" t="s">
        <v>6640</v>
      </c>
      <c r="C124" s="93" t="s">
        <v>6134</v>
      </c>
      <c r="D124" s="93" t="s">
        <v>5886</v>
      </c>
      <c r="E124" s="113">
        <v>3.8999999999999998E-3</v>
      </c>
      <c r="F124" s="114" t="s">
        <v>5886</v>
      </c>
      <c r="G124" s="93" t="s">
        <v>5758</v>
      </c>
      <c r="H124" s="100" t="e">
        <f>_xlfn.IFNA(LEFT(D124,LEN(D124)-1)*CHOOSE(MATCH(RIGHT(D124,1), {"K","M","B"},0),1000,1000000,1000000000),D124)</f>
        <v>#VALUE!</v>
      </c>
    </row>
    <row r="125" spans="1:8" s="106" customFormat="1" ht="15.75" customHeight="1" x14ac:dyDescent="0.25">
      <c r="A125" s="91" t="s">
        <v>5683</v>
      </c>
      <c r="B125" s="92" t="s">
        <v>5684</v>
      </c>
      <c r="C125" s="93" t="s">
        <v>5702</v>
      </c>
      <c r="D125" s="93" t="s">
        <v>5703</v>
      </c>
      <c r="E125" s="113">
        <v>6.0000000000000001E-3</v>
      </c>
      <c r="F125" s="113">
        <v>1.6000000000000001E-3</v>
      </c>
      <c r="G125" s="93" t="s">
        <v>5704</v>
      </c>
      <c r="H125" s="100">
        <f>_xlfn.IFNA(LEFT(D125,LEN(D125)-1)*CHOOSE(MATCH(RIGHT(D125,1), {"K","M","B"},0),1000,1000000,1000000000),D125)</f>
        <v>5990000000</v>
      </c>
    </row>
    <row r="126" spans="1:8" s="106" customFormat="1" ht="15.75" customHeight="1" x14ac:dyDescent="0.25">
      <c r="A126" s="91" t="s">
        <v>5710</v>
      </c>
      <c r="B126" s="92" t="s">
        <v>5711</v>
      </c>
      <c r="C126" s="93" t="s">
        <v>5702</v>
      </c>
      <c r="D126" s="93" t="s">
        <v>5712</v>
      </c>
      <c r="E126" s="113">
        <v>5.1000000000000004E-3</v>
      </c>
      <c r="F126" s="113">
        <v>-0.19639999999999999</v>
      </c>
      <c r="G126" s="93" t="s">
        <v>5713</v>
      </c>
      <c r="H126" s="100">
        <f>_xlfn.IFNA(LEFT(D126,LEN(D126)-1)*CHOOSE(MATCH(RIGHT(D126,1), {"K","M","B"},0),1000,1000000,1000000000),D126)</f>
        <v>5150000000</v>
      </c>
    </row>
    <row r="127" spans="1:8" s="106" customFormat="1" ht="15.75" customHeight="1" x14ac:dyDescent="0.25">
      <c r="A127" s="91" t="s">
        <v>5676</v>
      </c>
      <c r="B127" s="92" t="s">
        <v>5677</v>
      </c>
      <c r="C127" s="93" t="s">
        <v>5702</v>
      </c>
      <c r="D127" s="93" t="s">
        <v>5745</v>
      </c>
      <c r="E127" s="113">
        <v>5.7999999999999996E-3</v>
      </c>
      <c r="F127" s="113">
        <v>-5.6099999999999997E-2</v>
      </c>
      <c r="G127" s="93" t="s">
        <v>5746</v>
      </c>
      <c r="H127" s="100">
        <f>_xlfn.IFNA(LEFT(D127,LEN(D127)-1)*CHOOSE(MATCH(RIGHT(D127,1), {"K","M","B"},0),1000,1000000,1000000000),D127)</f>
        <v>2000000000</v>
      </c>
    </row>
    <row r="128" spans="1:8" s="106" customFormat="1" ht="15.75" customHeight="1" x14ac:dyDescent="0.25">
      <c r="A128" s="91" t="s">
        <v>5791</v>
      </c>
      <c r="B128" s="92" t="s">
        <v>5792</v>
      </c>
      <c r="C128" s="93" t="s">
        <v>5702</v>
      </c>
      <c r="D128" s="93" t="s">
        <v>5793</v>
      </c>
      <c r="E128" s="113">
        <v>5.3E-3</v>
      </c>
      <c r="F128" s="113">
        <v>-8.1900000000000001E-2</v>
      </c>
      <c r="G128" s="93" t="s">
        <v>5772</v>
      </c>
      <c r="H128" s="100">
        <f>_xlfn.IFNA(LEFT(D128,LEN(D128)-1)*CHOOSE(MATCH(RIGHT(D128,1), {"K","M","B"},0),1000,1000000,1000000000),D128)</f>
        <v>1240000000</v>
      </c>
    </row>
    <row r="129" spans="1:8" s="106" customFormat="1" ht="15.75" customHeight="1" x14ac:dyDescent="0.25">
      <c r="A129" s="91" t="s">
        <v>5827</v>
      </c>
      <c r="B129" s="92" t="s">
        <v>5828</v>
      </c>
      <c r="C129" s="93" t="s">
        <v>5702</v>
      </c>
      <c r="D129" s="93" t="s">
        <v>5829</v>
      </c>
      <c r="E129" s="113">
        <v>7.0000000000000001E-3</v>
      </c>
      <c r="F129" s="113">
        <v>-0.112</v>
      </c>
      <c r="G129" s="93" t="s">
        <v>5815</v>
      </c>
      <c r="H129" s="100">
        <f>_xlfn.IFNA(LEFT(D129,LEN(D129)-1)*CHOOSE(MATCH(RIGHT(D129,1), {"K","M","B"},0),1000,1000000,1000000000),D129)</f>
        <v>848860000</v>
      </c>
    </row>
    <row r="130" spans="1:8" s="106" customFormat="1" ht="15.75" customHeight="1" x14ac:dyDescent="0.25">
      <c r="A130" s="91" t="s">
        <v>5862</v>
      </c>
      <c r="B130" s="92" t="s">
        <v>5863</v>
      </c>
      <c r="C130" s="93" t="s">
        <v>5702</v>
      </c>
      <c r="D130" s="93" t="s">
        <v>5864</v>
      </c>
      <c r="E130" s="113">
        <v>6.3E-3</v>
      </c>
      <c r="F130" s="113">
        <v>-8.5800000000000001E-2</v>
      </c>
      <c r="G130" s="93" t="s">
        <v>5736</v>
      </c>
      <c r="H130" s="100">
        <f>_xlfn.IFNA(LEFT(D130,LEN(D130)-1)*CHOOSE(MATCH(RIGHT(D130,1), {"K","M","B"},0),1000,1000000,1000000000),D130)</f>
        <v>659640000</v>
      </c>
    </row>
    <row r="131" spans="1:8" s="106" customFormat="1" ht="15.75" customHeight="1" x14ac:dyDescent="0.25">
      <c r="A131" s="91" t="s">
        <v>5945</v>
      </c>
      <c r="B131" s="92" t="s">
        <v>5946</v>
      </c>
      <c r="C131" s="93" t="s">
        <v>5702</v>
      </c>
      <c r="D131" s="93" t="s">
        <v>5947</v>
      </c>
      <c r="E131" s="113">
        <v>6.1999999999999998E-3</v>
      </c>
      <c r="F131" s="113">
        <v>-5.57E-2</v>
      </c>
      <c r="G131" s="93" t="s">
        <v>5716</v>
      </c>
      <c r="H131" s="100">
        <f>_xlfn.IFNA(LEFT(D131,LEN(D131)-1)*CHOOSE(MATCH(RIGHT(D131,1), {"K","M","B"},0),1000,1000000,1000000000),D131)</f>
        <v>298120000</v>
      </c>
    </row>
    <row r="132" spans="1:8" s="106" customFormat="1" ht="15.75" customHeight="1" x14ac:dyDescent="0.25">
      <c r="A132" s="91" t="s">
        <v>5989</v>
      </c>
      <c r="B132" s="92" t="s">
        <v>5990</v>
      </c>
      <c r="C132" s="93" t="s">
        <v>5702</v>
      </c>
      <c r="D132" s="93" t="s">
        <v>5991</v>
      </c>
      <c r="E132" s="113">
        <v>6.4999999999999997E-3</v>
      </c>
      <c r="F132" s="113">
        <v>-0.1618</v>
      </c>
      <c r="G132" s="93" t="s">
        <v>5781</v>
      </c>
      <c r="H132" s="100">
        <f>_xlfn.IFNA(LEFT(D132,LEN(D132)-1)*CHOOSE(MATCH(RIGHT(D132,1), {"K","M","B"},0),1000,1000000,1000000000),D132)</f>
        <v>214450000</v>
      </c>
    </row>
    <row r="133" spans="1:8" s="106" customFormat="1" ht="15.75" customHeight="1" x14ac:dyDescent="0.25">
      <c r="A133" s="91" t="s">
        <v>6009</v>
      </c>
      <c r="B133" s="92" t="s">
        <v>6010</v>
      </c>
      <c r="C133" s="93" t="s">
        <v>5702</v>
      </c>
      <c r="D133" s="93" t="s">
        <v>6011</v>
      </c>
      <c r="E133" s="113">
        <v>7.0000000000000001E-3</v>
      </c>
      <c r="F133" s="113">
        <v>2.4E-2</v>
      </c>
      <c r="G133" s="93" t="s">
        <v>5701</v>
      </c>
      <c r="H133" s="100">
        <f>_xlfn.IFNA(LEFT(D133,LEN(D133)-1)*CHOOSE(MATCH(RIGHT(D133,1), {"K","M","B"},0),1000,1000000,1000000000),D133)</f>
        <v>175070000</v>
      </c>
    </row>
    <row r="134" spans="1:8" s="106" customFormat="1" ht="15.75" customHeight="1" x14ac:dyDescent="0.25">
      <c r="A134" s="91" t="s">
        <v>6033</v>
      </c>
      <c r="B134" s="92" t="s">
        <v>6034</v>
      </c>
      <c r="C134" s="93" t="s">
        <v>5702</v>
      </c>
      <c r="D134" s="93" t="s">
        <v>6035</v>
      </c>
      <c r="E134" s="113">
        <v>6.4999999999999997E-3</v>
      </c>
      <c r="F134" s="113">
        <v>-0.1492</v>
      </c>
      <c r="G134" s="93" t="s">
        <v>5834</v>
      </c>
      <c r="H134" s="100">
        <f>_xlfn.IFNA(LEFT(D134,LEN(D134)-1)*CHOOSE(MATCH(RIGHT(D134,1), {"K","M","B"},0),1000,1000000,1000000000),D134)</f>
        <v>137620000</v>
      </c>
    </row>
    <row r="135" spans="1:8" s="106" customFormat="1" ht="15.75" customHeight="1" x14ac:dyDescent="0.25">
      <c r="A135" s="104" t="s">
        <v>6129</v>
      </c>
      <c r="B135" s="121" t="s">
        <v>6130</v>
      </c>
      <c r="C135" s="107" t="s">
        <v>5702</v>
      </c>
      <c r="D135" s="107" t="s">
        <v>6131</v>
      </c>
      <c r="E135" s="119">
        <v>7.0000000000000001E-3</v>
      </c>
      <c r="F135" s="119">
        <v>-0.153</v>
      </c>
      <c r="G135" s="107" t="s">
        <v>5724</v>
      </c>
      <c r="H135" s="105">
        <f>_xlfn.IFNA(LEFT(D135,LEN(D135)-1)*CHOOSE(MATCH(RIGHT(D135,1), {"K","M","B"},0),1000,1000000,1000000000),D135)</f>
        <v>61620000</v>
      </c>
    </row>
    <row r="136" spans="1:8" s="106" customFormat="1" ht="15.75" customHeight="1" x14ac:dyDescent="0.25">
      <c r="A136" s="104" t="s">
        <v>6186</v>
      </c>
      <c r="B136" s="121" t="s">
        <v>6187</v>
      </c>
      <c r="C136" s="107" t="s">
        <v>5702</v>
      </c>
      <c r="D136" s="107" t="s">
        <v>6188</v>
      </c>
      <c r="E136" s="119">
        <v>8.5000000000000006E-3</v>
      </c>
      <c r="F136" s="119">
        <v>-0.21299999999999999</v>
      </c>
      <c r="G136" s="107" t="s">
        <v>5988</v>
      </c>
      <c r="H136" s="105">
        <f>_xlfn.IFNA(LEFT(D136,LEN(D136)-1)*CHOOSE(MATCH(RIGHT(D136,1), {"K","M","B"},0),1000,1000000,1000000000),D136)</f>
        <v>43840000</v>
      </c>
    </row>
    <row r="137" spans="1:8" s="106" customFormat="1" ht="15.75" customHeight="1" x14ac:dyDescent="0.25">
      <c r="A137" s="104" t="s">
        <v>6200</v>
      </c>
      <c r="B137" s="121" t="s">
        <v>6201</v>
      </c>
      <c r="C137" s="107" t="s">
        <v>5702</v>
      </c>
      <c r="D137" s="107" t="s">
        <v>6202</v>
      </c>
      <c r="E137" s="119">
        <v>6.4999999999999997E-3</v>
      </c>
      <c r="F137" s="119">
        <v>-0.27829999999999999</v>
      </c>
      <c r="G137" s="107" t="s">
        <v>6203</v>
      </c>
      <c r="H137" s="105">
        <f>_xlfn.IFNA(LEFT(D137,LEN(D137)-1)*CHOOSE(MATCH(RIGHT(D137,1), {"K","M","B"},0),1000,1000000,1000000000),D137)</f>
        <v>35730000</v>
      </c>
    </row>
    <row r="138" spans="1:8" s="106" customFormat="1" ht="15.75" customHeight="1" x14ac:dyDescent="0.25">
      <c r="A138" s="104" t="s">
        <v>6292</v>
      </c>
      <c r="B138" s="121" t="s">
        <v>6293</v>
      </c>
      <c r="C138" s="107" t="s">
        <v>5702</v>
      </c>
      <c r="D138" s="107" t="s">
        <v>6294</v>
      </c>
      <c r="E138" s="119">
        <v>7.0000000000000001E-3</v>
      </c>
      <c r="F138" s="119">
        <v>1.4800000000000001E-2</v>
      </c>
      <c r="G138" s="107" t="s">
        <v>5751</v>
      </c>
      <c r="H138" s="105">
        <f>_xlfn.IFNA(LEFT(D138,LEN(D138)-1)*CHOOSE(MATCH(RIGHT(D138,1), {"K","M","B"},0),1000,1000000,1000000000),D138)</f>
        <v>18810000</v>
      </c>
    </row>
    <row r="139" spans="1:8" s="106" customFormat="1" ht="15.75" customHeight="1" x14ac:dyDescent="0.25">
      <c r="A139" s="104" t="s">
        <v>6295</v>
      </c>
      <c r="B139" s="121" t="s">
        <v>6296</v>
      </c>
      <c r="C139" s="107" t="s">
        <v>5702</v>
      </c>
      <c r="D139" s="107" t="s">
        <v>6297</v>
      </c>
      <c r="E139" s="119">
        <v>9.4999999999999998E-3</v>
      </c>
      <c r="F139" s="119">
        <v>2.9600000000000001E-2</v>
      </c>
      <c r="G139" s="107" t="s">
        <v>6298</v>
      </c>
      <c r="H139" s="105">
        <f>_xlfn.IFNA(LEFT(D139,LEN(D139)-1)*CHOOSE(MATCH(RIGHT(D139,1), {"K","M","B"},0),1000,1000000,1000000000),D139)</f>
        <v>18790000</v>
      </c>
    </row>
    <row r="140" spans="1:8" s="106" customFormat="1" ht="15.75" customHeight="1" x14ac:dyDescent="0.25">
      <c r="A140" s="104" t="s">
        <v>6311</v>
      </c>
      <c r="B140" s="121" t="s">
        <v>6312</v>
      </c>
      <c r="C140" s="107" t="s">
        <v>5702</v>
      </c>
      <c r="D140" s="107" t="s">
        <v>6313</v>
      </c>
      <c r="E140" s="119">
        <v>6.4999999999999997E-3</v>
      </c>
      <c r="F140" s="119">
        <v>-0.15040000000000001</v>
      </c>
      <c r="G140" s="107" t="s">
        <v>5940</v>
      </c>
      <c r="H140" s="105">
        <f>_xlfn.IFNA(LEFT(D140,LEN(D140)-1)*CHOOSE(MATCH(RIGHT(D140,1), {"K","M","B"},0),1000,1000000,1000000000),D140)</f>
        <v>15300000</v>
      </c>
    </row>
    <row r="141" spans="1:8" s="106" customFormat="1" ht="15.75" customHeight="1" x14ac:dyDescent="0.25">
      <c r="A141" s="104" t="s">
        <v>6320</v>
      </c>
      <c r="B141" s="121" t="s">
        <v>6321</v>
      </c>
      <c r="C141" s="107" t="s">
        <v>5702</v>
      </c>
      <c r="D141" s="107" t="s">
        <v>6322</v>
      </c>
      <c r="E141" s="119">
        <v>6.0000000000000001E-3</v>
      </c>
      <c r="F141" s="119">
        <v>-0.21340000000000001</v>
      </c>
      <c r="G141" s="107" t="s">
        <v>6008</v>
      </c>
      <c r="H141" s="105">
        <f>_xlfn.IFNA(LEFT(D141,LEN(D141)-1)*CHOOSE(MATCH(RIGHT(D141,1), {"K","M","B"},0),1000,1000000,1000000000),D141)</f>
        <v>13740000</v>
      </c>
    </row>
    <row r="142" spans="1:8" s="106" customFormat="1" ht="15.75" customHeight="1" x14ac:dyDescent="0.25">
      <c r="A142" s="104" t="s">
        <v>6522</v>
      </c>
      <c r="B142" s="121" t="s">
        <v>6523</v>
      </c>
      <c r="C142" s="107" t="s">
        <v>5702</v>
      </c>
      <c r="D142" s="107" t="s">
        <v>6524</v>
      </c>
      <c r="E142" s="119">
        <v>7.4999999999999997E-3</v>
      </c>
      <c r="F142" s="119">
        <v>-0.14849999999999999</v>
      </c>
      <c r="G142" s="107" t="s">
        <v>5696</v>
      </c>
      <c r="H142" s="105">
        <f>_xlfn.IFNA(LEFT(D142,LEN(D142)-1)*CHOOSE(MATCH(RIGHT(D142,1), {"K","M","B"},0),1000,1000000,1000000000),D142)</f>
        <v>3210000</v>
      </c>
    </row>
    <row r="143" spans="1:8" s="106" customFormat="1" ht="15.75" customHeight="1" x14ac:dyDescent="0.25">
      <c r="A143" s="104" t="s">
        <v>6532</v>
      </c>
      <c r="B143" s="121" t="s">
        <v>6533</v>
      </c>
      <c r="C143" s="107" t="s">
        <v>5702</v>
      </c>
      <c r="D143" s="107" t="s">
        <v>6534</v>
      </c>
      <c r="E143" s="119">
        <v>7.0000000000000001E-3</v>
      </c>
      <c r="F143" s="119">
        <v>-0.81540000000000001</v>
      </c>
      <c r="G143" s="107" t="s">
        <v>5919</v>
      </c>
      <c r="H143" s="105">
        <f>_xlfn.IFNA(LEFT(D143,LEN(D143)-1)*CHOOSE(MATCH(RIGHT(D143,1), {"K","M","B"},0),1000,1000000,1000000000),D143)</f>
        <v>2990000</v>
      </c>
    </row>
    <row r="144" spans="1:8" s="106" customFormat="1" ht="15.75" customHeight="1" x14ac:dyDescent="0.25">
      <c r="A144" s="104" t="s">
        <v>6538</v>
      </c>
      <c r="B144" s="121" t="s">
        <v>6539</v>
      </c>
      <c r="C144" s="107" t="s">
        <v>5702</v>
      </c>
      <c r="D144" s="107" t="s">
        <v>6540</v>
      </c>
      <c r="E144" s="119">
        <v>7.0000000000000001E-3</v>
      </c>
      <c r="F144" s="120" t="s">
        <v>5886</v>
      </c>
      <c r="G144" s="107" t="s">
        <v>5758</v>
      </c>
      <c r="H144" s="105">
        <f>_xlfn.IFNA(LEFT(D144,LEN(D144)-1)*CHOOSE(MATCH(RIGHT(D144,1), {"K","M","B"},0),1000,1000000,1000000000),D144)</f>
        <v>2850000</v>
      </c>
    </row>
    <row r="145" spans="1:8" s="106" customFormat="1" ht="15.75" customHeight="1" x14ac:dyDescent="0.25">
      <c r="A145" s="104" t="s">
        <v>6307</v>
      </c>
      <c r="B145" s="121" t="s">
        <v>6308</v>
      </c>
      <c r="C145" s="107" t="s">
        <v>6309</v>
      </c>
      <c r="D145" s="107" t="s">
        <v>6310</v>
      </c>
      <c r="E145" s="119">
        <v>5.0000000000000001E-3</v>
      </c>
      <c r="F145" s="119">
        <v>-0.20219999999999999</v>
      </c>
      <c r="G145" s="107" t="s">
        <v>5988</v>
      </c>
      <c r="H145" s="105">
        <f>_xlfn.IFNA(LEFT(D145,LEN(D145)-1)*CHOOSE(MATCH(RIGHT(D145,1), {"K","M","B"},0),1000,1000000,1000000000),D145)</f>
        <v>15710000</v>
      </c>
    </row>
    <row r="146" spans="1:8" s="106" customFormat="1" ht="15.75" customHeight="1" x14ac:dyDescent="0.25">
      <c r="A146" s="104" t="s">
        <v>6317</v>
      </c>
      <c r="B146" s="121" t="s">
        <v>6318</v>
      </c>
      <c r="C146" s="107" t="s">
        <v>6309</v>
      </c>
      <c r="D146" s="107" t="s">
        <v>6319</v>
      </c>
      <c r="E146" s="119">
        <v>5.0000000000000001E-3</v>
      </c>
      <c r="F146" s="119">
        <v>-0.17929999999999999</v>
      </c>
      <c r="G146" s="107" t="s">
        <v>5739</v>
      </c>
      <c r="H146" s="105">
        <f>_xlfn.IFNA(LEFT(D146,LEN(D146)-1)*CHOOSE(MATCH(RIGHT(D146,1), {"K","M","B"},0),1000,1000000,1000000000),D146)</f>
        <v>14720000</v>
      </c>
    </row>
    <row r="147" spans="1:8" s="106" customFormat="1" ht="15.75" customHeight="1" x14ac:dyDescent="0.25">
      <c r="A147" s="104" t="s">
        <v>6354</v>
      </c>
      <c r="B147" s="121" t="s">
        <v>6355</v>
      </c>
      <c r="C147" s="107" t="s">
        <v>6309</v>
      </c>
      <c r="D147" s="107" t="s">
        <v>6356</v>
      </c>
      <c r="E147" s="119">
        <v>5.0000000000000001E-3</v>
      </c>
      <c r="F147" s="119">
        <v>-0.1512</v>
      </c>
      <c r="G147" s="107" t="s">
        <v>5781</v>
      </c>
      <c r="H147" s="105">
        <f>_xlfn.IFNA(LEFT(D147,LEN(D147)-1)*CHOOSE(MATCH(RIGHT(D147,1), {"K","M","B"},0),1000,1000000,1000000000),D147)</f>
        <v>9940000</v>
      </c>
    </row>
    <row r="148" spans="1:8" s="106" customFormat="1" ht="15.75" customHeight="1" x14ac:dyDescent="0.25">
      <c r="A148" s="104" t="s">
        <v>6335</v>
      </c>
      <c r="B148" s="121" t="s">
        <v>6336</v>
      </c>
      <c r="C148" s="107" t="s">
        <v>6337</v>
      </c>
      <c r="D148" s="107" t="s">
        <v>6338</v>
      </c>
      <c r="E148" s="119">
        <v>1.01E-2</v>
      </c>
      <c r="F148" s="119">
        <v>-0.112</v>
      </c>
      <c r="G148" s="107" t="s">
        <v>6145</v>
      </c>
      <c r="H148" s="105">
        <f>_xlfn.IFNA(LEFT(D148,LEN(D148)-1)*CHOOSE(MATCH(RIGHT(D148,1), {"K","M","B"},0),1000,1000000,1000000000),D148)</f>
        <v>11290000</v>
      </c>
    </row>
    <row r="149" spans="1:8" s="106" customFormat="1" ht="15.75" customHeight="1" x14ac:dyDescent="0.25">
      <c r="A149" s="104" t="s">
        <v>6486</v>
      </c>
      <c r="B149" s="121" t="s">
        <v>6487</v>
      </c>
      <c r="C149" s="107" t="s">
        <v>6488</v>
      </c>
      <c r="D149" s="107" t="s">
        <v>6489</v>
      </c>
      <c r="E149" s="119">
        <v>8.9999999999999993E-3</v>
      </c>
      <c r="F149" s="119">
        <v>-0.1051</v>
      </c>
      <c r="G149" s="107" t="s">
        <v>6268</v>
      </c>
      <c r="H149" s="105">
        <f>_xlfn.IFNA(LEFT(D149,LEN(D149)-1)*CHOOSE(MATCH(RIGHT(D149,1), {"K","M","B"},0),1000,1000000,1000000000),D149)</f>
        <v>4430000</v>
      </c>
    </row>
    <row r="150" spans="1:8" s="106" customFormat="1" ht="15.75" customHeight="1" x14ac:dyDescent="0.25">
      <c r="A150" s="91" t="s">
        <v>5912</v>
      </c>
      <c r="B150" s="92" t="s">
        <v>5913</v>
      </c>
      <c r="C150" s="93" t="s">
        <v>5914</v>
      </c>
      <c r="D150" s="93" t="s">
        <v>5915</v>
      </c>
      <c r="E150" s="113">
        <v>5.0000000000000001E-3</v>
      </c>
      <c r="F150" s="113">
        <v>-0.14499999999999999</v>
      </c>
      <c r="G150" s="93" t="s">
        <v>5696</v>
      </c>
      <c r="H150" s="100">
        <f>_xlfn.IFNA(LEFT(D150,LEN(D150)-1)*CHOOSE(MATCH(RIGHT(D150,1), {"K","M","B"},0),1000,1000000,1000000000),D150)</f>
        <v>375620000</v>
      </c>
    </row>
    <row r="151" spans="1:8" s="106" customFormat="1" ht="15.75" customHeight="1" x14ac:dyDescent="0.25">
      <c r="A151" s="91" t="s">
        <v>5992</v>
      </c>
      <c r="B151" s="92" t="s">
        <v>5993</v>
      </c>
      <c r="C151" s="93" t="s">
        <v>5914</v>
      </c>
      <c r="D151" s="93" t="s">
        <v>5994</v>
      </c>
      <c r="E151" s="113">
        <v>7.4999999999999997E-3</v>
      </c>
      <c r="F151" s="113">
        <v>-0.1381</v>
      </c>
      <c r="G151" s="93" t="s">
        <v>5911</v>
      </c>
      <c r="H151" s="100">
        <f>_xlfn.IFNA(LEFT(D151,LEN(D151)-1)*CHOOSE(MATCH(RIGHT(D151,1), {"K","M","B"},0),1000,1000000,1000000000),D151)</f>
        <v>201370000</v>
      </c>
    </row>
    <row r="152" spans="1:8" s="106" customFormat="1" ht="15.75" customHeight="1" x14ac:dyDescent="0.25">
      <c r="A152" s="104" t="s">
        <v>6064</v>
      </c>
      <c r="B152" s="121" t="s">
        <v>6065</v>
      </c>
      <c r="C152" s="107" t="s">
        <v>5914</v>
      </c>
      <c r="D152" s="107" t="s">
        <v>6066</v>
      </c>
      <c r="E152" s="119">
        <v>7.4999999999999997E-3</v>
      </c>
      <c r="F152" s="119">
        <v>-0.18049999999999999</v>
      </c>
      <c r="G152" s="107" t="s">
        <v>6067</v>
      </c>
      <c r="H152" s="105">
        <f>_xlfn.IFNA(LEFT(D152,LEN(D152)-1)*CHOOSE(MATCH(RIGHT(D152,1), {"K","M","B"},0),1000,1000000,1000000000),D152)</f>
        <v>101280000</v>
      </c>
    </row>
    <row r="153" spans="1:8" s="106" customFormat="1" ht="15.75" customHeight="1" x14ac:dyDescent="0.25">
      <c r="A153" s="104" t="s">
        <v>6396</v>
      </c>
      <c r="B153" s="121" t="s">
        <v>6397</v>
      </c>
      <c r="C153" s="107" t="s">
        <v>5914</v>
      </c>
      <c r="D153" s="107" t="s">
        <v>6398</v>
      </c>
      <c r="E153" s="119">
        <v>4.4999999999999997E-3</v>
      </c>
      <c r="F153" s="120" t="s">
        <v>5886</v>
      </c>
      <c r="G153" s="107" t="s">
        <v>5746</v>
      </c>
      <c r="H153" s="105">
        <f>_xlfn.IFNA(LEFT(D153,LEN(D153)-1)*CHOOSE(MATCH(RIGHT(D153,1), {"K","M","B"},0),1000,1000000,1000000000),D153)</f>
        <v>7400000</v>
      </c>
    </row>
    <row r="154" spans="1:8" s="106" customFormat="1" ht="15.75" customHeight="1" x14ac:dyDescent="0.25">
      <c r="A154" s="104" t="s">
        <v>6413</v>
      </c>
      <c r="B154" s="121" t="s">
        <v>6414</v>
      </c>
      <c r="C154" s="107" t="s">
        <v>5914</v>
      </c>
      <c r="D154" s="107" t="s">
        <v>6415</v>
      </c>
      <c r="E154" s="119">
        <v>2E-3</v>
      </c>
      <c r="F154" s="119">
        <v>-0.10580000000000001</v>
      </c>
      <c r="G154" s="107" t="s">
        <v>5787</v>
      </c>
      <c r="H154" s="105">
        <f>_xlfn.IFNA(LEFT(D154,LEN(D154)-1)*CHOOSE(MATCH(RIGHT(D154,1), {"K","M","B"},0),1000,1000000,1000000000),D154)</f>
        <v>6910000</v>
      </c>
    </row>
    <row r="155" spans="1:8" s="106" customFormat="1" ht="15.75" customHeight="1" x14ac:dyDescent="0.25">
      <c r="A155" s="104" t="s">
        <v>6594</v>
      </c>
      <c r="B155" s="121" t="s">
        <v>6595</v>
      </c>
      <c r="C155" s="107" t="s">
        <v>6596</v>
      </c>
      <c r="D155" s="107" t="s">
        <v>6597</v>
      </c>
      <c r="E155" s="119">
        <v>7.4999999999999997E-3</v>
      </c>
      <c r="F155" s="119">
        <v>-3.3999999999999998E-3</v>
      </c>
      <c r="G155" s="107" t="s">
        <v>5696</v>
      </c>
      <c r="H155" s="105">
        <f>_xlfn.IFNA(LEFT(D155,LEN(D155)-1)*CHOOSE(MATCH(RIGHT(D155,1), {"K","M","B"},0),1000,1000000,1000000000),D155)</f>
        <v>1180000</v>
      </c>
    </row>
    <row r="156" spans="1:8" s="106" customFormat="1" ht="15.75" customHeight="1" x14ac:dyDescent="0.25">
      <c r="A156" s="104" t="s">
        <v>6323</v>
      </c>
      <c r="B156" s="121" t="s">
        <v>6324</v>
      </c>
      <c r="C156" s="107" t="s">
        <v>6325</v>
      </c>
      <c r="D156" s="107" t="s">
        <v>6326</v>
      </c>
      <c r="E156" s="119">
        <v>6.7999999999999996E-3</v>
      </c>
      <c r="F156" s="119">
        <v>-0.14660000000000001</v>
      </c>
      <c r="G156" s="107" t="s">
        <v>5724</v>
      </c>
      <c r="H156" s="105">
        <f>_xlfn.IFNA(LEFT(D156,LEN(D156)-1)*CHOOSE(MATCH(RIGHT(D156,1), {"K","M","B"},0),1000,1000000,1000000000),D156)</f>
        <v>13360000</v>
      </c>
    </row>
    <row r="157" spans="1:8" s="106" customFormat="1" ht="15.75" customHeight="1" x14ac:dyDescent="0.25">
      <c r="A157" s="104" t="s">
        <v>6464</v>
      </c>
      <c r="B157" s="121" t="s">
        <v>6465</v>
      </c>
      <c r="C157" s="107" t="s">
        <v>6325</v>
      </c>
      <c r="D157" s="107" t="s">
        <v>6466</v>
      </c>
      <c r="E157" s="119">
        <v>7.9000000000000008E-3</v>
      </c>
      <c r="F157" s="119">
        <v>-7.1300000000000002E-2</v>
      </c>
      <c r="G157" s="107" t="s">
        <v>5716</v>
      </c>
      <c r="H157" s="105">
        <f>_xlfn.IFNA(LEFT(D157,LEN(D157)-1)*CHOOSE(MATCH(RIGHT(D157,1), {"K","M","B"},0),1000,1000000,1000000000),D157)</f>
        <v>4890000</v>
      </c>
    </row>
    <row r="158" spans="1:8" s="106" customFormat="1" ht="15.75" customHeight="1" x14ac:dyDescent="0.25">
      <c r="A158" s="91" t="s">
        <v>6662</v>
      </c>
      <c r="B158" s="122" t="s">
        <v>6465</v>
      </c>
      <c r="C158" s="93" t="s">
        <v>6325</v>
      </c>
      <c r="D158" s="93" t="s">
        <v>5886</v>
      </c>
      <c r="E158" s="114" t="s">
        <v>5886</v>
      </c>
      <c r="F158" s="113">
        <v>8.9999999999999998E-4</v>
      </c>
      <c r="G158" s="93" t="s">
        <v>5716</v>
      </c>
      <c r="H158" s="100" t="e">
        <f>_xlfn.IFNA(LEFT(D158,LEN(D158)-1)*CHOOSE(MATCH(RIGHT(D158,1), {"K","M","B"},0),1000,1000000,1000000000),D158)</f>
        <v>#VALUE!</v>
      </c>
    </row>
    <row r="159" spans="1:8" s="106" customFormat="1" ht="15.75" customHeight="1" x14ac:dyDescent="0.25">
      <c r="A159" s="104" t="s">
        <v>6511</v>
      </c>
      <c r="B159" s="121" t="s">
        <v>6512</v>
      </c>
      <c r="C159" s="107" t="s">
        <v>6513</v>
      </c>
      <c r="D159" s="107" t="s">
        <v>6514</v>
      </c>
      <c r="E159" s="119">
        <v>3.0000000000000001E-3</v>
      </c>
      <c r="F159" s="119">
        <v>-0.1076</v>
      </c>
      <c r="G159" s="107" t="s">
        <v>5803</v>
      </c>
      <c r="H159" s="105">
        <f>_xlfn.IFNA(LEFT(D159,LEN(D159)-1)*CHOOSE(MATCH(RIGHT(D159,1), {"K","M","B"},0),1000,1000000,1000000000),D159)</f>
        <v>3450000</v>
      </c>
    </row>
    <row r="160" spans="1:8" s="106" customFormat="1" ht="15.75" customHeight="1" x14ac:dyDescent="0.25">
      <c r="A160" s="91" t="s">
        <v>4067</v>
      </c>
      <c r="B160" s="92" t="s">
        <v>5665</v>
      </c>
      <c r="C160" s="93" t="s">
        <v>5743</v>
      </c>
      <c r="D160" s="93" t="s">
        <v>5744</v>
      </c>
      <c r="E160" s="113">
        <v>6.8999999999999999E-3</v>
      </c>
      <c r="F160" s="113">
        <v>1.5299999999999999E-2</v>
      </c>
      <c r="G160" s="93" t="s">
        <v>5716</v>
      </c>
      <c r="H160" s="100">
        <f>_xlfn.IFNA(LEFT(D160,LEN(D160)-1)*CHOOSE(MATCH(RIGHT(D160,1), {"K","M","B"},0),1000,1000000,1000000000),D160)</f>
        <v>2060000000</v>
      </c>
    </row>
    <row r="161" spans="1:8" s="106" customFormat="1" ht="15.75" customHeight="1" x14ac:dyDescent="0.25">
      <c r="A161" s="91" t="s">
        <v>5769</v>
      </c>
      <c r="B161" s="92" t="s">
        <v>5770</v>
      </c>
      <c r="C161" s="93" t="s">
        <v>5743</v>
      </c>
      <c r="D161" s="93" t="s">
        <v>5771</v>
      </c>
      <c r="E161" s="113">
        <v>6.0000000000000001E-3</v>
      </c>
      <c r="F161" s="113">
        <v>-9.0300000000000005E-2</v>
      </c>
      <c r="G161" s="93" t="s">
        <v>5772</v>
      </c>
      <c r="H161" s="100">
        <f>_xlfn.IFNA(LEFT(D161,LEN(D161)-1)*CHOOSE(MATCH(RIGHT(D161,1), {"K","M","B"},0),1000,1000000,1000000000),D161)</f>
        <v>1650000000</v>
      </c>
    </row>
    <row r="162" spans="1:8" s="106" customFormat="1" ht="15.75" customHeight="1" x14ac:dyDescent="0.25">
      <c r="A162" s="91" t="s">
        <v>4068</v>
      </c>
      <c r="B162" s="92" t="s">
        <v>5664</v>
      </c>
      <c r="C162" s="93" t="s">
        <v>5743</v>
      </c>
      <c r="D162" s="93" t="s">
        <v>5800</v>
      </c>
      <c r="E162" s="113">
        <v>6.1000000000000004E-3</v>
      </c>
      <c r="F162" s="113">
        <v>-5.3699999999999998E-2</v>
      </c>
      <c r="G162" s="93" t="s">
        <v>5716</v>
      </c>
      <c r="H162" s="100">
        <f>_xlfn.IFNA(LEFT(D162,LEN(D162)-1)*CHOOSE(MATCH(RIGHT(D162,1), {"K","M","B"},0),1000,1000000,1000000000),D162)</f>
        <v>1090000000</v>
      </c>
    </row>
    <row r="163" spans="1:8" s="106" customFormat="1" ht="15.75" customHeight="1" x14ac:dyDescent="0.25">
      <c r="A163" s="91" t="s">
        <v>5816</v>
      </c>
      <c r="B163" s="92" t="s">
        <v>5817</v>
      </c>
      <c r="C163" s="93" t="s">
        <v>5743</v>
      </c>
      <c r="D163" s="93" t="s">
        <v>5818</v>
      </c>
      <c r="E163" s="113">
        <v>5.7000000000000002E-3</v>
      </c>
      <c r="F163" s="113">
        <v>-0.1196</v>
      </c>
      <c r="G163" s="93" t="s">
        <v>5819</v>
      </c>
      <c r="H163" s="100">
        <f>_xlfn.IFNA(LEFT(D163,LEN(D163)-1)*CHOOSE(MATCH(RIGHT(D163,1), {"K","M","B"},0),1000,1000000,1000000000),D163)</f>
        <v>998450000</v>
      </c>
    </row>
    <row r="164" spans="1:8" s="106" customFormat="1" ht="15.75" customHeight="1" x14ac:dyDescent="0.25">
      <c r="A164" s="91" t="s">
        <v>5887</v>
      </c>
      <c r="B164" s="92" t="s">
        <v>5888</v>
      </c>
      <c r="C164" s="93" t="s">
        <v>5743</v>
      </c>
      <c r="D164" s="93" t="s">
        <v>5889</v>
      </c>
      <c r="E164" s="113">
        <v>6.0000000000000001E-3</v>
      </c>
      <c r="F164" s="113">
        <v>-0.23899999999999999</v>
      </c>
      <c r="G164" s="93" t="s">
        <v>5713</v>
      </c>
      <c r="H164" s="100">
        <f>_xlfn.IFNA(LEFT(D164,LEN(D164)-1)*CHOOSE(MATCH(RIGHT(D164,1), {"K","M","B"},0),1000,1000000,1000000000),D164)</f>
        <v>570410000</v>
      </c>
    </row>
    <row r="165" spans="1:8" s="106" customFormat="1" ht="15.75" customHeight="1" x14ac:dyDescent="0.25">
      <c r="A165" s="91" t="s">
        <v>5908</v>
      </c>
      <c r="B165" s="92" t="s">
        <v>5909</v>
      </c>
      <c r="C165" s="93" t="s">
        <v>5743</v>
      </c>
      <c r="D165" s="93" t="s">
        <v>5910</v>
      </c>
      <c r="E165" s="113">
        <v>5.4999999999999997E-3</v>
      </c>
      <c r="F165" s="113">
        <v>-7.8399999999999997E-2</v>
      </c>
      <c r="G165" s="93" t="s">
        <v>5911</v>
      </c>
      <c r="H165" s="100">
        <f>_xlfn.IFNA(LEFT(D165,LEN(D165)-1)*CHOOSE(MATCH(RIGHT(D165,1), {"K","M","B"},0),1000,1000000,1000000000),D165)</f>
        <v>388090000</v>
      </c>
    </row>
    <row r="166" spans="1:8" s="106" customFormat="1" ht="15.75" customHeight="1" x14ac:dyDescent="0.25">
      <c r="A166" s="91" t="s">
        <v>5957</v>
      </c>
      <c r="B166" s="92" t="s">
        <v>5958</v>
      </c>
      <c r="C166" s="93" t="s">
        <v>5743</v>
      </c>
      <c r="D166" s="93" t="s">
        <v>5959</v>
      </c>
      <c r="E166" s="113">
        <v>7.4999999999999997E-3</v>
      </c>
      <c r="F166" s="113">
        <v>-0.12740000000000001</v>
      </c>
      <c r="G166" s="93" t="s">
        <v>5819</v>
      </c>
      <c r="H166" s="100">
        <f>_xlfn.IFNA(LEFT(D166,LEN(D166)-1)*CHOOSE(MATCH(RIGHT(D166,1), {"K","M","B"},0),1000,1000000,1000000000),D166)</f>
        <v>281440000</v>
      </c>
    </row>
    <row r="167" spans="1:8" s="106" customFormat="1" ht="15.75" customHeight="1" x14ac:dyDescent="0.25">
      <c r="A167" s="91" t="s">
        <v>5967</v>
      </c>
      <c r="B167" s="92" t="s">
        <v>5968</v>
      </c>
      <c r="C167" s="93" t="s">
        <v>5743</v>
      </c>
      <c r="D167" s="93" t="s">
        <v>5969</v>
      </c>
      <c r="E167" s="113">
        <v>7.4999999999999997E-3</v>
      </c>
      <c r="F167" s="113">
        <v>-3.1800000000000002E-2</v>
      </c>
      <c r="G167" s="93" t="s">
        <v>5716</v>
      </c>
      <c r="H167" s="100">
        <f>_xlfn.IFNA(LEFT(D167,LEN(D167)-1)*CHOOSE(MATCH(RIGHT(D167,1), {"K","M","B"},0),1000,1000000,1000000000),D167)</f>
        <v>248250000</v>
      </c>
    </row>
    <row r="168" spans="1:8" s="106" customFormat="1" ht="15.75" customHeight="1" x14ac:dyDescent="0.25">
      <c r="A168" s="104" t="s">
        <v>6078</v>
      </c>
      <c r="B168" s="121" t="s">
        <v>6079</v>
      </c>
      <c r="C168" s="107" t="s">
        <v>5743</v>
      </c>
      <c r="D168" s="107" t="s">
        <v>6080</v>
      </c>
      <c r="E168" s="119">
        <v>6.1000000000000004E-3</v>
      </c>
      <c r="F168" s="119">
        <v>-4.1200000000000001E-2</v>
      </c>
      <c r="G168" s="107" t="s">
        <v>5944</v>
      </c>
      <c r="H168" s="105">
        <f>_xlfn.IFNA(LEFT(D168,LEN(D168)-1)*CHOOSE(MATCH(RIGHT(D168,1), {"K","M","B"},0),1000,1000000,1000000000),D168)</f>
        <v>84550000</v>
      </c>
    </row>
    <row r="169" spans="1:8" s="106" customFormat="1" ht="15.75" customHeight="1" x14ac:dyDescent="0.25">
      <c r="A169" s="104" t="s">
        <v>6399</v>
      </c>
      <c r="B169" s="121" t="s">
        <v>6400</v>
      </c>
      <c r="C169" s="107" t="s">
        <v>5743</v>
      </c>
      <c r="D169" s="107" t="s">
        <v>6401</v>
      </c>
      <c r="E169" s="119">
        <v>6.0000000000000001E-3</v>
      </c>
      <c r="F169" s="119">
        <v>-0.1978</v>
      </c>
      <c r="G169" s="107" t="s">
        <v>5988</v>
      </c>
      <c r="H169" s="105">
        <f>_xlfn.IFNA(LEFT(D169,LEN(D169)-1)*CHOOSE(MATCH(RIGHT(D169,1), {"K","M","B"},0),1000,1000000,1000000000),D169)</f>
        <v>7310000</v>
      </c>
    </row>
    <row r="170" spans="1:8" s="106" customFormat="1" ht="15.75" customHeight="1" x14ac:dyDescent="0.25">
      <c r="A170" s="104" t="s">
        <v>6449</v>
      </c>
      <c r="B170" s="121" t="s">
        <v>6450</v>
      </c>
      <c r="C170" s="107" t="s">
        <v>5743</v>
      </c>
      <c r="D170" s="107" t="s">
        <v>6451</v>
      </c>
      <c r="E170" s="119">
        <v>3.8999999999999998E-3</v>
      </c>
      <c r="F170" s="119">
        <v>-6.8099999999999994E-2</v>
      </c>
      <c r="G170" s="107" t="s">
        <v>5911</v>
      </c>
      <c r="H170" s="105">
        <f>_xlfn.IFNA(LEFT(D170,LEN(D170)-1)*CHOOSE(MATCH(RIGHT(D170,1), {"K","M","B"},0),1000,1000000,1000000000),D170)</f>
        <v>5280000</v>
      </c>
    </row>
    <row r="171" spans="1:8" s="106" customFormat="1" ht="15.75" customHeight="1" x14ac:dyDescent="0.25">
      <c r="A171" s="104" t="s">
        <v>6519</v>
      </c>
      <c r="B171" s="121" t="s">
        <v>6520</v>
      </c>
      <c r="C171" s="107" t="s">
        <v>5743</v>
      </c>
      <c r="D171" s="107" t="s">
        <v>6521</v>
      </c>
      <c r="E171" s="119">
        <v>6.0000000000000001E-3</v>
      </c>
      <c r="F171" s="119">
        <v>-0.1714</v>
      </c>
      <c r="G171" s="107" t="s">
        <v>5834</v>
      </c>
      <c r="H171" s="105">
        <f>_xlfn.IFNA(LEFT(D171,LEN(D171)-1)*CHOOSE(MATCH(RIGHT(D171,1), {"K","M","B"},0),1000,1000000,1000000000),D171)</f>
        <v>3260000</v>
      </c>
    </row>
    <row r="172" spans="1:8" s="106" customFormat="1" ht="15.75" customHeight="1" x14ac:dyDescent="0.25">
      <c r="A172" s="104" t="s">
        <v>6146</v>
      </c>
      <c r="B172" s="121" t="s">
        <v>6147</v>
      </c>
      <c r="C172" s="107" t="s">
        <v>6148</v>
      </c>
      <c r="D172" s="107" t="s">
        <v>6149</v>
      </c>
      <c r="E172" s="119">
        <v>6.0000000000000001E-3</v>
      </c>
      <c r="F172" s="119">
        <v>3.39E-2</v>
      </c>
      <c r="G172" s="107" t="s">
        <v>5803</v>
      </c>
      <c r="H172" s="105">
        <f>_xlfn.IFNA(LEFT(D172,LEN(D172)-1)*CHOOSE(MATCH(RIGHT(D172,1), {"K","M","B"},0),1000,1000000,1000000000),D172)</f>
        <v>55550000</v>
      </c>
    </row>
    <row r="173" spans="1:8" s="106" customFormat="1" ht="15.75" customHeight="1" x14ac:dyDescent="0.25">
      <c r="A173" s="104" t="s">
        <v>6197</v>
      </c>
      <c r="B173" s="121" t="s">
        <v>6198</v>
      </c>
      <c r="C173" s="107" t="s">
        <v>6148</v>
      </c>
      <c r="D173" s="107" t="s">
        <v>6199</v>
      </c>
      <c r="E173" s="119">
        <v>5.4999999999999997E-3</v>
      </c>
      <c r="F173" s="119">
        <v>-0.115</v>
      </c>
      <c r="G173" s="107" t="s">
        <v>6145</v>
      </c>
      <c r="H173" s="105">
        <f>_xlfn.IFNA(LEFT(D173,LEN(D173)-1)*CHOOSE(MATCH(RIGHT(D173,1), {"K","M","B"},0),1000,1000000,1000000000),D173)</f>
        <v>37780000</v>
      </c>
    </row>
    <row r="174" spans="1:8" s="106" customFormat="1" ht="15.75" customHeight="1" x14ac:dyDescent="0.25">
      <c r="A174" s="104" t="s">
        <v>6228</v>
      </c>
      <c r="B174" s="121" t="s">
        <v>6229</v>
      </c>
      <c r="C174" s="107" t="s">
        <v>6148</v>
      </c>
      <c r="D174" s="107" t="s">
        <v>6230</v>
      </c>
      <c r="E174" s="119">
        <v>6.0000000000000001E-3</v>
      </c>
      <c r="F174" s="119">
        <v>-0.16520000000000001</v>
      </c>
      <c r="G174" s="107" t="s">
        <v>6231</v>
      </c>
      <c r="H174" s="105">
        <f>_xlfn.IFNA(LEFT(D174,LEN(D174)-1)*CHOOSE(MATCH(RIGHT(D174,1), {"K","M","B"},0),1000,1000000,1000000000),D174)</f>
        <v>29610000</v>
      </c>
    </row>
    <row r="175" spans="1:8" s="106" customFormat="1" ht="15.75" customHeight="1" x14ac:dyDescent="0.25">
      <c r="A175" s="104" t="s">
        <v>6260</v>
      </c>
      <c r="B175" s="121" t="s">
        <v>6261</v>
      </c>
      <c r="C175" s="107" t="s">
        <v>6262</v>
      </c>
      <c r="D175" s="107" t="s">
        <v>6263</v>
      </c>
      <c r="E175" s="119">
        <v>1.5E-3</v>
      </c>
      <c r="F175" s="119">
        <v>-9.9699999999999997E-2</v>
      </c>
      <c r="G175" s="107" t="s">
        <v>5787</v>
      </c>
      <c r="H175" s="105">
        <f>_xlfn.IFNA(LEFT(D175,LEN(D175)-1)*CHOOSE(MATCH(RIGHT(D175,1), {"K","M","B"},0),1000,1000000,1000000000),D175)</f>
        <v>22330000</v>
      </c>
    </row>
    <row r="176" spans="1:8" s="106" customFormat="1" ht="15.75" customHeight="1" x14ac:dyDescent="0.25">
      <c r="A176" s="104" t="s">
        <v>6269</v>
      </c>
      <c r="B176" s="121" t="s">
        <v>6270</v>
      </c>
      <c r="C176" s="107" t="s">
        <v>6262</v>
      </c>
      <c r="D176" s="107" t="s">
        <v>6271</v>
      </c>
      <c r="E176" s="119">
        <v>4.8999999999999998E-3</v>
      </c>
      <c r="F176" s="119">
        <v>-0.12230000000000001</v>
      </c>
      <c r="G176" s="107" t="s">
        <v>5803</v>
      </c>
      <c r="H176" s="105">
        <f>_xlfn.IFNA(LEFT(D176,LEN(D176)-1)*CHOOSE(MATCH(RIGHT(D176,1), {"K","M","B"},0),1000,1000000,1000000000),D176)</f>
        <v>20720000</v>
      </c>
    </row>
    <row r="177" spans="1:8" s="106" customFormat="1" ht="15.75" customHeight="1" x14ac:dyDescent="0.25">
      <c r="A177" s="104" t="s">
        <v>6589</v>
      </c>
      <c r="B177" s="121" t="s">
        <v>6590</v>
      </c>
      <c r="C177" s="107" t="s">
        <v>6591</v>
      </c>
      <c r="D177" s="107" t="s">
        <v>6592</v>
      </c>
      <c r="E177" s="119">
        <v>6.7999999999999996E-3</v>
      </c>
      <c r="F177" s="119">
        <v>-6.5699999999999995E-2</v>
      </c>
      <c r="G177" s="107" t="s">
        <v>6593</v>
      </c>
      <c r="H177" s="105">
        <f>_xlfn.IFNA(LEFT(D177,LEN(D177)-1)*CHOOSE(MATCH(RIGHT(D177,1), {"K","M","B"},0),1000,1000000,1000000000),D177)</f>
        <v>1340000</v>
      </c>
    </row>
    <row r="178" spans="1:8" s="106" customFormat="1" ht="15.75" customHeight="1" x14ac:dyDescent="0.25">
      <c r="A178" s="104" t="s">
        <v>6121</v>
      </c>
      <c r="B178" s="121" t="s">
        <v>6122</v>
      </c>
      <c r="C178" s="107" t="s">
        <v>6123</v>
      </c>
      <c r="D178" s="107" t="s">
        <v>6124</v>
      </c>
      <c r="E178" s="119">
        <v>1.54E-2</v>
      </c>
      <c r="F178" s="119">
        <v>-0.14660000000000001</v>
      </c>
      <c r="G178" s="107" t="s">
        <v>5696</v>
      </c>
      <c r="H178" s="105">
        <f>_xlfn.IFNA(LEFT(D178,LEN(D178)-1)*CHOOSE(MATCH(RIGHT(D178,1), {"K","M","B"},0),1000,1000000,1000000000),D178)</f>
        <v>66140000</v>
      </c>
    </row>
    <row r="179" spans="1:8" s="106" customFormat="1" ht="15.75" customHeight="1" x14ac:dyDescent="0.25">
      <c r="A179" s="91" t="s">
        <v>5717</v>
      </c>
      <c r="B179" s="92" t="s">
        <v>5718</v>
      </c>
      <c r="C179" s="93" t="s">
        <v>5719</v>
      </c>
      <c r="D179" s="93" t="s">
        <v>5720</v>
      </c>
      <c r="E179" s="113">
        <v>4.7000000000000002E-3</v>
      </c>
      <c r="F179" s="113">
        <v>-2.01E-2</v>
      </c>
      <c r="G179" s="93" t="s">
        <v>5721</v>
      </c>
      <c r="H179" s="100">
        <f>_xlfn.IFNA(LEFT(D179,LEN(D179)-1)*CHOOSE(MATCH(RIGHT(D179,1), {"K","M","B"},0),1000,1000000,1000000000),D179)</f>
        <v>4600000000</v>
      </c>
    </row>
    <row r="180" spans="1:8" s="106" customFormat="1" ht="15.75" customHeight="1" x14ac:dyDescent="0.25">
      <c r="A180" s="91" t="s">
        <v>5666</v>
      </c>
      <c r="B180" s="92" t="s">
        <v>5722</v>
      </c>
      <c r="C180" s="93" t="s">
        <v>5719</v>
      </c>
      <c r="D180" s="93" t="s">
        <v>5723</v>
      </c>
      <c r="E180" s="113">
        <v>7.4999999999999997E-3</v>
      </c>
      <c r="F180" s="113">
        <v>-0.16900000000000001</v>
      </c>
      <c r="G180" s="93" t="s">
        <v>5724</v>
      </c>
      <c r="H180" s="100">
        <f>_xlfn.IFNA(LEFT(D180,LEN(D180)-1)*CHOOSE(MATCH(RIGHT(D180,1), {"K","M","B"},0),1000,1000000,1000000000),D180)</f>
        <v>4230000000.0000005</v>
      </c>
    </row>
    <row r="181" spans="1:8" s="106" customFormat="1" ht="15.75" customHeight="1" x14ac:dyDescent="0.25">
      <c r="A181" s="91" t="s">
        <v>5759</v>
      </c>
      <c r="B181" s="92" t="s">
        <v>5760</v>
      </c>
      <c r="C181" s="93" t="s">
        <v>5719</v>
      </c>
      <c r="D181" s="93" t="s">
        <v>5761</v>
      </c>
      <c r="E181" s="113">
        <v>6.8999999999999999E-3</v>
      </c>
      <c r="F181" s="113">
        <v>9.6199999999999994E-2</v>
      </c>
      <c r="G181" s="93" t="s">
        <v>5762</v>
      </c>
      <c r="H181" s="100">
        <f>_xlfn.IFNA(LEFT(D181,LEN(D181)-1)*CHOOSE(MATCH(RIGHT(D181,1), {"K","M","B"},0),1000,1000000,1000000000),D181)</f>
        <v>1820000000</v>
      </c>
    </row>
    <row r="182" spans="1:8" s="106" customFormat="1" ht="15.75" customHeight="1" x14ac:dyDescent="0.25">
      <c r="A182" s="91" t="s">
        <v>5678</v>
      </c>
      <c r="B182" s="92" t="s">
        <v>5766</v>
      </c>
      <c r="C182" s="93" t="s">
        <v>5719</v>
      </c>
      <c r="D182" s="93" t="s">
        <v>5767</v>
      </c>
      <c r="E182" s="113">
        <v>6.7999999999999996E-3</v>
      </c>
      <c r="F182" s="113">
        <v>-0.20449999999999999</v>
      </c>
      <c r="G182" s="93" t="s">
        <v>5768</v>
      </c>
      <c r="H182" s="100">
        <f>_xlfn.IFNA(LEFT(D182,LEN(D182)-1)*CHOOSE(MATCH(RIGHT(D182,1), {"K","M","B"},0),1000,1000000,1000000000),D182)</f>
        <v>1660000000</v>
      </c>
    </row>
    <row r="183" spans="1:8" s="106" customFormat="1" ht="15.75" customHeight="1" x14ac:dyDescent="0.25">
      <c r="A183" s="91" t="s">
        <v>5788</v>
      </c>
      <c r="B183" s="92" t="s">
        <v>5789</v>
      </c>
      <c r="C183" s="93" t="s">
        <v>5719</v>
      </c>
      <c r="D183" s="93" t="s">
        <v>5790</v>
      </c>
      <c r="E183" s="113">
        <v>5.0000000000000001E-3</v>
      </c>
      <c r="F183" s="113">
        <v>3.3599999999999998E-2</v>
      </c>
      <c r="G183" s="93" t="s">
        <v>5704</v>
      </c>
      <c r="H183" s="100">
        <f>_xlfn.IFNA(LEFT(D183,LEN(D183)-1)*CHOOSE(MATCH(RIGHT(D183,1), {"K","M","B"},0),1000,1000000,1000000000),D183)</f>
        <v>1300000000</v>
      </c>
    </row>
    <row r="184" spans="1:8" s="106" customFormat="1" ht="15.75" customHeight="1" x14ac:dyDescent="0.25">
      <c r="A184" s="91" t="s">
        <v>5804</v>
      </c>
      <c r="B184" s="92" t="s">
        <v>5805</v>
      </c>
      <c r="C184" s="93" t="s">
        <v>5719</v>
      </c>
      <c r="D184" s="93" t="s">
        <v>5806</v>
      </c>
      <c r="E184" s="113">
        <v>6.7999999999999996E-3</v>
      </c>
      <c r="F184" s="113">
        <v>-0.1477</v>
      </c>
      <c r="G184" s="93" t="s">
        <v>5724</v>
      </c>
      <c r="H184" s="100">
        <f>_xlfn.IFNA(LEFT(D184,LEN(D184)-1)*CHOOSE(MATCH(RIGHT(D184,1), {"K","M","B"},0),1000,1000000,1000000000),D184)</f>
        <v>1070000000.0000001</v>
      </c>
    </row>
    <row r="185" spans="1:8" s="106" customFormat="1" ht="15.75" customHeight="1" x14ac:dyDescent="0.25">
      <c r="A185" s="91" t="s">
        <v>5844</v>
      </c>
      <c r="B185" s="92" t="s">
        <v>5845</v>
      </c>
      <c r="C185" s="93" t="s">
        <v>5719</v>
      </c>
      <c r="D185" s="93" t="s">
        <v>5846</v>
      </c>
      <c r="E185" s="113">
        <v>6.7999999999999996E-3</v>
      </c>
      <c r="F185" s="113">
        <v>-0.18659999999999999</v>
      </c>
      <c r="G185" s="93" t="s">
        <v>5847</v>
      </c>
      <c r="H185" s="100">
        <f>_xlfn.IFNA(LEFT(D185,LEN(D185)-1)*CHOOSE(MATCH(RIGHT(D185,1), {"K","M","B"},0),1000,1000000,1000000000),D185)</f>
        <v>745800000</v>
      </c>
    </row>
    <row r="186" spans="1:8" s="106" customFormat="1" ht="15.75" customHeight="1" x14ac:dyDescent="0.25">
      <c r="A186" s="91" t="s">
        <v>5924</v>
      </c>
      <c r="B186" s="92" t="s">
        <v>5925</v>
      </c>
      <c r="C186" s="93" t="s">
        <v>5719</v>
      </c>
      <c r="D186" s="93" t="s">
        <v>5926</v>
      </c>
      <c r="E186" s="113">
        <v>6.7999999999999996E-3</v>
      </c>
      <c r="F186" s="113">
        <v>-0.17030000000000001</v>
      </c>
      <c r="G186" s="93" t="s">
        <v>5927</v>
      </c>
      <c r="H186" s="100">
        <f>_xlfn.IFNA(LEFT(D186,LEN(D186)-1)*CHOOSE(MATCH(RIGHT(D186,1), {"K","M","B"},0),1000,1000000,1000000000),D186)</f>
        <v>356170000</v>
      </c>
    </row>
    <row r="187" spans="1:8" s="106" customFormat="1" ht="15.75" customHeight="1" x14ac:dyDescent="0.25">
      <c r="A187" s="91" t="s">
        <v>5964</v>
      </c>
      <c r="B187" s="92" t="s">
        <v>5965</v>
      </c>
      <c r="C187" s="93" t="s">
        <v>5719</v>
      </c>
      <c r="D187" s="93" t="s">
        <v>5966</v>
      </c>
      <c r="E187" s="113">
        <v>5.0000000000000001E-3</v>
      </c>
      <c r="F187" s="113">
        <v>-0.17580000000000001</v>
      </c>
      <c r="G187" s="93" t="s">
        <v>5919</v>
      </c>
      <c r="H187" s="100">
        <f>_xlfn.IFNA(LEFT(D187,LEN(D187)-1)*CHOOSE(MATCH(RIGHT(D187,1), {"K","M","B"},0),1000,1000000,1000000000),D187)</f>
        <v>263870000</v>
      </c>
    </row>
    <row r="188" spans="1:8" s="106" customFormat="1" ht="15.75" customHeight="1" x14ac:dyDescent="0.25">
      <c r="A188" s="91" t="s">
        <v>5985</v>
      </c>
      <c r="B188" s="92" t="s">
        <v>5986</v>
      </c>
      <c r="C188" s="93" t="s">
        <v>5719</v>
      </c>
      <c r="D188" s="93" t="s">
        <v>5987</v>
      </c>
      <c r="E188" s="113">
        <v>6.4999999999999997E-3</v>
      </c>
      <c r="F188" s="113">
        <v>-0.22090000000000001</v>
      </c>
      <c r="G188" s="93" t="s">
        <v>5988</v>
      </c>
      <c r="H188" s="100">
        <f>_xlfn.IFNA(LEFT(D188,LEN(D188)-1)*CHOOSE(MATCH(RIGHT(D188,1), {"K","M","B"},0),1000,1000000,1000000000),D188)</f>
        <v>220490000</v>
      </c>
    </row>
    <row r="189" spans="1:8" s="106" customFormat="1" ht="15.75" customHeight="1" x14ac:dyDescent="0.25">
      <c r="A189" s="91" t="s">
        <v>6016</v>
      </c>
      <c r="B189" s="92" t="s">
        <v>6017</v>
      </c>
      <c r="C189" s="93" t="s">
        <v>5719</v>
      </c>
      <c r="D189" s="93" t="s">
        <v>6018</v>
      </c>
      <c r="E189" s="113">
        <v>6.7999999999999996E-3</v>
      </c>
      <c r="F189" s="113">
        <v>-0.1804</v>
      </c>
      <c r="G189" s="93" t="s">
        <v>5768</v>
      </c>
      <c r="H189" s="100">
        <f>_xlfn.IFNA(LEFT(D189,LEN(D189)-1)*CHOOSE(MATCH(RIGHT(D189,1), {"K","M","B"},0),1000,1000000,1000000000),D189)</f>
        <v>165440000</v>
      </c>
    </row>
    <row r="190" spans="1:8" s="106" customFormat="1" ht="15.75" customHeight="1" x14ac:dyDescent="0.25">
      <c r="A190" s="91" t="s">
        <v>6026</v>
      </c>
      <c r="B190" s="92" t="s">
        <v>6027</v>
      </c>
      <c r="C190" s="93" t="s">
        <v>5719</v>
      </c>
      <c r="D190" s="93" t="s">
        <v>6028</v>
      </c>
      <c r="E190" s="113">
        <v>5.0000000000000001E-3</v>
      </c>
      <c r="F190" s="113">
        <v>-0.15440000000000001</v>
      </c>
      <c r="G190" s="93" t="s">
        <v>6029</v>
      </c>
      <c r="H190" s="100">
        <f>_xlfn.IFNA(LEFT(D190,LEN(D190)-1)*CHOOSE(MATCH(RIGHT(D190,1), {"K","M","B"},0),1000,1000000,1000000000),D190)</f>
        <v>143320000</v>
      </c>
    </row>
    <row r="191" spans="1:8" s="106" customFormat="1" ht="15.75" customHeight="1" x14ac:dyDescent="0.25">
      <c r="A191" s="91" t="s">
        <v>6030</v>
      </c>
      <c r="B191" s="92" t="s">
        <v>6031</v>
      </c>
      <c r="C191" s="93" t="s">
        <v>5719</v>
      </c>
      <c r="D191" s="93" t="s">
        <v>6032</v>
      </c>
      <c r="E191" s="113">
        <v>5.0000000000000001E-3</v>
      </c>
      <c r="F191" s="113">
        <v>-0.185</v>
      </c>
      <c r="G191" s="93" t="s">
        <v>5739</v>
      </c>
      <c r="H191" s="100">
        <f>_xlfn.IFNA(LEFT(D191,LEN(D191)-1)*CHOOSE(MATCH(RIGHT(D191,1), {"K","M","B"},0),1000,1000000,1000000000),D191)</f>
        <v>138200000</v>
      </c>
    </row>
    <row r="192" spans="1:8" s="106" customFormat="1" ht="15.75" customHeight="1" x14ac:dyDescent="0.25">
      <c r="A192" s="91" t="s">
        <v>6043</v>
      </c>
      <c r="B192" s="92" t="s">
        <v>6044</v>
      </c>
      <c r="C192" s="93" t="s">
        <v>5719</v>
      </c>
      <c r="D192" s="93" t="s">
        <v>6045</v>
      </c>
      <c r="E192" s="113">
        <v>6.4999999999999997E-3</v>
      </c>
      <c r="F192" s="113">
        <v>1.2500000000000001E-2</v>
      </c>
      <c r="G192" s="93" t="s">
        <v>5716</v>
      </c>
      <c r="H192" s="100">
        <f>_xlfn.IFNA(LEFT(D192,LEN(D192)-1)*CHOOSE(MATCH(RIGHT(D192,1), {"K","M","B"},0),1000,1000000,1000000000),D192)</f>
        <v>117600000</v>
      </c>
    </row>
    <row r="193" spans="1:8" s="106" customFormat="1" ht="15.75" customHeight="1" x14ac:dyDescent="0.25">
      <c r="A193" s="104" t="s">
        <v>6053</v>
      </c>
      <c r="B193" s="121" t="s">
        <v>6054</v>
      </c>
      <c r="C193" s="107" t="s">
        <v>5719</v>
      </c>
      <c r="D193" s="107" t="s">
        <v>6055</v>
      </c>
      <c r="E193" s="119">
        <v>5.0000000000000001E-3</v>
      </c>
      <c r="F193" s="119">
        <v>-3.8100000000000002E-2</v>
      </c>
      <c r="G193" s="107" t="s">
        <v>5911</v>
      </c>
      <c r="H193" s="105">
        <f>_xlfn.IFNA(LEFT(D193,LEN(D193)-1)*CHOOSE(MATCH(RIGHT(D193,1), {"K","M","B"},0),1000,1000000,1000000000),D193)</f>
        <v>110460000</v>
      </c>
    </row>
    <row r="194" spans="1:8" s="106" customFormat="1" ht="15.75" customHeight="1" x14ac:dyDescent="0.25">
      <c r="A194" s="104" t="s">
        <v>6075</v>
      </c>
      <c r="B194" s="121" t="s">
        <v>6076</v>
      </c>
      <c r="C194" s="107" t="s">
        <v>5719</v>
      </c>
      <c r="D194" s="107" t="s">
        <v>6077</v>
      </c>
      <c r="E194" s="119">
        <v>5.0000000000000001E-3</v>
      </c>
      <c r="F194" s="119">
        <v>-0.2767</v>
      </c>
      <c r="G194" s="107" t="s">
        <v>5834</v>
      </c>
      <c r="H194" s="105">
        <f>_xlfn.IFNA(LEFT(D194,LEN(D194)-1)*CHOOSE(MATCH(RIGHT(D194,1), {"K","M","B"},0),1000,1000000,1000000000),D194)</f>
        <v>89310000</v>
      </c>
    </row>
    <row r="195" spans="1:8" s="106" customFormat="1" ht="15.75" customHeight="1" x14ac:dyDescent="0.25">
      <c r="A195" s="104" t="s">
        <v>6081</v>
      </c>
      <c r="B195" s="121" t="s">
        <v>6082</v>
      </c>
      <c r="C195" s="107" t="s">
        <v>5719</v>
      </c>
      <c r="D195" s="107" t="s">
        <v>6083</v>
      </c>
      <c r="E195" s="119">
        <v>5.0000000000000001E-3</v>
      </c>
      <c r="F195" s="119">
        <v>-0.19819999999999999</v>
      </c>
      <c r="G195" s="107" t="s">
        <v>5988</v>
      </c>
      <c r="H195" s="105">
        <f>_xlfn.IFNA(LEFT(D195,LEN(D195)-1)*CHOOSE(MATCH(RIGHT(D195,1), {"K","M","B"},0),1000,1000000,1000000000),D195)</f>
        <v>83540000</v>
      </c>
    </row>
    <row r="196" spans="1:8" s="106" customFormat="1" ht="15.75" customHeight="1" x14ac:dyDescent="0.25">
      <c r="A196" s="104" t="s">
        <v>6084</v>
      </c>
      <c r="B196" s="121" t="s">
        <v>6085</v>
      </c>
      <c r="C196" s="107" t="s">
        <v>5719</v>
      </c>
      <c r="D196" s="107" t="s">
        <v>6086</v>
      </c>
      <c r="E196" s="119">
        <v>5.0000000000000001E-3</v>
      </c>
      <c r="F196" s="119">
        <v>-0.16669999999999999</v>
      </c>
      <c r="G196" s="107" t="s">
        <v>5696</v>
      </c>
      <c r="H196" s="105">
        <f>_xlfn.IFNA(LEFT(D196,LEN(D196)-1)*CHOOSE(MATCH(RIGHT(D196,1), {"K","M","B"},0),1000,1000000,1000000000),D196)</f>
        <v>83460000</v>
      </c>
    </row>
    <row r="197" spans="1:8" s="106" customFormat="1" ht="15.75" customHeight="1" x14ac:dyDescent="0.25">
      <c r="A197" s="104" t="s">
        <v>6105</v>
      </c>
      <c r="B197" s="121" t="s">
        <v>6106</v>
      </c>
      <c r="C197" s="107" t="s">
        <v>5719</v>
      </c>
      <c r="D197" s="107" t="s">
        <v>6107</v>
      </c>
      <c r="E197" s="119">
        <v>5.1000000000000004E-3</v>
      </c>
      <c r="F197" s="119">
        <v>-0.20660000000000001</v>
      </c>
      <c r="G197" s="107" t="s">
        <v>6108</v>
      </c>
      <c r="H197" s="105">
        <f>_xlfn.IFNA(LEFT(D197,LEN(D197)-1)*CHOOSE(MATCH(RIGHT(D197,1), {"K","M","B"},0),1000,1000000,1000000000),D197)</f>
        <v>71540000</v>
      </c>
    </row>
    <row r="198" spans="1:8" s="106" customFormat="1" ht="15.75" customHeight="1" x14ac:dyDescent="0.25">
      <c r="A198" s="104" t="s">
        <v>6158</v>
      </c>
      <c r="B198" s="121" t="s">
        <v>6159</v>
      </c>
      <c r="C198" s="107" t="s">
        <v>5719</v>
      </c>
      <c r="D198" s="107" t="s">
        <v>6160</v>
      </c>
      <c r="E198" s="119">
        <v>5.0000000000000001E-3</v>
      </c>
      <c r="F198" s="119">
        <v>-1.7000000000000001E-2</v>
      </c>
      <c r="G198" s="107" t="s">
        <v>6161</v>
      </c>
      <c r="H198" s="105">
        <f>_xlfn.IFNA(LEFT(D198,LEN(D198)-1)*CHOOSE(MATCH(RIGHT(D198,1), {"K","M","B"},0),1000,1000000,1000000000),D198)</f>
        <v>52250000</v>
      </c>
    </row>
    <row r="199" spans="1:8" s="106" customFormat="1" ht="15.75" customHeight="1" x14ac:dyDescent="0.25">
      <c r="A199" s="104" t="s">
        <v>6204</v>
      </c>
      <c r="B199" s="121" t="s">
        <v>6205</v>
      </c>
      <c r="C199" s="107" t="s">
        <v>5719</v>
      </c>
      <c r="D199" s="107" t="s">
        <v>6206</v>
      </c>
      <c r="E199" s="119">
        <v>5.0000000000000001E-3</v>
      </c>
      <c r="F199" s="119">
        <v>-3.3500000000000002E-2</v>
      </c>
      <c r="G199" s="107" t="s">
        <v>5724</v>
      </c>
      <c r="H199" s="105">
        <f>_xlfn.IFNA(LEFT(D199,LEN(D199)-1)*CHOOSE(MATCH(RIGHT(D199,1), {"K","M","B"},0),1000,1000000,1000000000),D199)</f>
        <v>34540000</v>
      </c>
    </row>
    <row r="200" spans="1:8" s="106" customFormat="1" ht="15.75" customHeight="1" x14ac:dyDescent="0.25">
      <c r="A200" s="104" t="s">
        <v>6240</v>
      </c>
      <c r="B200" s="121" t="s">
        <v>6241</v>
      </c>
      <c r="C200" s="107" t="s">
        <v>5719</v>
      </c>
      <c r="D200" s="107" t="s">
        <v>6242</v>
      </c>
      <c r="E200" s="119">
        <v>5.0000000000000001E-3</v>
      </c>
      <c r="F200" s="119">
        <v>-0.1479</v>
      </c>
      <c r="G200" s="107" t="s">
        <v>6161</v>
      </c>
      <c r="H200" s="105">
        <f>_xlfn.IFNA(LEFT(D200,LEN(D200)-1)*CHOOSE(MATCH(RIGHT(D200,1), {"K","M","B"},0),1000,1000000,1000000000),D200)</f>
        <v>26970000</v>
      </c>
    </row>
    <row r="201" spans="1:8" s="106" customFormat="1" ht="15.75" customHeight="1" x14ac:dyDescent="0.25">
      <c r="A201" s="104" t="s">
        <v>6393</v>
      </c>
      <c r="B201" s="121" t="s">
        <v>6394</v>
      </c>
      <c r="C201" s="107" t="s">
        <v>5719</v>
      </c>
      <c r="D201" s="107" t="s">
        <v>6395</v>
      </c>
      <c r="E201" s="119">
        <v>5.0000000000000001E-3</v>
      </c>
      <c r="F201" s="119">
        <v>-9.5100000000000004E-2</v>
      </c>
      <c r="G201" s="107" t="s">
        <v>5716</v>
      </c>
      <c r="H201" s="105">
        <f>_xlfn.IFNA(LEFT(D201,LEN(D201)-1)*CHOOSE(MATCH(RIGHT(D201,1), {"K","M","B"},0),1000,1000000,1000000000),D201)</f>
        <v>7420000</v>
      </c>
    </row>
    <row r="202" spans="1:8" s="106" customFormat="1" ht="15.75" customHeight="1" x14ac:dyDescent="0.25">
      <c r="A202" s="104" t="s">
        <v>6430</v>
      </c>
      <c r="B202" s="121" t="s">
        <v>6431</v>
      </c>
      <c r="C202" s="107" t="s">
        <v>5719</v>
      </c>
      <c r="D202" s="107" t="s">
        <v>6432</v>
      </c>
      <c r="E202" s="119">
        <v>5.0000000000000001E-3</v>
      </c>
      <c r="F202" s="119">
        <v>-0.1188</v>
      </c>
      <c r="G202" s="107" t="s">
        <v>5819</v>
      </c>
      <c r="H202" s="105">
        <f>_xlfn.IFNA(LEFT(D202,LEN(D202)-1)*CHOOSE(MATCH(RIGHT(D202,1), {"K","M","B"},0),1000,1000000,1000000000),D202)</f>
        <v>6270000</v>
      </c>
    </row>
    <row r="203" spans="1:8" s="106" customFormat="1" ht="15.75" customHeight="1" x14ac:dyDescent="0.25">
      <c r="A203" s="104" t="s">
        <v>6436</v>
      </c>
      <c r="B203" s="121" t="s">
        <v>6437</v>
      </c>
      <c r="C203" s="107" t="s">
        <v>5719</v>
      </c>
      <c r="D203" s="107" t="s">
        <v>6438</v>
      </c>
      <c r="E203" s="119">
        <v>5.0000000000000001E-3</v>
      </c>
      <c r="F203" s="119">
        <v>-1.3899999999999999E-2</v>
      </c>
      <c r="G203" s="107" t="s">
        <v>5751</v>
      </c>
      <c r="H203" s="105">
        <f>_xlfn.IFNA(LEFT(D203,LEN(D203)-1)*CHOOSE(MATCH(RIGHT(D203,1), {"K","M","B"},0),1000,1000000,1000000000),D203)</f>
        <v>5940000</v>
      </c>
    </row>
    <row r="204" spans="1:8" s="106" customFormat="1" ht="15.75" customHeight="1" x14ac:dyDescent="0.25">
      <c r="A204" s="104" t="s">
        <v>6493</v>
      </c>
      <c r="B204" s="121" t="s">
        <v>6494</v>
      </c>
      <c r="C204" s="107" t="s">
        <v>5719</v>
      </c>
      <c r="D204" s="107" t="s">
        <v>6495</v>
      </c>
      <c r="E204" s="119">
        <v>5.0000000000000001E-3</v>
      </c>
      <c r="F204" s="119">
        <v>-0.12520000000000001</v>
      </c>
      <c r="G204" s="107" t="s">
        <v>6067</v>
      </c>
      <c r="H204" s="105">
        <f>_xlfn.IFNA(LEFT(D204,LEN(D204)-1)*CHOOSE(MATCH(RIGHT(D204,1), {"K","M","B"},0),1000,1000000,1000000000),D204)</f>
        <v>4290000</v>
      </c>
    </row>
    <row r="205" spans="1:8" s="106" customFormat="1" ht="15.75" customHeight="1" x14ac:dyDescent="0.25">
      <c r="A205" s="104" t="s">
        <v>6508</v>
      </c>
      <c r="B205" s="121" t="s">
        <v>6509</v>
      </c>
      <c r="C205" s="107" t="s">
        <v>5719</v>
      </c>
      <c r="D205" s="107" t="s">
        <v>6510</v>
      </c>
      <c r="E205" s="119">
        <v>5.0000000000000001E-3</v>
      </c>
      <c r="F205" s="119">
        <v>-0.12180000000000001</v>
      </c>
      <c r="G205" s="107" t="s">
        <v>5716</v>
      </c>
      <c r="H205" s="105">
        <f>_xlfn.IFNA(LEFT(D205,LEN(D205)-1)*CHOOSE(MATCH(RIGHT(D205,1), {"K","M","B"},0),1000,1000000,1000000000),D205)</f>
        <v>3510000</v>
      </c>
    </row>
    <row r="206" spans="1:8" s="106" customFormat="1" ht="15.75" customHeight="1" x14ac:dyDescent="0.25">
      <c r="A206" s="104" t="s">
        <v>6541</v>
      </c>
      <c r="B206" s="121" t="s">
        <v>6542</v>
      </c>
      <c r="C206" s="107" t="s">
        <v>5719</v>
      </c>
      <c r="D206" s="107" t="s">
        <v>6543</v>
      </c>
      <c r="E206" s="119">
        <v>6.4999999999999997E-3</v>
      </c>
      <c r="F206" s="119">
        <v>-0.24199999999999999</v>
      </c>
      <c r="G206" s="107" t="s">
        <v>5868</v>
      </c>
      <c r="H206" s="105">
        <f>_xlfn.IFNA(LEFT(D206,LEN(D206)-1)*CHOOSE(MATCH(RIGHT(D206,1), {"K","M","B"},0),1000,1000000,1000000000),D206)</f>
        <v>2650000</v>
      </c>
    </row>
    <row r="207" spans="1:8" s="106" customFormat="1" ht="15.75" customHeight="1" x14ac:dyDescent="0.25">
      <c r="A207" s="104" t="s">
        <v>6554</v>
      </c>
      <c r="B207" s="121" t="s">
        <v>6555</v>
      </c>
      <c r="C207" s="107" t="s">
        <v>5719</v>
      </c>
      <c r="D207" s="107" t="s">
        <v>6556</v>
      </c>
      <c r="E207" s="120" t="s">
        <v>5886</v>
      </c>
      <c r="F207" s="120" t="s">
        <v>5886</v>
      </c>
      <c r="G207" s="107" t="s">
        <v>5911</v>
      </c>
      <c r="H207" s="105">
        <f>_xlfn.IFNA(LEFT(D207,LEN(D207)-1)*CHOOSE(MATCH(RIGHT(D207,1), {"K","M","B"},0),1000,1000000,1000000000),D207)</f>
        <v>2400000</v>
      </c>
    </row>
    <row r="208" spans="1:8" s="106" customFormat="1" ht="15.75" customHeight="1" x14ac:dyDescent="0.25">
      <c r="A208" s="91" t="s">
        <v>6630</v>
      </c>
      <c r="B208" s="122" t="s">
        <v>6631</v>
      </c>
      <c r="C208" s="93" t="s">
        <v>5719</v>
      </c>
      <c r="D208" s="93" t="s">
        <v>5886</v>
      </c>
      <c r="E208" s="113">
        <v>5.0000000000000001E-3</v>
      </c>
      <c r="F208" s="114" t="s">
        <v>5886</v>
      </c>
      <c r="G208" s="93" t="s">
        <v>5758</v>
      </c>
      <c r="H208" s="100" t="e">
        <f>_xlfn.IFNA(LEFT(D208,LEN(D208)-1)*CHOOSE(MATCH(RIGHT(D208,1), {"K","M","B"},0),1000,1000000,1000000000),D208)</f>
        <v>#VALUE!</v>
      </c>
    </row>
    <row r="209" spans="1:8" s="106" customFormat="1" ht="15.75" customHeight="1" x14ac:dyDescent="0.25">
      <c r="A209" s="91" t="s">
        <v>6641</v>
      </c>
      <c r="B209" s="122" t="s">
        <v>6642</v>
      </c>
      <c r="C209" s="93" t="s">
        <v>6643</v>
      </c>
      <c r="D209" s="93" t="s">
        <v>5886</v>
      </c>
      <c r="E209" s="113">
        <v>5.4999999999999997E-3</v>
      </c>
      <c r="F209" s="114" t="s">
        <v>5886</v>
      </c>
      <c r="G209" s="93" t="s">
        <v>6067</v>
      </c>
      <c r="H209" s="100" t="e">
        <f>_xlfn.IFNA(LEFT(D209,LEN(D209)-1)*CHOOSE(MATCH(RIGHT(D209,1), {"K","M","B"},0),1000,1000000,1000000000),D209)</f>
        <v>#VALUE!</v>
      </c>
    </row>
    <row r="210" spans="1:8" s="106" customFormat="1" ht="15.75" customHeight="1" x14ac:dyDescent="0.25">
      <c r="A210" s="91" t="s">
        <v>6644</v>
      </c>
      <c r="B210" s="122" t="s">
        <v>6645</v>
      </c>
      <c r="C210" s="93" t="s">
        <v>6643</v>
      </c>
      <c r="D210" s="93" t="s">
        <v>5886</v>
      </c>
      <c r="E210" s="113">
        <v>5.4999999999999997E-3</v>
      </c>
      <c r="F210" s="114" t="s">
        <v>5886</v>
      </c>
      <c r="G210" s="93" t="s">
        <v>5803</v>
      </c>
      <c r="H210" s="100" t="e">
        <f>_xlfn.IFNA(LEFT(D210,LEN(D210)-1)*CHOOSE(MATCH(RIGHT(D210,1), {"K","M","B"},0),1000,1000000,1000000000),D210)</f>
        <v>#VALUE!</v>
      </c>
    </row>
    <row r="211" spans="1:8" s="106" customFormat="1" ht="15.75" customHeight="1" x14ac:dyDescent="0.25">
      <c r="A211" s="91" t="s">
        <v>6646</v>
      </c>
      <c r="B211" s="122" t="s">
        <v>6647</v>
      </c>
      <c r="C211" s="93" t="s">
        <v>6643</v>
      </c>
      <c r="D211" s="93" t="s">
        <v>5886</v>
      </c>
      <c r="E211" s="113">
        <v>5.4999999999999997E-3</v>
      </c>
      <c r="F211" s="114" t="s">
        <v>5886</v>
      </c>
      <c r="G211" s="93" t="s">
        <v>5696</v>
      </c>
      <c r="H211" s="100" t="e">
        <f>_xlfn.IFNA(LEFT(D211,LEN(D211)-1)*CHOOSE(MATCH(RIGHT(D211,1), {"K","M","B"},0),1000,1000000,1000000000),D211)</f>
        <v>#VALUE!</v>
      </c>
    </row>
    <row r="212" spans="1:8" s="106" customFormat="1" ht="15.75" customHeight="1" x14ac:dyDescent="0.25">
      <c r="A212" s="104" t="s">
        <v>6211</v>
      </c>
      <c r="B212" s="121" t="s">
        <v>6212</v>
      </c>
      <c r="C212" s="107" t="s">
        <v>6213</v>
      </c>
      <c r="D212" s="107" t="s">
        <v>6214</v>
      </c>
      <c r="E212" s="119">
        <v>3.0000000000000001E-3</v>
      </c>
      <c r="F212" s="119">
        <v>4.6300000000000001E-2</v>
      </c>
      <c r="G212" s="107" t="s">
        <v>6215</v>
      </c>
      <c r="H212" s="105">
        <f>_xlfn.IFNA(LEFT(D212,LEN(D212)-1)*CHOOSE(MATCH(RIGHT(D212,1), {"K","M","B"},0),1000,1000000,1000000000),D212)</f>
        <v>33880000</v>
      </c>
    </row>
    <row r="213" spans="1:8" s="106" customFormat="1" ht="15.75" customHeight="1" x14ac:dyDescent="0.25">
      <c r="A213" s="104" t="s">
        <v>6416</v>
      </c>
      <c r="B213" s="121" t="s">
        <v>6417</v>
      </c>
      <c r="C213" s="107" t="s">
        <v>6213</v>
      </c>
      <c r="D213" s="107" t="s">
        <v>6418</v>
      </c>
      <c r="E213" s="119">
        <v>4.4999999999999997E-3</v>
      </c>
      <c r="F213" s="119">
        <v>-1.7999999999999999E-2</v>
      </c>
      <c r="G213" s="107" t="s">
        <v>6067</v>
      </c>
      <c r="H213" s="105">
        <f>_xlfn.IFNA(LEFT(D213,LEN(D213)-1)*CHOOSE(MATCH(RIGHT(D213,1), {"K","M","B"},0),1000,1000000,1000000000),D213)</f>
        <v>6860000</v>
      </c>
    </row>
    <row r="214" spans="1:8" s="106" customFormat="1" ht="15.75" customHeight="1" x14ac:dyDescent="0.25">
      <c r="A214" s="104" t="s">
        <v>6433</v>
      </c>
      <c r="B214" s="121" t="s">
        <v>6434</v>
      </c>
      <c r="C214" s="107" t="s">
        <v>6213</v>
      </c>
      <c r="D214" s="107" t="s">
        <v>6435</v>
      </c>
      <c r="E214" s="119">
        <v>4.4999999999999997E-3</v>
      </c>
      <c r="F214" s="119">
        <v>-0.1547</v>
      </c>
      <c r="G214" s="107" t="s">
        <v>5724</v>
      </c>
      <c r="H214" s="105">
        <f>_xlfn.IFNA(LEFT(D214,LEN(D214)-1)*CHOOSE(MATCH(RIGHT(D214,1), {"K","M","B"},0),1000,1000000,1000000000),D214)</f>
        <v>6160000</v>
      </c>
    </row>
    <row r="215" spans="1:8" s="106" customFormat="1" ht="15.75" customHeight="1" x14ac:dyDescent="0.25">
      <c r="A215" s="104" t="s">
        <v>6452</v>
      </c>
      <c r="B215" s="121" t="s">
        <v>6453</v>
      </c>
      <c r="C215" s="107" t="s">
        <v>6213</v>
      </c>
      <c r="D215" s="107" t="s">
        <v>6454</v>
      </c>
      <c r="E215" s="119">
        <v>4.4999999999999997E-3</v>
      </c>
      <c r="F215" s="119">
        <v>-0.1333</v>
      </c>
      <c r="G215" s="107" t="s">
        <v>5911</v>
      </c>
      <c r="H215" s="105">
        <f>_xlfn.IFNA(LEFT(D215,LEN(D215)-1)*CHOOSE(MATCH(RIGHT(D215,1), {"K","M","B"},0),1000,1000000,1000000000),D215)</f>
        <v>5210000</v>
      </c>
    </row>
    <row r="216" spans="1:8" s="106" customFormat="1" ht="15.75" customHeight="1" x14ac:dyDescent="0.25">
      <c r="A216" s="91" t="s">
        <v>5697</v>
      </c>
      <c r="B216" s="92" t="s">
        <v>5698</v>
      </c>
      <c r="C216" s="93" t="s">
        <v>5699</v>
      </c>
      <c r="D216" s="93" t="s">
        <v>5700</v>
      </c>
      <c r="E216" s="113">
        <v>4.5999999999999999E-3</v>
      </c>
      <c r="F216" s="113">
        <v>5.8200000000000002E-2</v>
      </c>
      <c r="G216" s="93" t="s">
        <v>5701</v>
      </c>
      <c r="H216" s="100">
        <f>_xlfn.IFNA(LEFT(D216,LEN(D216)-1)*CHOOSE(MATCH(RIGHT(D216,1), {"K","M","B"},0),1000,1000000,1000000000),D216)</f>
        <v>8119999999.999999</v>
      </c>
    </row>
    <row r="217" spans="1:8" s="106" customFormat="1" ht="15.75" customHeight="1" x14ac:dyDescent="0.25">
      <c r="A217" s="91" t="s">
        <v>5740</v>
      </c>
      <c r="B217" s="92" t="s">
        <v>5741</v>
      </c>
      <c r="C217" s="93" t="s">
        <v>5699</v>
      </c>
      <c r="D217" s="93" t="s">
        <v>5742</v>
      </c>
      <c r="E217" s="113">
        <v>4.7000000000000002E-3</v>
      </c>
      <c r="F217" s="113">
        <v>-4.6100000000000002E-2</v>
      </c>
      <c r="G217" s="93" t="s">
        <v>5736</v>
      </c>
      <c r="H217" s="100">
        <f>_xlfn.IFNA(LEFT(D217,LEN(D217)-1)*CHOOSE(MATCH(RIGHT(D217,1), {"K","M","B"},0),1000,1000000,1000000000),D217)</f>
        <v>2520000000</v>
      </c>
    </row>
    <row r="218" spans="1:8" s="106" customFormat="1" ht="15.75" customHeight="1" x14ac:dyDescent="0.25">
      <c r="A218" s="104" t="s">
        <v>6165</v>
      </c>
      <c r="B218" s="121" t="s">
        <v>6166</v>
      </c>
      <c r="C218" s="107" t="s">
        <v>6167</v>
      </c>
      <c r="D218" s="107" t="s">
        <v>6168</v>
      </c>
      <c r="E218" s="119">
        <v>7.4999999999999997E-3</v>
      </c>
      <c r="F218" s="119">
        <v>-0.2243</v>
      </c>
      <c r="G218" s="107" t="s">
        <v>6169</v>
      </c>
      <c r="H218" s="105">
        <f>_xlfn.IFNA(LEFT(D218,LEN(D218)-1)*CHOOSE(MATCH(RIGHT(D218,1), {"K","M","B"},0),1000,1000000,1000000000),D218)</f>
        <v>48330000</v>
      </c>
    </row>
    <row r="219" spans="1:8" s="106" customFormat="1" ht="15.75" customHeight="1" x14ac:dyDescent="0.25">
      <c r="A219" s="104" t="s">
        <v>6409</v>
      </c>
      <c r="B219" s="121" t="s">
        <v>6410</v>
      </c>
      <c r="C219" s="107" t="s">
        <v>6411</v>
      </c>
      <c r="D219" s="107" t="s">
        <v>6412</v>
      </c>
      <c r="E219" s="119">
        <v>7.4999999999999997E-3</v>
      </c>
      <c r="F219" s="119">
        <v>-0.1757</v>
      </c>
      <c r="G219" s="107" t="s">
        <v>5696</v>
      </c>
      <c r="H219" s="105">
        <f>_xlfn.IFNA(LEFT(D219,LEN(D219)-1)*CHOOSE(MATCH(RIGHT(D219,1), {"K","M","B"},0),1000,1000000,1000000000),D219)</f>
        <v>6930000</v>
      </c>
    </row>
    <row r="220" spans="1:8" s="106" customFormat="1" ht="15.75" customHeight="1" x14ac:dyDescent="0.25">
      <c r="A220" s="91" t="s">
        <v>5960</v>
      </c>
      <c r="B220" s="92" t="s">
        <v>5961</v>
      </c>
      <c r="C220" s="93" t="s">
        <v>5962</v>
      </c>
      <c r="D220" s="93" t="s">
        <v>5963</v>
      </c>
      <c r="E220" s="113">
        <v>4.7999999999999996E-3</v>
      </c>
      <c r="F220" s="113">
        <v>-0.23860000000000001</v>
      </c>
      <c r="G220" s="93" t="s">
        <v>5758</v>
      </c>
      <c r="H220" s="100">
        <f>_xlfn.IFNA(LEFT(D220,LEN(D220)-1)*CHOOSE(MATCH(RIGHT(D220,1), {"K","M","B"},0),1000,1000000,1000000000),D220)</f>
        <v>264850000.00000003</v>
      </c>
    </row>
    <row r="221" spans="1:8" s="106" customFormat="1" ht="15.75" customHeight="1" x14ac:dyDescent="0.25">
      <c r="A221" s="104" t="s">
        <v>6598</v>
      </c>
      <c r="B221" s="121" t="s">
        <v>6599</v>
      </c>
      <c r="C221" s="107" t="s">
        <v>6600</v>
      </c>
      <c r="D221" s="107" t="s">
        <v>6601</v>
      </c>
      <c r="E221" s="119">
        <v>6.0000000000000001E-3</v>
      </c>
      <c r="F221" s="120" t="s">
        <v>5886</v>
      </c>
      <c r="G221" s="107" t="s">
        <v>5919</v>
      </c>
      <c r="H221" s="105">
        <f>_xlfn.IFNA(LEFT(D221,LEN(D221)-1)*CHOOSE(MATCH(RIGHT(D221,1), {"K","M","B"},0),1000,1000000,1000000000),D221)</f>
        <v>1090000</v>
      </c>
    </row>
    <row r="222" spans="1:8" s="106" customFormat="1" ht="15.75" customHeight="1" x14ac:dyDescent="0.25">
      <c r="A222" s="104" t="s">
        <v>6170</v>
      </c>
      <c r="B222" s="121" t="s">
        <v>6171</v>
      </c>
      <c r="C222" s="107" t="s">
        <v>6172</v>
      </c>
      <c r="D222" s="107" t="s">
        <v>6173</v>
      </c>
      <c r="E222" s="119">
        <v>3.0000000000000001E-3</v>
      </c>
      <c r="F222" s="119">
        <v>-0.11609999999999999</v>
      </c>
      <c r="G222" s="107" t="s">
        <v>5776</v>
      </c>
      <c r="H222" s="105">
        <f>_xlfn.IFNA(LEFT(D222,LEN(D222)-1)*CHOOSE(MATCH(RIGHT(D222,1), {"K","M","B"},0),1000,1000000,1000000000),D222)</f>
        <v>47650000</v>
      </c>
    </row>
    <row r="223" spans="1:8" s="106" customFormat="1" ht="15.75" customHeight="1" x14ac:dyDescent="0.25">
      <c r="A223" s="104" t="s">
        <v>6244</v>
      </c>
      <c r="B223" s="121" t="s">
        <v>6245</v>
      </c>
      <c r="C223" s="107" t="s">
        <v>6246</v>
      </c>
      <c r="D223" s="107" t="s">
        <v>6247</v>
      </c>
      <c r="E223" s="119">
        <v>4.4999999999999997E-3</v>
      </c>
      <c r="F223" s="119">
        <v>-0.1799</v>
      </c>
      <c r="G223" s="107" t="s">
        <v>6248</v>
      </c>
      <c r="H223" s="105">
        <f>_xlfn.IFNA(LEFT(D223,LEN(D223)-1)*CHOOSE(MATCH(RIGHT(D223,1), {"K","M","B"},0),1000,1000000,1000000000),D223)</f>
        <v>24080000</v>
      </c>
    </row>
    <row r="224" spans="1:8" s="106" customFormat="1" ht="15.75" customHeight="1" x14ac:dyDescent="0.25">
      <c r="A224" s="104" t="s">
        <v>6087</v>
      </c>
      <c r="B224" s="121" t="s">
        <v>6088</v>
      </c>
      <c r="C224" s="107" t="s">
        <v>6089</v>
      </c>
      <c r="D224" s="107" t="s">
        <v>6090</v>
      </c>
      <c r="E224" s="119">
        <v>7.4999999999999997E-3</v>
      </c>
      <c r="F224" s="119">
        <v>-6.8699999999999997E-2</v>
      </c>
      <c r="G224" s="107" t="s">
        <v>5923</v>
      </c>
      <c r="H224" s="105">
        <f>_xlfn.IFNA(LEFT(D224,LEN(D224)-1)*CHOOSE(MATCH(RIGHT(D224,1), {"K","M","B"},0),1000,1000000,1000000000),D224)</f>
        <v>83300000</v>
      </c>
    </row>
    <row r="225" spans="1:8" s="106" customFormat="1" ht="15.75" customHeight="1" x14ac:dyDescent="0.25">
      <c r="A225" s="91" t="s">
        <v>5672</v>
      </c>
      <c r="B225" s="122" t="s">
        <v>6648</v>
      </c>
      <c r="C225" s="93" t="s">
        <v>6649</v>
      </c>
      <c r="D225" s="93" t="s">
        <v>5886</v>
      </c>
      <c r="E225" s="113">
        <v>5.7999999999999996E-3</v>
      </c>
      <c r="F225" s="114" t="s">
        <v>5886</v>
      </c>
      <c r="G225" s="93" t="s">
        <v>5758</v>
      </c>
      <c r="H225" s="100" t="e">
        <f>_xlfn.IFNA(LEFT(D225,LEN(D225)-1)*CHOOSE(MATCH(RIGHT(D225,1), {"K","M","B"},0),1000,1000000,1000000000),D225)</f>
        <v>#VALUE!</v>
      </c>
    </row>
    <row r="226" spans="1:8" s="106" customFormat="1" ht="15.75" customHeight="1" x14ac:dyDescent="0.25">
      <c r="A226" s="91" t="s">
        <v>6652</v>
      </c>
      <c r="B226" s="122" t="s">
        <v>6653</v>
      </c>
      <c r="C226" s="93" t="s">
        <v>6649</v>
      </c>
      <c r="D226" s="93" t="s">
        <v>5886</v>
      </c>
      <c r="E226" s="113">
        <v>5.7999999999999996E-3</v>
      </c>
      <c r="F226" s="113">
        <v>-0.2359</v>
      </c>
      <c r="G226" s="93" t="s">
        <v>6067</v>
      </c>
      <c r="H226" s="100" t="e">
        <f>_xlfn.IFNA(LEFT(D226,LEN(D226)-1)*CHOOSE(MATCH(RIGHT(D226,1), {"K","M","B"},0),1000,1000000,1000000000),D226)</f>
        <v>#VALUE!</v>
      </c>
    </row>
    <row r="227" spans="1:8" s="106" customFormat="1" ht="15.75" customHeight="1" x14ac:dyDescent="0.25">
      <c r="A227" s="91" t="s">
        <v>6654</v>
      </c>
      <c r="B227" s="122" t="s">
        <v>6655</v>
      </c>
      <c r="C227" s="93" t="s">
        <v>6649</v>
      </c>
      <c r="D227" s="93" t="s">
        <v>5886</v>
      </c>
      <c r="E227" s="113">
        <v>5.7999999999999996E-3</v>
      </c>
      <c r="F227" s="113">
        <v>-0.1502</v>
      </c>
      <c r="G227" s="93" t="s">
        <v>6656</v>
      </c>
      <c r="H227" s="100" t="e">
        <f>_xlfn.IFNA(LEFT(D227,LEN(D227)-1)*CHOOSE(MATCH(RIGHT(D227,1), {"K","M","B"},0),1000,1000000,1000000000),D227)</f>
        <v>#VALUE!</v>
      </c>
    </row>
    <row r="228" spans="1:8" s="106" customFormat="1" ht="15.75" customHeight="1" x14ac:dyDescent="0.25">
      <c r="A228" s="91" t="s">
        <v>6657</v>
      </c>
      <c r="B228" s="122" t="s">
        <v>6658</v>
      </c>
      <c r="C228" s="93" t="s">
        <v>6649</v>
      </c>
      <c r="D228" s="93" t="s">
        <v>5886</v>
      </c>
      <c r="E228" s="113">
        <v>5.7999999999999996E-3</v>
      </c>
      <c r="F228" s="113">
        <v>-4.7899999999999998E-2</v>
      </c>
      <c r="G228" s="93" t="s">
        <v>5746</v>
      </c>
      <c r="H228" s="100" t="e">
        <f>_xlfn.IFNA(LEFT(D228,LEN(D228)-1)*CHOOSE(MATCH(RIGHT(D228,1), {"K","M","B"},0),1000,1000000,1000000000),D228)</f>
        <v>#VALUE!</v>
      </c>
    </row>
    <row r="229" spans="1:8" s="106" customFormat="1" ht="15.75" customHeight="1" x14ac:dyDescent="0.25">
      <c r="A229" s="91" t="s">
        <v>6659</v>
      </c>
      <c r="B229" s="122" t="s">
        <v>6660</v>
      </c>
      <c r="C229" s="93" t="s">
        <v>6649</v>
      </c>
      <c r="D229" s="93" t="s">
        <v>5886</v>
      </c>
      <c r="E229" s="113">
        <v>9.7999999999999997E-3</v>
      </c>
      <c r="F229" s="113">
        <v>-2.07E-2</v>
      </c>
      <c r="G229" s="93" t="s">
        <v>6661</v>
      </c>
      <c r="H229" s="100" t="e">
        <f>_xlfn.IFNA(LEFT(D229,LEN(D229)-1)*CHOOSE(MATCH(RIGHT(D229,1), {"K","M","B"},0),1000,1000000,1000000000),D229)</f>
        <v>#VALUE!</v>
      </c>
    </row>
    <row r="230" spans="1:8" s="106" customFormat="1" ht="15.75" customHeight="1" x14ac:dyDescent="0.25">
      <c r="A230" s="91" t="s">
        <v>6663</v>
      </c>
      <c r="B230" s="122" t="s">
        <v>6664</v>
      </c>
      <c r="C230" s="93" t="s">
        <v>6649</v>
      </c>
      <c r="D230" s="93" t="s">
        <v>5886</v>
      </c>
      <c r="E230" s="113">
        <v>4.4999999999999997E-3</v>
      </c>
      <c r="F230" s="113">
        <v>-0.1293</v>
      </c>
      <c r="G230" s="93" t="s">
        <v>5696</v>
      </c>
      <c r="H230" s="100" t="e">
        <f>_xlfn.IFNA(LEFT(D230,LEN(D230)-1)*CHOOSE(MATCH(RIGHT(D230,1), {"K","M","B"},0),1000,1000000,1000000000),D230)</f>
        <v>#VALUE!</v>
      </c>
    </row>
    <row r="231" spans="1:8" s="106" customFormat="1" ht="15.75" customHeight="1" x14ac:dyDescent="0.25">
      <c r="A231" s="91" t="s">
        <v>6667</v>
      </c>
      <c r="B231" s="122" t="s">
        <v>6668</v>
      </c>
      <c r="C231" s="93" t="s">
        <v>6649</v>
      </c>
      <c r="D231" s="93" t="s">
        <v>5886</v>
      </c>
      <c r="E231" s="113">
        <v>5.0000000000000001E-3</v>
      </c>
      <c r="F231" s="113">
        <v>-0.13009999999999999</v>
      </c>
      <c r="G231" s="93" t="s">
        <v>6067</v>
      </c>
      <c r="H231" s="100" t="e">
        <f>_xlfn.IFNA(LEFT(D231,LEN(D231)-1)*CHOOSE(MATCH(RIGHT(D231,1), {"K","M","B"},0),1000,1000000,1000000000),D231)</f>
        <v>#VALUE!</v>
      </c>
    </row>
    <row r="232" spans="1:8" s="106" customFormat="1" ht="15.75" customHeight="1" x14ac:dyDescent="0.25">
      <c r="A232" s="91" t="s">
        <v>6669</v>
      </c>
      <c r="B232" s="122" t="s">
        <v>6670</v>
      </c>
      <c r="C232" s="93" t="s">
        <v>6649</v>
      </c>
      <c r="D232" s="93" t="s">
        <v>5886</v>
      </c>
      <c r="E232" s="113">
        <v>6.6E-3</v>
      </c>
      <c r="F232" s="113">
        <v>-1.2500000000000001E-2</v>
      </c>
      <c r="G232" s="93" t="s">
        <v>6671</v>
      </c>
      <c r="H232" s="100" t="e">
        <f>_xlfn.IFNA(LEFT(D232,LEN(D232)-1)*CHOOSE(MATCH(RIGHT(D232,1), {"K","M","B"},0),1000,1000000,1000000000),D232)</f>
        <v>#VALUE!</v>
      </c>
    </row>
    <row r="233" spans="1:8" s="106" customFormat="1" ht="15.75" customHeight="1" x14ac:dyDescent="0.25">
      <c r="A233" s="91" t="s">
        <v>6672</v>
      </c>
      <c r="B233" s="122" t="s">
        <v>6673</v>
      </c>
      <c r="C233" s="93" t="s">
        <v>6649</v>
      </c>
      <c r="D233" s="93" t="s">
        <v>5886</v>
      </c>
      <c r="E233" s="113">
        <v>4.7000000000000002E-3</v>
      </c>
      <c r="F233" s="113">
        <v>9.4000000000000004E-3</v>
      </c>
      <c r="G233" s="93" t="s">
        <v>5736</v>
      </c>
      <c r="H233" s="100" t="e">
        <f>_xlfn.IFNA(LEFT(D233,LEN(D233)-1)*CHOOSE(MATCH(RIGHT(D233,1), {"K","M","B"},0),1000,1000000,1000000000),D233)</f>
        <v>#VALUE!</v>
      </c>
    </row>
    <row r="234" spans="1:8" s="106" customFormat="1" ht="15.75" customHeight="1" x14ac:dyDescent="0.25">
      <c r="A234" s="91" t="s">
        <v>6674</v>
      </c>
      <c r="B234" s="122" t="s">
        <v>6675</v>
      </c>
      <c r="C234" s="93" t="s">
        <v>6649</v>
      </c>
      <c r="D234" s="93" t="s">
        <v>5886</v>
      </c>
      <c r="E234" s="113">
        <v>9.4999999999999998E-3</v>
      </c>
      <c r="F234" s="113">
        <v>-0.19620000000000001</v>
      </c>
      <c r="G234" s="93" t="s">
        <v>6676</v>
      </c>
      <c r="H234" s="100" t="e">
        <f>_xlfn.IFNA(LEFT(D234,LEN(D234)-1)*CHOOSE(MATCH(RIGHT(D234,1), {"K","M","B"},0),1000,1000000,1000000000),D234)</f>
        <v>#VALUE!</v>
      </c>
    </row>
    <row r="235" spans="1:8" s="106" customFormat="1" ht="15.75" customHeight="1" x14ac:dyDescent="0.25">
      <c r="A235" s="104" t="s">
        <v>5660</v>
      </c>
      <c r="B235" s="121" t="s">
        <v>5661</v>
      </c>
      <c r="C235" s="107" t="s">
        <v>6602</v>
      </c>
      <c r="D235" s="107" t="s">
        <v>6603</v>
      </c>
      <c r="E235" s="119">
        <v>7.4999999999999997E-3</v>
      </c>
      <c r="F235" s="119">
        <v>-0.1983</v>
      </c>
      <c r="G235" s="107" t="s">
        <v>5758</v>
      </c>
      <c r="H235" s="105">
        <f>_xlfn.IFNA(LEFT(D235,LEN(D235)-1)*CHOOSE(MATCH(RIGHT(D235,1), {"K","M","B"},0),1000,1000000,1000000000),D235)</f>
        <v>1060000</v>
      </c>
    </row>
    <row r="236" spans="1:8" s="106" customFormat="1" ht="15.75" customHeight="1" x14ac:dyDescent="0.25">
      <c r="A236" s="91" t="s">
        <v>5869</v>
      </c>
      <c r="B236" s="92" t="s">
        <v>5870</v>
      </c>
      <c r="C236" s="93" t="s">
        <v>5871</v>
      </c>
      <c r="D236" s="93" t="s">
        <v>5872</v>
      </c>
      <c r="E236" s="113">
        <v>5.8999999999999999E-3</v>
      </c>
      <c r="F236" s="113">
        <v>-0.24560000000000001</v>
      </c>
      <c r="G236" s="93" t="s">
        <v>5758</v>
      </c>
      <c r="H236" s="100">
        <f>_xlfn.IFNA(LEFT(D236,LEN(D236)-1)*CHOOSE(MATCH(RIGHT(D236,1), {"K","M","B"},0),1000,1000000,1000000000),D236)</f>
        <v>625930000</v>
      </c>
    </row>
    <row r="237" spans="1:8" s="106" customFormat="1" ht="15.75" customHeight="1" x14ac:dyDescent="0.25">
      <c r="A237" s="104" t="s">
        <v>6189</v>
      </c>
      <c r="B237" s="121" t="s">
        <v>6190</v>
      </c>
      <c r="C237" s="107" t="s">
        <v>5871</v>
      </c>
      <c r="D237" s="107" t="s">
        <v>6191</v>
      </c>
      <c r="E237" s="119">
        <v>5.0000000000000001E-3</v>
      </c>
      <c r="F237" s="119">
        <v>-0.18779999999999999</v>
      </c>
      <c r="G237" s="107" t="s">
        <v>5919</v>
      </c>
      <c r="H237" s="105">
        <f>_xlfn.IFNA(LEFT(D237,LEN(D237)-1)*CHOOSE(MATCH(RIGHT(D237,1), {"K","M","B"},0),1000,1000000,1000000000),D237)</f>
        <v>40540000</v>
      </c>
    </row>
    <row r="238" spans="1:8" s="106" customFormat="1" ht="15.75" customHeight="1" x14ac:dyDescent="0.25">
      <c r="A238" s="91" t="s">
        <v>6636</v>
      </c>
      <c r="B238" s="122" t="s">
        <v>6637</v>
      </c>
      <c r="C238" s="93" t="s">
        <v>5871</v>
      </c>
      <c r="D238" s="93" t="s">
        <v>5886</v>
      </c>
      <c r="E238" s="114" t="s">
        <v>5886</v>
      </c>
      <c r="F238" s="114" t="s">
        <v>5886</v>
      </c>
      <c r="G238" s="93" t="s">
        <v>5882</v>
      </c>
      <c r="H238" s="100" t="e">
        <f>_xlfn.IFNA(LEFT(D238,LEN(D238)-1)*CHOOSE(MATCH(RIGHT(D238,1), {"K","M","B"},0),1000,1000000,1000000000),D238)</f>
        <v>#VALUE!</v>
      </c>
    </row>
    <row r="239" spans="1:8" s="106" customFormat="1" ht="15.75" customHeight="1" x14ac:dyDescent="0.25">
      <c r="A239" s="104" t="s">
        <v>6347</v>
      </c>
      <c r="B239" s="121" t="s">
        <v>6348</v>
      </c>
      <c r="C239" s="107" t="s">
        <v>6349</v>
      </c>
      <c r="D239" s="107" t="s">
        <v>6350</v>
      </c>
      <c r="E239" s="119">
        <v>9.4999999999999998E-3</v>
      </c>
      <c r="F239" s="119">
        <v>-0.16400000000000001</v>
      </c>
      <c r="G239" s="107" t="s">
        <v>5704</v>
      </c>
      <c r="H239" s="105">
        <f>_xlfn.IFNA(LEFT(D239,LEN(D239)-1)*CHOOSE(MATCH(RIGHT(D239,1), {"K","M","B"},0),1000,1000000,1000000000),D239)</f>
        <v>10470000</v>
      </c>
    </row>
    <row r="240" spans="1:8" s="106" customFormat="1" ht="15.75" customHeight="1" x14ac:dyDescent="0.25">
      <c r="A240" s="104" t="s">
        <v>6419</v>
      </c>
      <c r="B240" s="121" t="s">
        <v>6420</v>
      </c>
      <c r="C240" s="107" t="s">
        <v>6349</v>
      </c>
      <c r="D240" s="107" t="s">
        <v>6421</v>
      </c>
      <c r="E240" s="119">
        <v>9.4999999999999998E-3</v>
      </c>
      <c r="F240" s="119">
        <v>-0.1187</v>
      </c>
      <c r="G240" s="107" t="s">
        <v>5724</v>
      </c>
      <c r="H240" s="105">
        <f>_xlfn.IFNA(LEFT(D240,LEN(D240)-1)*CHOOSE(MATCH(RIGHT(D240,1), {"K","M","B"},0),1000,1000000,1000000000),D240)</f>
        <v>6600000</v>
      </c>
    </row>
    <row r="241" spans="1:8" s="106" customFormat="1" ht="15.75" customHeight="1" x14ac:dyDescent="0.25">
      <c r="A241" s="104" t="s">
        <v>6586</v>
      </c>
      <c r="B241" s="121" t="s">
        <v>6587</v>
      </c>
      <c r="C241" s="107" t="s">
        <v>6349</v>
      </c>
      <c r="D241" s="107" t="s">
        <v>6588</v>
      </c>
      <c r="E241" s="119">
        <v>1.03E-2</v>
      </c>
      <c r="F241" s="119">
        <v>-0.25240000000000001</v>
      </c>
      <c r="G241" s="107" t="s">
        <v>5799</v>
      </c>
      <c r="H241" s="105">
        <f>_xlfn.IFNA(LEFT(D241,LEN(D241)-1)*CHOOSE(MATCH(RIGHT(D241,1), {"K","M","B"},0),1000,1000000,1000000000),D241)</f>
        <v>1350000</v>
      </c>
    </row>
    <row r="242" spans="1:8" s="106" customFormat="1" ht="15.75" customHeight="1" x14ac:dyDescent="0.25">
      <c r="A242" s="104" t="s">
        <v>6475</v>
      </c>
      <c r="B242" s="121" t="s">
        <v>6476</v>
      </c>
      <c r="C242" s="107" t="s">
        <v>6477</v>
      </c>
      <c r="D242" s="107" t="s">
        <v>6478</v>
      </c>
      <c r="E242" s="119">
        <v>7.4999999999999997E-3</v>
      </c>
      <c r="F242" s="119">
        <v>-0.11260000000000001</v>
      </c>
      <c r="G242" s="107" t="s">
        <v>5696</v>
      </c>
      <c r="H242" s="105">
        <f>_xlfn.IFNA(LEFT(D242,LEN(D242)-1)*CHOOSE(MATCH(RIGHT(D242,1), {"K","M","B"},0),1000,1000000,1000000000),D242)</f>
        <v>4700000</v>
      </c>
    </row>
    <row r="243" spans="1:8" s="106" customFormat="1" ht="15.75" customHeight="1" x14ac:dyDescent="0.25">
      <c r="A243" s="91" t="s">
        <v>5820</v>
      </c>
      <c r="B243" s="92" t="s">
        <v>5821</v>
      </c>
      <c r="C243" s="93" t="s">
        <v>5822</v>
      </c>
      <c r="D243" s="93" t="s">
        <v>5823</v>
      </c>
      <c r="E243" s="113">
        <v>8.5000000000000006E-3</v>
      </c>
      <c r="F243" s="113">
        <v>9.7100000000000006E-2</v>
      </c>
      <c r="G243" s="93" t="s">
        <v>5762</v>
      </c>
      <c r="H243" s="100">
        <f>_xlfn.IFNA(LEFT(D243,LEN(D243)-1)*CHOOSE(MATCH(RIGHT(D243,1), {"K","M","B"},0),1000,1000000,1000000000),D243)</f>
        <v>944670000</v>
      </c>
    </row>
    <row r="244" spans="1:8" s="106" customFormat="1" ht="15.75" customHeight="1" x14ac:dyDescent="0.25">
      <c r="A244" s="91" t="s">
        <v>6012</v>
      </c>
      <c r="B244" s="92" t="s">
        <v>6013</v>
      </c>
      <c r="C244" s="93" t="s">
        <v>6014</v>
      </c>
      <c r="D244" s="93" t="s">
        <v>6015</v>
      </c>
      <c r="E244" s="113">
        <v>6.7999999999999996E-3</v>
      </c>
      <c r="F244" s="113">
        <v>-0.15989999999999999</v>
      </c>
      <c r="G244" s="93" t="s">
        <v>5834</v>
      </c>
      <c r="H244" s="100">
        <f>_xlfn.IFNA(LEFT(D244,LEN(D244)-1)*CHOOSE(MATCH(RIGHT(D244,1), {"K","M","B"},0),1000,1000000,1000000000),D244)</f>
        <v>167270000</v>
      </c>
    </row>
    <row r="245" spans="1:8" s="106" customFormat="1" ht="15.75" customHeight="1" x14ac:dyDescent="0.25">
      <c r="A245" s="91" t="s">
        <v>5853</v>
      </c>
      <c r="B245" s="92" t="s">
        <v>5854</v>
      </c>
      <c r="C245" s="93" t="s">
        <v>5855</v>
      </c>
      <c r="D245" s="93" t="s">
        <v>5856</v>
      </c>
      <c r="E245" s="113">
        <v>5.4999999999999997E-3</v>
      </c>
      <c r="F245" s="113">
        <v>-2.7099999999999999E-2</v>
      </c>
      <c r="G245" s="93" t="s">
        <v>5746</v>
      </c>
      <c r="H245" s="100">
        <f>_xlfn.IFNA(LEFT(D245,LEN(D245)-1)*CHOOSE(MATCH(RIGHT(D245,1), {"K","M","B"},0),1000,1000000,1000000000),D245)</f>
        <v>680690000</v>
      </c>
    </row>
    <row r="246" spans="1:8" s="106" customFormat="1" ht="15.75" customHeight="1" x14ac:dyDescent="0.25">
      <c r="A246" s="91" t="s">
        <v>6022</v>
      </c>
      <c r="B246" s="92" t="s">
        <v>6023</v>
      </c>
      <c r="C246" s="93" t="s">
        <v>5855</v>
      </c>
      <c r="D246" s="93" t="s">
        <v>6024</v>
      </c>
      <c r="E246" s="113">
        <v>5.0000000000000001E-3</v>
      </c>
      <c r="F246" s="113">
        <v>-0.1263</v>
      </c>
      <c r="G246" s="93" t="s">
        <v>6025</v>
      </c>
      <c r="H246" s="100">
        <f>_xlfn.IFNA(LEFT(D246,LEN(D246)-1)*CHOOSE(MATCH(RIGHT(D246,1), {"K","M","B"},0),1000,1000000,1000000000),D246)</f>
        <v>157610000</v>
      </c>
    </row>
    <row r="247" spans="1:8" s="106" customFormat="1" ht="15.75" customHeight="1" x14ac:dyDescent="0.25">
      <c r="A247" s="91" t="s">
        <v>5729</v>
      </c>
      <c r="B247" s="92" t="s">
        <v>5730</v>
      </c>
      <c r="C247" s="93" t="s">
        <v>5731</v>
      </c>
      <c r="D247" s="93" t="s">
        <v>5732</v>
      </c>
      <c r="E247" s="113">
        <v>4.0000000000000001E-3</v>
      </c>
      <c r="F247" s="113">
        <v>3.4599999999999999E-2</v>
      </c>
      <c r="G247" s="93" t="s">
        <v>5701</v>
      </c>
      <c r="H247" s="100">
        <f>_xlfn.IFNA(LEFT(D247,LEN(D247)-1)*CHOOSE(MATCH(RIGHT(D247,1), {"K","M","B"},0),1000,1000000,1000000000),D247)</f>
        <v>3590000000</v>
      </c>
    </row>
    <row r="248" spans="1:8" s="106" customFormat="1" ht="15.75" customHeight="1" x14ac:dyDescent="0.25">
      <c r="A248" s="91" t="s">
        <v>5763</v>
      </c>
      <c r="B248" s="92" t="s">
        <v>5764</v>
      </c>
      <c r="C248" s="93" t="s">
        <v>5731</v>
      </c>
      <c r="D248" s="93" t="s">
        <v>5765</v>
      </c>
      <c r="E248" s="113">
        <v>2E-3</v>
      </c>
      <c r="F248" s="113">
        <v>-0.1149</v>
      </c>
      <c r="G248" s="93" t="s">
        <v>5696</v>
      </c>
      <c r="H248" s="100">
        <f>_xlfn.IFNA(LEFT(D248,LEN(D248)-1)*CHOOSE(MATCH(RIGHT(D248,1), {"K","M","B"},0),1000,1000000,1000000000),D248)</f>
        <v>1680000000</v>
      </c>
    </row>
    <row r="249" spans="1:8" s="106" customFormat="1" ht="15.75" customHeight="1" x14ac:dyDescent="0.25">
      <c r="A249" s="91" t="s">
        <v>5794</v>
      </c>
      <c r="B249" s="92" t="s">
        <v>5795</v>
      </c>
      <c r="C249" s="93" t="s">
        <v>5731</v>
      </c>
      <c r="D249" s="93" t="s">
        <v>5796</v>
      </c>
      <c r="E249" s="113">
        <v>3.5000000000000001E-3</v>
      </c>
      <c r="F249" s="113">
        <v>-0.16170000000000001</v>
      </c>
      <c r="G249" s="93" t="s">
        <v>5776</v>
      </c>
      <c r="H249" s="100">
        <f>_xlfn.IFNA(LEFT(D249,LEN(D249)-1)*CHOOSE(MATCH(RIGHT(D249,1), {"K","M","B"},0),1000,1000000,1000000000),D249)</f>
        <v>1220000000</v>
      </c>
    </row>
    <row r="250" spans="1:8" s="106" customFormat="1" ht="15.75" customHeight="1" x14ac:dyDescent="0.25">
      <c r="A250" s="91" t="s">
        <v>5876</v>
      </c>
      <c r="B250" s="92" t="s">
        <v>5877</v>
      </c>
      <c r="C250" s="93" t="s">
        <v>5731</v>
      </c>
      <c r="D250" s="93" t="s">
        <v>5878</v>
      </c>
      <c r="E250" s="113">
        <v>3.5000000000000001E-3</v>
      </c>
      <c r="F250" s="113">
        <v>0.1426</v>
      </c>
      <c r="G250" s="93" t="s">
        <v>5810</v>
      </c>
      <c r="H250" s="100">
        <f>_xlfn.IFNA(LEFT(D250,LEN(D250)-1)*CHOOSE(MATCH(RIGHT(D250,1), {"K","M","B"},0),1000,1000000,1000000000),D250)</f>
        <v>607540000</v>
      </c>
    </row>
    <row r="251" spans="1:8" s="106" customFormat="1" ht="15.75" customHeight="1" x14ac:dyDescent="0.25">
      <c r="A251" s="91" t="s">
        <v>5897</v>
      </c>
      <c r="B251" s="92" t="s">
        <v>5898</v>
      </c>
      <c r="C251" s="93" t="s">
        <v>5731</v>
      </c>
      <c r="D251" s="93" t="s">
        <v>5899</v>
      </c>
      <c r="E251" s="113">
        <v>4.0000000000000001E-3</v>
      </c>
      <c r="F251" s="113">
        <v>2.4799999999999999E-2</v>
      </c>
      <c r="G251" s="93" t="s">
        <v>5736</v>
      </c>
      <c r="H251" s="100">
        <f>_xlfn.IFNA(LEFT(D251,LEN(D251)-1)*CHOOSE(MATCH(RIGHT(D251,1), {"K","M","B"},0),1000,1000000,1000000000),D251)</f>
        <v>497990000</v>
      </c>
    </row>
    <row r="252" spans="1:8" s="106" customFormat="1" ht="15.75" customHeight="1" x14ac:dyDescent="0.25">
      <c r="A252" s="91" t="s">
        <v>5900</v>
      </c>
      <c r="B252" s="92" t="s">
        <v>5901</v>
      </c>
      <c r="C252" s="93" t="s">
        <v>5731</v>
      </c>
      <c r="D252" s="93" t="s">
        <v>5902</v>
      </c>
      <c r="E252" s="113">
        <v>3.5000000000000001E-3</v>
      </c>
      <c r="F252" s="113">
        <v>-9.8900000000000002E-2</v>
      </c>
      <c r="G252" s="93" t="s">
        <v>5903</v>
      </c>
      <c r="H252" s="100">
        <f>_xlfn.IFNA(LEFT(D252,LEN(D252)-1)*CHOOSE(MATCH(RIGHT(D252,1), {"K","M","B"},0),1000,1000000,1000000000),D252)</f>
        <v>495790000</v>
      </c>
    </row>
    <row r="253" spans="1:8" s="106" customFormat="1" ht="15.75" customHeight="1" x14ac:dyDescent="0.25">
      <c r="A253" s="91" t="s">
        <v>5973</v>
      </c>
      <c r="B253" s="92" t="s">
        <v>5974</v>
      </c>
      <c r="C253" s="93" t="s">
        <v>5731</v>
      </c>
      <c r="D253" s="93" t="s">
        <v>5975</v>
      </c>
      <c r="E253" s="113">
        <v>1.1999999999999999E-3</v>
      </c>
      <c r="F253" s="113">
        <v>-0.1087</v>
      </c>
      <c r="G253" s="93" t="s">
        <v>5803</v>
      </c>
      <c r="H253" s="100">
        <f>_xlfn.IFNA(LEFT(D253,LEN(D253)-1)*CHOOSE(MATCH(RIGHT(D253,1), {"K","M","B"},0),1000,1000000,1000000000),D253)</f>
        <v>246930000</v>
      </c>
    </row>
    <row r="254" spans="1:8" s="106" customFormat="1" ht="15.75" customHeight="1" x14ac:dyDescent="0.25">
      <c r="A254" s="91" t="s">
        <v>5976</v>
      </c>
      <c r="B254" s="92" t="s">
        <v>5977</v>
      </c>
      <c r="C254" s="93" t="s">
        <v>5731</v>
      </c>
      <c r="D254" s="93" t="s">
        <v>5978</v>
      </c>
      <c r="E254" s="113">
        <v>4.4999999999999997E-3</v>
      </c>
      <c r="F254" s="113">
        <v>-1.8200000000000001E-2</v>
      </c>
      <c r="G254" s="93" t="s">
        <v>5746</v>
      </c>
      <c r="H254" s="100">
        <f>_xlfn.IFNA(LEFT(D254,LEN(D254)-1)*CHOOSE(MATCH(RIGHT(D254,1), {"K","M","B"},0),1000,1000000,1000000000),D254)</f>
        <v>245730000</v>
      </c>
    </row>
    <row r="255" spans="1:8" s="106" customFormat="1" ht="15.75" customHeight="1" x14ac:dyDescent="0.25">
      <c r="A255" s="104" t="s">
        <v>6068</v>
      </c>
      <c r="B255" s="121" t="s">
        <v>6069</v>
      </c>
      <c r="C255" s="107" t="s">
        <v>5731</v>
      </c>
      <c r="D255" s="107" t="s">
        <v>6070</v>
      </c>
      <c r="E255" s="119">
        <v>4.4999999999999997E-3</v>
      </c>
      <c r="F255" s="119">
        <v>-0.13930000000000001</v>
      </c>
      <c r="G255" s="107" t="s">
        <v>6071</v>
      </c>
      <c r="H255" s="105">
        <f>_xlfn.IFNA(LEFT(D255,LEN(D255)-1)*CHOOSE(MATCH(RIGHT(D255,1), {"K","M","B"},0),1000,1000000,1000000000),D255)</f>
        <v>98390000</v>
      </c>
    </row>
    <row r="256" spans="1:8" s="106" customFormat="1" ht="15.75" customHeight="1" x14ac:dyDescent="0.25">
      <c r="A256" s="104" t="s">
        <v>6095</v>
      </c>
      <c r="B256" s="121" t="s">
        <v>6096</v>
      </c>
      <c r="C256" s="107" t="s">
        <v>5731</v>
      </c>
      <c r="D256" s="107" t="s">
        <v>6097</v>
      </c>
      <c r="E256" s="119">
        <v>3.5000000000000001E-3</v>
      </c>
      <c r="F256" s="119">
        <v>-8.3500000000000005E-2</v>
      </c>
      <c r="G256" s="107" t="s">
        <v>5936</v>
      </c>
      <c r="H256" s="105">
        <f>_xlfn.IFNA(LEFT(D256,LEN(D256)-1)*CHOOSE(MATCH(RIGHT(D256,1), {"K","M","B"},0),1000,1000000,1000000000),D256)</f>
        <v>78960000</v>
      </c>
    </row>
    <row r="257" spans="1:8" s="106" customFormat="1" ht="15.75" customHeight="1" x14ac:dyDescent="0.25">
      <c r="A257" s="104" t="s">
        <v>6194</v>
      </c>
      <c r="B257" s="121" t="s">
        <v>6195</v>
      </c>
      <c r="C257" s="107" t="s">
        <v>5731</v>
      </c>
      <c r="D257" s="107" t="s">
        <v>6196</v>
      </c>
      <c r="E257" s="119">
        <v>4.4999999999999997E-3</v>
      </c>
      <c r="F257" s="119">
        <v>-9.2499999999999999E-2</v>
      </c>
      <c r="G257" s="107" t="s">
        <v>5721</v>
      </c>
      <c r="H257" s="105">
        <f>_xlfn.IFNA(LEFT(D257,LEN(D257)-1)*CHOOSE(MATCH(RIGHT(D257,1), {"K","M","B"},0),1000,1000000,1000000000),D257)</f>
        <v>37880000</v>
      </c>
    </row>
    <row r="258" spans="1:8" s="106" customFormat="1" ht="15.75" customHeight="1" x14ac:dyDescent="0.25">
      <c r="A258" s="104" t="s">
        <v>6219</v>
      </c>
      <c r="B258" s="121" t="s">
        <v>6220</v>
      </c>
      <c r="C258" s="107" t="s">
        <v>5731</v>
      </c>
      <c r="D258" s="107" t="s">
        <v>6221</v>
      </c>
      <c r="E258" s="119">
        <v>3.5000000000000001E-3</v>
      </c>
      <c r="F258" s="119">
        <v>-0.21590000000000001</v>
      </c>
      <c r="G258" s="107" t="s">
        <v>5713</v>
      </c>
      <c r="H258" s="105">
        <f>_xlfn.IFNA(LEFT(D258,LEN(D258)-1)*CHOOSE(MATCH(RIGHT(D258,1), {"K","M","B"},0),1000,1000000,1000000000),D258)</f>
        <v>31290000</v>
      </c>
    </row>
    <row r="259" spans="1:8" s="106" customFormat="1" ht="15.75" customHeight="1" x14ac:dyDescent="0.25">
      <c r="A259" s="104" t="s">
        <v>6222</v>
      </c>
      <c r="B259" s="121" t="s">
        <v>6223</v>
      </c>
      <c r="C259" s="107" t="s">
        <v>5731</v>
      </c>
      <c r="D259" s="107" t="s">
        <v>6224</v>
      </c>
      <c r="E259" s="119">
        <v>4.4999999999999997E-3</v>
      </c>
      <c r="F259" s="119">
        <v>5.3E-3</v>
      </c>
      <c r="G259" s="107" t="s">
        <v>6145</v>
      </c>
      <c r="H259" s="105">
        <f>_xlfn.IFNA(LEFT(D259,LEN(D259)-1)*CHOOSE(MATCH(RIGHT(D259,1), {"K","M","B"},0),1000,1000000,1000000000),D259)</f>
        <v>30740000</v>
      </c>
    </row>
    <row r="260" spans="1:8" s="106" customFormat="1" ht="15.75" customHeight="1" x14ac:dyDescent="0.25">
      <c r="A260" s="104" t="s">
        <v>6288</v>
      </c>
      <c r="B260" s="121" t="s">
        <v>6289</v>
      </c>
      <c r="C260" s="107" t="s">
        <v>5731</v>
      </c>
      <c r="D260" s="107" t="s">
        <v>6290</v>
      </c>
      <c r="E260" s="119">
        <v>4.4999999999999997E-3</v>
      </c>
      <c r="F260" s="119">
        <v>6.4000000000000003E-3</v>
      </c>
      <c r="G260" s="107" t="s">
        <v>6291</v>
      </c>
      <c r="H260" s="105">
        <f>_xlfn.IFNA(LEFT(D260,LEN(D260)-1)*CHOOSE(MATCH(RIGHT(D260,1), {"K","M","B"},0),1000,1000000,1000000000),D260)</f>
        <v>19050000</v>
      </c>
    </row>
    <row r="261" spans="1:8" s="106" customFormat="1" ht="15.75" customHeight="1" x14ac:dyDescent="0.25">
      <c r="A261" s="91" t="s">
        <v>6634</v>
      </c>
      <c r="B261" s="122" t="s">
        <v>6635</v>
      </c>
      <c r="C261" s="93" t="s">
        <v>5731</v>
      </c>
      <c r="D261" s="93" t="s">
        <v>5886</v>
      </c>
      <c r="E261" s="113">
        <v>1E-3</v>
      </c>
      <c r="F261" s="114" t="s">
        <v>5886</v>
      </c>
      <c r="G261" s="93" t="s">
        <v>5787</v>
      </c>
      <c r="H261" s="100" t="e">
        <f>_xlfn.IFNA(LEFT(D261,LEN(D261)-1)*CHOOSE(MATCH(RIGHT(D261,1), {"K","M","B"},0),1000,1000000,1000000000),D261)</f>
        <v>#VALUE!</v>
      </c>
    </row>
    <row r="262" spans="1:8" s="106" customFormat="1" ht="15.75" customHeight="1" x14ac:dyDescent="0.25">
      <c r="A262" s="104" t="s">
        <v>6580</v>
      </c>
      <c r="B262" s="121" t="s">
        <v>6581</v>
      </c>
      <c r="C262" s="107" t="s">
        <v>6582</v>
      </c>
      <c r="D262" s="107" t="s">
        <v>6579</v>
      </c>
      <c r="E262" s="119">
        <v>9.4999999999999998E-3</v>
      </c>
      <c r="F262" s="119">
        <v>-9.4100000000000003E-2</v>
      </c>
      <c r="G262" s="107" t="s">
        <v>5803</v>
      </c>
      <c r="H262" s="105">
        <f>_xlfn.IFNA(LEFT(D262,LEN(D262)-1)*CHOOSE(MATCH(RIGHT(D262,1), {"K","M","B"},0),1000,1000000,1000000000),D262)</f>
        <v>1590000</v>
      </c>
    </row>
    <row r="263" spans="1:8" s="106" customFormat="1" ht="15.75" customHeight="1" x14ac:dyDescent="0.25">
      <c r="A263" s="104" t="s">
        <v>6252</v>
      </c>
      <c r="B263" s="121" t="s">
        <v>6253</v>
      </c>
      <c r="C263" s="107" t="s">
        <v>6254</v>
      </c>
      <c r="D263" s="107" t="s">
        <v>6255</v>
      </c>
      <c r="E263" s="119">
        <v>4.4000000000000003E-3</v>
      </c>
      <c r="F263" s="119">
        <v>-8.2900000000000001E-2</v>
      </c>
      <c r="G263" s="107" t="s">
        <v>6256</v>
      </c>
      <c r="H263" s="105">
        <f>_xlfn.IFNA(LEFT(D263,LEN(D263)-1)*CHOOSE(MATCH(RIGHT(D263,1), {"K","M","B"},0),1000,1000000,1000000000),D263)</f>
        <v>23500000</v>
      </c>
    </row>
    <row r="264" spans="1:8" s="106" customFormat="1" ht="15.75" customHeight="1" x14ac:dyDescent="0.25">
      <c r="A264" s="104" t="s">
        <v>6343</v>
      </c>
      <c r="B264" s="121" t="s">
        <v>6344</v>
      </c>
      <c r="C264" s="107" t="s">
        <v>6345</v>
      </c>
      <c r="D264" s="107" t="s">
        <v>6346</v>
      </c>
      <c r="E264" s="119">
        <v>5.8999999999999999E-3</v>
      </c>
      <c r="F264" s="119">
        <v>-0.247</v>
      </c>
      <c r="G264" s="107" t="s">
        <v>5988</v>
      </c>
      <c r="H264" s="105">
        <f>_xlfn.IFNA(LEFT(D264,LEN(D264)-1)*CHOOSE(MATCH(RIGHT(D264,1), {"K","M","B"},0),1000,1000000,1000000000),D264)</f>
        <v>11020000</v>
      </c>
    </row>
    <row r="265" spans="1:8" s="106" customFormat="1" ht="15.75" customHeight="1" x14ac:dyDescent="0.25">
      <c r="A265" s="104" t="s">
        <v>6567</v>
      </c>
      <c r="B265" s="121" t="s">
        <v>6568</v>
      </c>
      <c r="C265" s="107" t="s">
        <v>6345</v>
      </c>
      <c r="D265" s="107" t="s">
        <v>6569</v>
      </c>
      <c r="E265" s="119">
        <v>6.4999999999999997E-3</v>
      </c>
      <c r="F265" s="119">
        <v>-7.7700000000000005E-2</v>
      </c>
      <c r="G265" s="107" t="s">
        <v>5716</v>
      </c>
      <c r="H265" s="105">
        <f>_xlfn.IFNA(LEFT(D265,LEN(D265)-1)*CHOOSE(MATCH(RIGHT(D265,1), {"K","M","B"},0),1000,1000000,1000000000),D265)</f>
        <v>1970000</v>
      </c>
    </row>
    <row r="266" spans="1:8" ht="15.75" customHeight="1" x14ac:dyDescent="0.25">
      <c r="A266" s="104" t="s">
        <v>6577</v>
      </c>
      <c r="B266" s="121" t="s">
        <v>6578</v>
      </c>
      <c r="C266" s="107" t="s">
        <v>6345</v>
      </c>
      <c r="D266" s="107" t="s">
        <v>6579</v>
      </c>
      <c r="E266" s="119">
        <v>6.4999999999999997E-3</v>
      </c>
      <c r="F266" s="119">
        <v>-9.4700000000000006E-2</v>
      </c>
      <c r="G266" s="107" t="s">
        <v>5803</v>
      </c>
      <c r="H266" s="105">
        <f>_xlfn.IFNA(LEFT(D266,LEN(D266)-1)*CHOOSE(MATCH(RIGHT(D266,1), {"K","M","B"},0),1000,1000000,1000000000),D266)</f>
        <v>1590000</v>
      </c>
    </row>
    <row r="267" spans="1:8" ht="15.75" customHeight="1" x14ac:dyDescent="0.25">
      <c r="A267" s="104" t="s">
        <v>6150</v>
      </c>
      <c r="B267" s="121" t="s">
        <v>6151</v>
      </c>
      <c r="C267" s="107" t="s">
        <v>6152</v>
      </c>
      <c r="D267" s="107" t="s">
        <v>6153</v>
      </c>
      <c r="E267" s="119">
        <v>4.0000000000000001E-3</v>
      </c>
      <c r="F267" s="119">
        <v>-0.1472</v>
      </c>
      <c r="G267" s="107" t="s">
        <v>6154</v>
      </c>
      <c r="H267" s="105">
        <f>_xlfn.IFNA(LEFT(D267,LEN(D267)-1)*CHOOSE(MATCH(RIGHT(D267,1), {"K","M","B"},0),1000,1000000,1000000000),D267)</f>
        <v>54170000</v>
      </c>
    </row>
    <row r="268" spans="1:8" ht="15.75" customHeight="1" x14ac:dyDescent="0.25">
      <c r="A268" s="104" t="s">
        <v>6369</v>
      </c>
      <c r="B268" s="121" t="s">
        <v>6370</v>
      </c>
      <c r="C268" s="107" t="s">
        <v>6152</v>
      </c>
      <c r="D268" s="107" t="s">
        <v>6371</v>
      </c>
      <c r="E268" s="119">
        <v>4.0000000000000001E-3</v>
      </c>
      <c r="F268" s="119">
        <v>-0.1487</v>
      </c>
      <c r="G268" s="107" t="s">
        <v>6372</v>
      </c>
      <c r="H268" s="105">
        <f>_xlfn.IFNA(LEFT(D268,LEN(D268)-1)*CHOOSE(MATCH(RIGHT(D268,1), {"K","M","B"},0),1000,1000000,1000000000),D268)</f>
        <v>8990000</v>
      </c>
    </row>
    <row r="269" spans="1:8" ht="15.75" customHeight="1" x14ac:dyDescent="0.25">
      <c r="A269" s="104" t="s">
        <v>6264</v>
      </c>
      <c r="B269" s="121" t="s">
        <v>6265</v>
      </c>
      <c r="C269" s="107" t="s">
        <v>6266</v>
      </c>
      <c r="D269" s="107" t="s">
        <v>6267</v>
      </c>
      <c r="E269" s="119">
        <v>6.7999999999999996E-3</v>
      </c>
      <c r="F269" s="119">
        <v>-0.16819999999999999</v>
      </c>
      <c r="G269" s="107" t="s">
        <v>6268</v>
      </c>
      <c r="H269" s="105">
        <f>_xlfn.IFNA(LEFT(D269,LEN(D269)-1)*CHOOSE(MATCH(RIGHT(D269,1), {"K","M","B"},0),1000,1000000,1000000000),D269)</f>
        <v>21770000</v>
      </c>
    </row>
    <row r="270" spans="1:8" ht="15.75" customHeight="1" x14ac:dyDescent="0.25">
      <c r="A270" s="91" t="s">
        <v>5904</v>
      </c>
      <c r="B270" s="92" t="s">
        <v>5905</v>
      </c>
      <c r="C270" s="93" t="s">
        <v>5906</v>
      </c>
      <c r="D270" s="93" t="s">
        <v>5907</v>
      </c>
      <c r="E270" s="113">
        <v>7.4999999999999997E-3</v>
      </c>
      <c r="F270" s="113">
        <v>0.28270000000000001</v>
      </c>
      <c r="G270" s="93" t="s">
        <v>5696</v>
      </c>
      <c r="H270" s="100">
        <f>_xlfn.IFNA(LEFT(D270,LEN(D270)-1)*CHOOSE(MATCH(RIGHT(D270,1), {"K","M","B"},0),1000,1000000,1000000000),D270)</f>
        <v>421470000</v>
      </c>
    </row>
    <row r="271" spans="1:8" ht="15.75" customHeight="1" x14ac:dyDescent="0.25">
      <c r="A271" s="104" t="s">
        <v>6460</v>
      </c>
      <c r="B271" s="121" t="s">
        <v>6461</v>
      </c>
      <c r="C271" s="107" t="s">
        <v>6462</v>
      </c>
      <c r="D271" s="107" t="s">
        <v>6463</v>
      </c>
      <c r="E271" s="119">
        <v>7.4999999999999997E-3</v>
      </c>
      <c r="F271" s="120" t="s">
        <v>5886</v>
      </c>
      <c r="G271" s="107" t="s">
        <v>5988</v>
      </c>
      <c r="H271" s="105">
        <f>_xlfn.IFNA(LEFT(D271,LEN(D271)-1)*CHOOSE(MATCH(RIGHT(D271,1), {"K","M","B"},0),1000,1000000,1000000000),D271)</f>
        <v>4920000</v>
      </c>
    </row>
    <row r="272" spans="1:8" ht="15.75" customHeight="1" x14ac:dyDescent="0.25">
      <c r="A272" s="104" t="s">
        <v>6607</v>
      </c>
      <c r="B272" s="121" t="s">
        <v>6608</v>
      </c>
      <c r="C272" s="107" t="s">
        <v>6462</v>
      </c>
      <c r="D272" s="107" t="s">
        <v>6609</v>
      </c>
      <c r="E272" s="119">
        <v>7.4999999999999997E-3</v>
      </c>
      <c r="F272" s="119">
        <v>-0.1182</v>
      </c>
      <c r="G272" s="107" t="s">
        <v>6610</v>
      </c>
      <c r="H272" s="105">
        <f>_xlfn.IFNA(LEFT(D272,LEN(D272)-1)*CHOOSE(MATCH(RIGHT(D272,1), {"K","M","B"},0),1000,1000000,1000000000),D272)</f>
        <v>837410</v>
      </c>
    </row>
    <row r="273" spans="1:8" ht="15.75" customHeight="1" x14ac:dyDescent="0.25">
      <c r="A273" s="91" t="s">
        <v>5747</v>
      </c>
      <c r="B273" s="92" t="s">
        <v>5748</v>
      </c>
      <c r="C273" s="93" t="s">
        <v>5749</v>
      </c>
      <c r="D273" s="93" t="s">
        <v>5750</v>
      </c>
      <c r="E273" s="113">
        <v>5.5999999999999999E-3</v>
      </c>
      <c r="F273" s="113">
        <v>4.0599999999999997E-2</v>
      </c>
      <c r="G273" s="93" t="s">
        <v>5751</v>
      </c>
      <c r="H273" s="100">
        <f>_xlfn.IFNA(LEFT(D273,LEN(D273)-1)*CHOOSE(MATCH(RIGHT(D273,1), {"K","M","B"},0),1000,1000000,1000000000),D273)</f>
        <v>1930000000</v>
      </c>
    </row>
    <row r="274" spans="1:8" ht="15.75" customHeight="1" x14ac:dyDescent="0.25">
      <c r="A274" s="91" t="s">
        <v>5916</v>
      </c>
      <c r="B274" s="92" t="s">
        <v>5917</v>
      </c>
      <c r="C274" s="93" t="s">
        <v>5749</v>
      </c>
      <c r="D274" s="93" t="s">
        <v>5918</v>
      </c>
      <c r="E274" s="113">
        <v>5.4999999999999997E-3</v>
      </c>
      <c r="F274" s="113">
        <v>-0.19389999999999999</v>
      </c>
      <c r="G274" s="93" t="s">
        <v>5919</v>
      </c>
      <c r="H274" s="100">
        <f>_xlfn.IFNA(LEFT(D274,LEN(D274)-1)*CHOOSE(MATCH(RIGHT(D274,1), {"K","M","B"},0),1000,1000000,1000000000),D274)</f>
        <v>371610000</v>
      </c>
    </row>
    <row r="275" spans="1:8" ht="15.75" customHeight="1" x14ac:dyDescent="0.25">
      <c r="A275" s="91" t="s">
        <v>5982</v>
      </c>
      <c r="B275" s="92" t="s">
        <v>5983</v>
      </c>
      <c r="C275" s="93" t="s">
        <v>5749</v>
      </c>
      <c r="D275" s="93" t="s">
        <v>5984</v>
      </c>
      <c r="E275" s="113">
        <v>6.1999999999999998E-3</v>
      </c>
      <c r="F275" s="113">
        <v>-7.5300000000000006E-2</v>
      </c>
      <c r="G275" s="93" t="s">
        <v>5803</v>
      </c>
      <c r="H275" s="100">
        <f>_xlfn.IFNA(LEFT(D275,LEN(D275)-1)*CHOOSE(MATCH(RIGHT(D275,1), {"K","M","B"},0),1000,1000000,1000000000),D275)</f>
        <v>233900000</v>
      </c>
    </row>
    <row r="276" spans="1:8" ht="15.75" customHeight="1" x14ac:dyDescent="0.25">
      <c r="A276" s="91" t="s">
        <v>6005</v>
      </c>
      <c r="B276" s="92" t="s">
        <v>6006</v>
      </c>
      <c r="C276" s="93" t="s">
        <v>5749</v>
      </c>
      <c r="D276" s="93" t="s">
        <v>6007</v>
      </c>
      <c r="E276" s="113">
        <v>3.5000000000000001E-3</v>
      </c>
      <c r="F276" s="113">
        <v>-6.3700000000000007E-2</v>
      </c>
      <c r="G276" s="93" t="s">
        <v>6008</v>
      </c>
      <c r="H276" s="100">
        <f>_xlfn.IFNA(LEFT(D276,LEN(D276)-1)*CHOOSE(MATCH(RIGHT(D276,1), {"K","M","B"},0),1000,1000000,1000000000),D276)</f>
        <v>183950000</v>
      </c>
    </row>
    <row r="277" spans="1:8" ht="15.75" customHeight="1" x14ac:dyDescent="0.25">
      <c r="A277" s="91" t="s">
        <v>6019</v>
      </c>
      <c r="B277" s="92" t="s">
        <v>6020</v>
      </c>
      <c r="C277" s="93" t="s">
        <v>5749</v>
      </c>
      <c r="D277" s="93" t="s">
        <v>6021</v>
      </c>
      <c r="E277" s="113">
        <v>4.8999999999999998E-3</v>
      </c>
      <c r="F277" s="113">
        <v>4.3299999999999998E-2</v>
      </c>
      <c r="G277" s="93" t="s">
        <v>5701</v>
      </c>
      <c r="H277" s="100">
        <f>_xlfn.IFNA(LEFT(D277,LEN(D277)-1)*CHOOSE(MATCH(RIGHT(D277,1), {"K","M","B"},0),1000,1000000,1000000000),D277)</f>
        <v>158040000</v>
      </c>
    </row>
    <row r="278" spans="1:8" ht="15.75" customHeight="1" x14ac:dyDescent="0.25">
      <c r="A278" s="104" t="s">
        <v>6109</v>
      </c>
      <c r="B278" s="121" t="s">
        <v>6110</v>
      </c>
      <c r="C278" s="107" t="s">
        <v>5749</v>
      </c>
      <c r="D278" s="107" t="s">
        <v>6111</v>
      </c>
      <c r="E278" s="119">
        <v>5.4999999999999997E-3</v>
      </c>
      <c r="F278" s="119">
        <v>4.3799999999999999E-2</v>
      </c>
      <c r="G278" s="107" t="s">
        <v>5911</v>
      </c>
      <c r="H278" s="105">
        <f>_xlfn.IFNA(LEFT(D278,LEN(D278)-1)*CHOOSE(MATCH(RIGHT(D278,1), {"K","M","B"},0),1000,1000000,1000000000),D278)</f>
        <v>69460000</v>
      </c>
    </row>
    <row r="279" spans="1:8" ht="15.75" customHeight="1" x14ac:dyDescent="0.25">
      <c r="A279" s="104" t="s">
        <v>6155</v>
      </c>
      <c r="B279" s="121" t="s">
        <v>6156</v>
      </c>
      <c r="C279" s="107" t="s">
        <v>5749</v>
      </c>
      <c r="D279" s="107" t="s">
        <v>6157</v>
      </c>
      <c r="E279" s="119">
        <v>5.0000000000000001E-3</v>
      </c>
      <c r="F279" s="119">
        <v>-0.21179999999999999</v>
      </c>
      <c r="G279" s="107" t="s">
        <v>5988</v>
      </c>
      <c r="H279" s="105">
        <f>_xlfn.IFNA(LEFT(D279,LEN(D279)-1)*CHOOSE(MATCH(RIGHT(D279,1), {"K","M","B"},0),1000,1000000,1000000000),D279)</f>
        <v>53210000</v>
      </c>
    </row>
    <row r="280" spans="1:8" ht="15.75" customHeight="1" x14ac:dyDescent="0.25">
      <c r="A280" s="104" t="s">
        <v>6174</v>
      </c>
      <c r="B280" s="121" t="s">
        <v>6175</v>
      </c>
      <c r="C280" s="107" t="s">
        <v>5749</v>
      </c>
      <c r="D280" s="107" t="s">
        <v>6176</v>
      </c>
      <c r="E280" s="119">
        <v>6.1000000000000004E-3</v>
      </c>
      <c r="F280" s="119">
        <v>1.7899999999999999E-2</v>
      </c>
      <c r="G280" s="107" t="s">
        <v>5762</v>
      </c>
      <c r="H280" s="105">
        <f>_xlfn.IFNA(LEFT(D280,LEN(D280)-1)*CHOOSE(MATCH(RIGHT(D280,1), {"K","M","B"},0),1000,1000000,1000000000),D280)</f>
        <v>46090000</v>
      </c>
    </row>
    <row r="281" spans="1:8" ht="15.75" customHeight="1" x14ac:dyDescent="0.25">
      <c r="A281" s="104" t="s">
        <v>6564</v>
      </c>
      <c r="B281" s="121" t="s">
        <v>6565</v>
      </c>
      <c r="C281" s="107" t="s">
        <v>5749</v>
      </c>
      <c r="D281" s="107" t="s">
        <v>6566</v>
      </c>
      <c r="E281" s="119">
        <v>6.8999999999999999E-3</v>
      </c>
      <c r="F281" s="119">
        <v>-6.3200000000000006E-2</v>
      </c>
      <c r="G281" s="107" t="s">
        <v>5751</v>
      </c>
      <c r="H281" s="105">
        <f>_xlfn.IFNA(LEFT(D281,LEN(D281)-1)*CHOOSE(MATCH(RIGHT(D281,1), {"K","M","B"},0),1000,1000000,1000000000),D281)</f>
        <v>2120000</v>
      </c>
    </row>
    <row r="282" spans="1:8" ht="15.75" customHeight="1" x14ac:dyDescent="0.25">
      <c r="A282" s="104" t="s">
        <v>6573</v>
      </c>
      <c r="B282" s="121" t="s">
        <v>6574</v>
      </c>
      <c r="C282" s="107" t="s">
        <v>5749</v>
      </c>
      <c r="D282" s="107" t="s">
        <v>6575</v>
      </c>
      <c r="E282" s="119">
        <v>7.4999999999999997E-3</v>
      </c>
      <c r="F282" s="120" t="s">
        <v>5886</v>
      </c>
      <c r="G282" s="107" t="s">
        <v>6576</v>
      </c>
      <c r="H282" s="105">
        <f>_xlfn.IFNA(LEFT(D282,LEN(D282)-1)*CHOOSE(MATCH(RIGHT(D282,1), {"K","M","B"},0),1000,1000000,1000000000),D282)</f>
        <v>1660000</v>
      </c>
    </row>
    <row r="283" spans="1:8" ht="15.75" customHeight="1" x14ac:dyDescent="0.25">
      <c r="A283" s="91" t="s">
        <v>6650</v>
      </c>
      <c r="B283" s="122" t="s">
        <v>6651</v>
      </c>
      <c r="C283" s="93" t="s">
        <v>5749</v>
      </c>
      <c r="D283" s="93" t="s">
        <v>5886</v>
      </c>
      <c r="E283" s="113">
        <v>5.0000000000000001E-3</v>
      </c>
      <c r="F283" s="114" t="s">
        <v>5886</v>
      </c>
      <c r="G283" s="93" t="s">
        <v>5988</v>
      </c>
      <c r="H283" s="100" t="e">
        <f>_xlfn.IFNA(LEFT(D283,LEN(D283)-1)*CHOOSE(MATCH(RIGHT(D283,1), {"K","M","B"},0),1000,1000000,1000000000),D283)</f>
        <v>#VALUE!</v>
      </c>
    </row>
    <row r="284" spans="1:8" ht="15.75" customHeight="1" x14ac:dyDescent="0.25">
      <c r="A284" s="104" t="s">
        <v>6504</v>
      </c>
      <c r="B284" s="121" t="s">
        <v>6505</v>
      </c>
      <c r="C284" s="107" t="s">
        <v>6506</v>
      </c>
      <c r="D284" s="107" t="s">
        <v>6507</v>
      </c>
      <c r="E284" s="119">
        <v>7.4999999999999997E-3</v>
      </c>
      <c r="F284" s="119">
        <v>-0.1613</v>
      </c>
      <c r="G284" s="107" t="s">
        <v>5751</v>
      </c>
      <c r="H284" s="105">
        <f>_xlfn.IFNA(LEFT(D284,LEN(D284)-1)*CHOOSE(MATCH(RIGHT(D284,1), {"K","M","B"},0),1000,1000000,1000000000),D284)</f>
        <v>3870000</v>
      </c>
    </row>
    <row r="285" spans="1:8" ht="15.75" customHeight="1" x14ac:dyDescent="0.25">
      <c r="A285" s="104" t="s">
        <v>6528</v>
      </c>
      <c r="B285" s="121" t="s">
        <v>6529</v>
      </c>
      <c r="C285" s="107" t="s">
        <v>6530</v>
      </c>
      <c r="D285" s="107" t="s">
        <v>6531</v>
      </c>
      <c r="E285" s="119">
        <v>5.8999999999999999E-3</v>
      </c>
      <c r="F285" s="119">
        <v>-9.1000000000000004E-3</v>
      </c>
      <c r="G285" s="107" t="s">
        <v>5716</v>
      </c>
      <c r="H285" s="105">
        <f>_xlfn.IFNA(LEFT(D285,LEN(D285)-1)*CHOOSE(MATCH(RIGHT(D285,1), {"K","M","B"},0),1000,1000000,1000000000),D285)</f>
        <v>3180000</v>
      </c>
    </row>
    <row r="286" spans="1:8" ht="15.75" customHeight="1" x14ac:dyDescent="0.25">
      <c r="A286" s="104" t="s">
        <v>6515</v>
      </c>
      <c r="B286" s="121" t="s">
        <v>6516</v>
      </c>
      <c r="C286" s="107" t="s">
        <v>6517</v>
      </c>
      <c r="D286" s="107" t="s">
        <v>6518</v>
      </c>
      <c r="E286" s="119">
        <v>8.5000000000000006E-3</v>
      </c>
      <c r="F286" s="119">
        <v>-0.1283</v>
      </c>
      <c r="G286" s="107" t="s">
        <v>5988</v>
      </c>
      <c r="H286" s="105">
        <f>_xlfn.IFNA(LEFT(D286,LEN(D286)-1)*CHOOSE(MATCH(RIGHT(D286,1), {"K","M","B"},0),1000,1000000,1000000000),D286)</f>
        <v>3410000</v>
      </c>
    </row>
    <row r="287" spans="1:8" ht="15.75" customHeight="1" x14ac:dyDescent="0.25">
      <c r="A287" s="104" t="s">
        <v>6181</v>
      </c>
      <c r="B287" s="121" t="s">
        <v>6182</v>
      </c>
      <c r="C287" s="107" t="s">
        <v>6183</v>
      </c>
      <c r="D287" s="107" t="s">
        <v>6184</v>
      </c>
      <c r="E287" s="119">
        <v>4.4999999999999997E-3</v>
      </c>
      <c r="F287" s="119">
        <v>1.09E-2</v>
      </c>
      <c r="G287" s="107" t="s">
        <v>6185</v>
      </c>
      <c r="H287" s="105">
        <f>_xlfn.IFNA(LEFT(D287,LEN(D287)-1)*CHOOSE(MATCH(RIGHT(D287,1), {"K","M","B"},0),1000,1000000,1000000000),D287)</f>
        <v>45360000</v>
      </c>
    </row>
    <row r="288" spans="1:8" ht="15.75" customHeight="1" x14ac:dyDescent="0.25">
      <c r="A288" s="104" t="s">
        <v>6496</v>
      </c>
      <c r="B288" s="121" t="s">
        <v>6497</v>
      </c>
      <c r="C288" s="107" t="s">
        <v>6183</v>
      </c>
      <c r="D288" s="107" t="s">
        <v>6498</v>
      </c>
      <c r="E288" s="119">
        <v>4.4999999999999997E-3</v>
      </c>
      <c r="F288" s="119">
        <v>-0.10390000000000001</v>
      </c>
      <c r="G288" s="107" t="s">
        <v>6499</v>
      </c>
      <c r="H288" s="105">
        <f>_xlfn.IFNA(LEFT(D288,LEN(D288)-1)*CHOOSE(MATCH(RIGHT(D288,1), {"K","M","B"},0),1000,1000000,1000000000),D288)</f>
        <v>4200000</v>
      </c>
    </row>
    <row r="289" spans="1:8" ht="15.75" customHeight="1" x14ac:dyDescent="0.25">
      <c r="A289" s="104" t="s">
        <v>6570</v>
      </c>
      <c r="B289" s="121" t="s">
        <v>6571</v>
      </c>
      <c r="C289" s="107" t="s">
        <v>6183</v>
      </c>
      <c r="D289" s="107" t="s">
        <v>6572</v>
      </c>
      <c r="E289" s="119">
        <v>4.4999999999999997E-3</v>
      </c>
      <c r="F289" s="120" t="s">
        <v>5886</v>
      </c>
      <c r="G289" s="107" t="s">
        <v>5724</v>
      </c>
      <c r="H289" s="105">
        <f>_xlfn.IFNA(LEFT(D289,LEN(D289)-1)*CHOOSE(MATCH(RIGHT(D289,1), {"K","M","B"},0),1000,1000000,1000000000),D289)</f>
        <v>1790000</v>
      </c>
    </row>
    <row r="290" spans="1:8" ht="15.75" customHeight="1" x14ac:dyDescent="0.25">
      <c r="A290" s="104" t="s">
        <v>6604</v>
      </c>
      <c r="B290" s="121" t="s">
        <v>6605</v>
      </c>
      <c r="C290" s="107" t="s">
        <v>6183</v>
      </c>
      <c r="D290" s="107" t="s">
        <v>6606</v>
      </c>
      <c r="E290" s="119">
        <v>4.4999999999999997E-3</v>
      </c>
      <c r="F290" s="119">
        <v>-0.20830000000000001</v>
      </c>
      <c r="G290" s="107" t="s">
        <v>5781</v>
      </c>
      <c r="H290" s="105">
        <f>_xlfn.IFNA(LEFT(D290,LEN(D290)-1)*CHOOSE(MATCH(RIGHT(D290,1), {"K","M","B"},0),1000,1000000,1000000000),D290)</f>
        <v>868240</v>
      </c>
    </row>
    <row r="291" spans="1:8" ht="15.75" customHeight="1" thickBot="1" x14ac:dyDescent="0.3">
      <c r="B291" s="123"/>
      <c r="C291" s="96"/>
      <c r="D291" s="96"/>
      <c r="E291" s="115"/>
      <c r="F291" s="115"/>
      <c r="G291" s="97"/>
      <c r="H291" s="101"/>
    </row>
    <row r="292" spans="1:8" ht="15.75" customHeight="1" thickBot="1" x14ac:dyDescent="0.3">
      <c r="B292" s="124"/>
      <c r="C292" s="98"/>
      <c r="D292" s="98"/>
      <c r="E292" s="116"/>
      <c r="F292" s="116"/>
      <c r="G292" s="99"/>
      <c r="H292" s="102"/>
    </row>
    <row r="293" spans="1:8" ht="15.75" customHeight="1" thickBot="1" x14ac:dyDescent="0.3">
      <c r="B293" s="124"/>
      <c r="C293" s="98"/>
      <c r="D293" s="98"/>
      <c r="E293" s="116"/>
      <c r="F293" s="116"/>
      <c r="G293" s="99"/>
      <c r="H293" s="102"/>
    </row>
    <row r="294" spans="1:8" ht="15.75" customHeight="1" thickBot="1" x14ac:dyDescent="0.3">
      <c r="B294" s="124"/>
      <c r="C294" s="98"/>
      <c r="D294" s="98"/>
      <c r="E294" s="116"/>
      <c r="F294" s="116"/>
      <c r="G294" s="99"/>
      <c r="H294" s="102"/>
    </row>
  </sheetData>
  <sortState xmlns:xlrd2="http://schemas.microsoft.com/office/spreadsheetml/2017/richdata2" ref="A2:G294">
    <sortCondition ref="C2:C294"/>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4044</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20" x14ac:dyDescent="0.25">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35" x14ac:dyDescent="0.25">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35" x14ac:dyDescent="0.25">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35" x14ac:dyDescent="0.25">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35" x14ac:dyDescent="0.25">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20" x14ac:dyDescent="0.25">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20" x14ac:dyDescent="0.25">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105" x14ac:dyDescent="0.25">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35" x14ac:dyDescent="0.25">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20" x14ac:dyDescent="0.25">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35" x14ac:dyDescent="0.25">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35" x14ac:dyDescent="0.25">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20" x14ac:dyDescent="0.25">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35" x14ac:dyDescent="0.25">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35" x14ac:dyDescent="0.25">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105" x14ac:dyDescent="0.25">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35" x14ac:dyDescent="0.25">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20" x14ac:dyDescent="0.25">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90" x14ac:dyDescent="0.25">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20" x14ac:dyDescent="0.25">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35" x14ac:dyDescent="0.25">
      <c r="A22" s="29" t="s">
        <v>592</v>
      </c>
      <c r="B22" s="29" t="s">
        <v>5218</v>
      </c>
      <c r="C22" s="29" t="s">
        <v>4437</v>
      </c>
      <c r="D22" s="29" t="s">
        <v>4742</v>
      </c>
      <c r="E22" s="29" t="s">
        <v>4432</v>
      </c>
      <c r="F22" s="29">
        <v>16500</v>
      </c>
      <c r="G22" s="29">
        <v>32307</v>
      </c>
      <c r="J22" s="59" t="s">
        <v>158</v>
      </c>
      <c r="L22" s="29" t="s">
        <v>5485</v>
      </c>
      <c r="M22" s="29">
        <v>1639.6</v>
      </c>
      <c r="O22" s="29">
        <v>91.2</v>
      </c>
    </row>
    <row r="23" spans="1:15" ht="135" x14ac:dyDescent="0.25">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20" x14ac:dyDescent="0.25">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90" x14ac:dyDescent="0.25">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35" x14ac:dyDescent="0.25">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35" x14ac:dyDescent="0.25">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35" x14ac:dyDescent="0.25">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35" x14ac:dyDescent="0.25">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20" x14ac:dyDescent="0.25">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35" x14ac:dyDescent="0.25">
      <c r="A31" s="29" t="s">
        <v>792</v>
      </c>
      <c r="B31" s="29" t="s">
        <v>1272</v>
      </c>
      <c r="C31" s="29" t="s">
        <v>908</v>
      </c>
      <c r="D31" s="29" t="s">
        <v>4594</v>
      </c>
      <c r="E31" s="29" t="s">
        <v>4432</v>
      </c>
      <c r="F31" s="29">
        <v>102700</v>
      </c>
      <c r="G31" s="29">
        <v>10515.6</v>
      </c>
      <c r="J31" s="52" t="s">
        <v>4037</v>
      </c>
      <c r="L31" s="29" t="s">
        <v>5304</v>
      </c>
      <c r="M31" s="29">
        <v>36047</v>
      </c>
      <c r="O31" s="29">
        <v>126</v>
      </c>
    </row>
    <row r="32" spans="1:15" ht="90" x14ac:dyDescent="0.25">
      <c r="A32" s="29" t="s">
        <v>709</v>
      </c>
      <c r="B32" s="29" t="s">
        <v>5076</v>
      </c>
      <c r="C32" s="29" t="s">
        <v>4435</v>
      </c>
      <c r="D32" s="29" t="s">
        <v>4566</v>
      </c>
      <c r="E32" s="29" t="s">
        <v>4432</v>
      </c>
      <c r="F32" s="29">
        <v>42000</v>
      </c>
      <c r="G32" s="29">
        <v>27171.8</v>
      </c>
      <c r="J32" s="52" t="s">
        <v>4037</v>
      </c>
      <c r="L32" s="29" t="s">
        <v>5306</v>
      </c>
      <c r="M32" s="29">
        <v>6383.7</v>
      </c>
      <c r="O32" s="29">
        <v>96.6</v>
      </c>
    </row>
    <row r="33" spans="1:15" ht="135" x14ac:dyDescent="0.25">
      <c r="A33" s="29" t="s">
        <v>739</v>
      </c>
      <c r="B33" s="29" t="s">
        <v>5077</v>
      </c>
      <c r="C33" s="29" t="s">
        <v>4435</v>
      </c>
      <c r="D33" s="29" t="s">
        <v>4483</v>
      </c>
      <c r="E33" s="29" t="s">
        <v>4432</v>
      </c>
      <c r="F33" s="29">
        <v>1725</v>
      </c>
      <c r="G33" s="29">
        <v>13519.1</v>
      </c>
      <c r="J33" s="52" t="s">
        <v>4037</v>
      </c>
      <c r="L33" s="29" t="s">
        <v>5307</v>
      </c>
      <c r="M33" s="29">
        <v>0</v>
      </c>
      <c r="N33" s="29">
        <v>0</v>
      </c>
      <c r="O33" s="29">
        <v>0</v>
      </c>
    </row>
    <row r="34" spans="1:15" ht="105" x14ac:dyDescent="0.25">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20" x14ac:dyDescent="0.25">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35" x14ac:dyDescent="0.25">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90" x14ac:dyDescent="0.25">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35" x14ac:dyDescent="0.25">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35" x14ac:dyDescent="0.25">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20" x14ac:dyDescent="0.25">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105" x14ac:dyDescent="0.25">
      <c r="A41" s="29" t="s">
        <v>805</v>
      </c>
      <c r="B41" s="29" t="s">
        <v>5086</v>
      </c>
      <c r="C41" s="29" t="s">
        <v>891</v>
      </c>
      <c r="D41" s="29" t="s">
        <v>4512</v>
      </c>
      <c r="E41" s="29" t="s">
        <v>4432</v>
      </c>
      <c r="F41" s="29">
        <v>2272</v>
      </c>
      <c r="G41" s="29">
        <v>12028</v>
      </c>
      <c r="J41" s="52" t="s">
        <v>4037</v>
      </c>
      <c r="L41" s="29" t="s">
        <v>5320</v>
      </c>
      <c r="M41" s="29">
        <v>7193</v>
      </c>
      <c r="O41" s="29">
        <v>118</v>
      </c>
    </row>
    <row r="42" spans="1:15" ht="105" x14ac:dyDescent="0.25">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20" x14ac:dyDescent="0.25">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20" x14ac:dyDescent="0.25">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35" x14ac:dyDescent="0.25">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35" x14ac:dyDescent="0.25">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75" x14ac:dyDescent="0.25">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35" x14ac:dyDescent="0.25">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20" x14ac:dyDescent="0.25">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35" x14ac:dyDescent="0.25">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35" x14ac:dyDescent="0.25">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35" x14ac:dyDescent="0.25">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35" x14ac:dyDescent="0.25">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35" x14ac:dyDescent="0.25">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35" x14ac:dyDescent="0.25">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35" x14ac:dyDescent="0.25">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35" x14ac:dyDescent="0.25">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35" x14ac:dyDescent="0.25">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35" x14ac:dyDescent="0.25">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20" x14ac:dyDescent="0.25">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35" x14ac:dyDescent="0.25">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35" x14ac:dyDescent="0.25">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20" x14ac:dyDescent="0.25">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35" x14ac:dyDescent="0.25">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35" x14ac:dyDescent="0.25">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35" x14ac:dyDescent="0.25">
      <c r="A66" s="29" t="s">
        <v>525</v>
      </c>
      <c r="B66" s="29" t="s">
        <v>5116</v>
      </c>
      <c r="C66" s="29" t="s">
        <v>4519</v>
      </c>
      <c r="D66" s="29" t="s">
        <v>4520</v>
      </c>
      <c r="E66" s="29" t="s">
        <v>4432</v>
      </c>
      <c r="F66" s="29">
        <v>34200</v>
      </c>
      <c r="G66" s="29">
        <v>68599.5</v>
      </c>
      <c r="J66" s="52" t="s">
        <v>4037</v>
      </c>
      <c r="L66" s="29" t="s">
        <v>5355</v>
      </c>
      <c r="M66" s="29">
        <v>7682</v>
      </c>
      <c r="O66" s="29">
        <v>92.9</v>
      </c>
    </row>
    <row r="67" spans="1:15" ht="135" x14ac:dyDescent="0.25">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20" x14ac:dyDescent="0.25">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35" x14ac:dyDescent="0.25">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20" x14ac:dyDescent="0.25">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20" x14ac:dyDescent="0.25">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35" x14ac:dyDescent="0.25">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35" x14ac:dyDescent="0.25">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105" x14ac:dyDescent="0.25">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35" x14ac:dyDescent="0.25">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105" x14ac:dyDescent="0.25">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20" x14ac:dyDescent="0.25">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35" x14ac:dyDescent="0.25">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35" x14ac:dyDescent="0.25">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20" x14ac:dyDescent="0.25">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20" x14ac:dyDescent="0.25">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35" x14ac:dyDescent="0.25">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20" x14ac:dyDescent="0.25">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35" x14ac:dyDescent="0.25">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35" x14ac:dyDescent="0.25">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35" x14ac:dyDescent="0.25">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90" x14ac:dyDescent="0.25">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35" x14ac:dyDescent="0.25">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105" x14ac:dyDescent="0.25">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35" x14ac:dyDescent="0.25">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35" x14ac:dyDescent="0.25">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35" x14ac:dyDescent="0.25">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35" x14ac:dyDescent="0.25">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35" x14ac:dyDescent="0.25">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20" x14ac:dyDescent="0.25">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35" x14ac:dyDescent="0.25">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20" x14ac:dyDescent="0.25">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35" x14ac:dyDescent="0.25">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90" x14ac:dyDescent="0.25">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90" x14ac:dyDescent="0.25">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20" x14ac:dyDescent="0.25">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20" x14ac:dyDescent="0.25">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20" x14ac:dyDescent="0.25">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35" x14ac:dyDescent="0.25">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5" x14ac:dyDescent="0.25">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35" x14ac:dyDescent="0.25">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35" x14ac:dyDescent="0.25">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35" x14ac:dyDescent="0.25">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35" x14ac:dyDescent="0.25">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20" x14ac:dyDescent="0.25">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35" x14ac:dyDescent="0.25">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5" x14ac:dyDescent="0.25">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35" x14ac:dyDescent="0.25">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20" x14ac:dyDescent="0.25">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35" x14ac:dyDescent="0.25">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35" x14ac:dyDescent="0.25">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20" x14ac:dyDescent="0.25">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105" x14ac:dyDescent="0.25">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35" x14ac:dyDescent="0.25">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35" x14ac:dyDescent="0.25">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20" x14ac:dyDescent="0.25">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35" x14ac:dyDescent="0.25">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5" x14ac:dyDescent="0.25">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35" x14ac:dyDescent="0.25">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5" x14ac:dyDescent="0.25">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20" x14ac:dyDescent="0.25">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20" x14ac:dyDescent="0.25">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35" x14ac:dyDescent="0.25">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35" x14ac:dyDescent="0.25">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5" x14ac:dyDescent="0.25">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35" x14ac:dyDescent="0.25">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20" x14ac:dyDescent="0.25">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35" x14ac:dyDescent="0.25">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5" x14ac:dyDescent="0.25">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35" x14ac:dyDescent="0.25">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35" x14ac:dyDescent="0.25">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35" x14ac:dyDescent="0.25">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5" x14ac:dyDescent="0.25">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35" x14ac:dyDescent="0.25">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35" x14ac:dyDescent="0.25">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35" x14ac:dyDescent="0.25">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35" x14ac:dyDescent="0.25">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20" x14ac:dyDescent="0.25">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35" x14ac:dyDescent="0.25">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35" x14ac:dyDescent="0.25">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35" x14ac:dyDescent="0.25">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35" x14ac:dyDescent="0.25">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20" x14ac:dyDescent="0.25">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35" x14ac:dyDescent="0.25">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35" x14ac:dyDescent="0.25">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20" x14ac:dyDescent="0.25">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20" x14ac:dyDescent="0.25">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20" x14ac:dyDescent="0.25">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35" x14ac:dyDescent="0.25">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35" x14ac:dyDescent="0.25">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35" x14ac:dyDescent="0.25">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20" x14ac:dyDescent="0.25">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35" x14ac:dyDescent="0.25">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35" x14ac:dyDescent="0.25">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35" x14ac:dyDescent="0.25">
      <c r="A160" s="29" t="s">
        <v>510</v>
      </c>
      <c r="B160" s="29" t="s">
        <v>509</v>
      </c>
      <c r="C160" s="29" t="s">
        <v>4519</v>
      </c>
      <c r="D160" s="29" t="s">
        <v>5213</v>
      </c>
      <c r="E160" s="29" t="s">
        <v>4432</v>
      </c>
      <c r="F160" s="29">
        <v>7100</v>
      </c>
      <c r="G160" s="29">
        <v>90875.8</v>
      </c>
      <c r="J160" s="59" t="s">
        <v>4037</v>
      </c>
      <c r="L160" s="29" t="s">
        <v>5478</v>
      </c>
      <c r="M160" s="29">
        <v>27022</v>
      </c>
      <c r="O160" s="29">
        <v>104.9</v>
      </c>
    </row>
    <row r="161" spans="1:15" ht="135" x14ac:dyDescent="0.25">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20" x14ac:dyDescent="0.25">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5" x14ac:dyDescent="0.25">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35" x14ac:dyDescent="0.25">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35" x14ac:dyDescent="0.25">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20" x14ac:dyDescent="0.25">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20" x14ac:dyDescent="0.25">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5" x14ac:dyDescent="0.25">
      <c r="A168" s="29" t="s">
        <v>758</v>
      </c>
      <c r="B168" s="29" t="s">
        <v>5223</v>
      </c>
      <c r="C168" s="29" t="s">
        <v>4437</v>
      </c>
      <c r="D168" s="29" t="s">
        <v>4459</v>
      </c>
      <c r="E168" s="29" t="s">
        <v>4432</v>
      </c>
      <c r="F168" s="29">
        <v>2808</v>
      </c>
      <c r="G168" s="29">
        <v>14744.4</v>
      </c>
      <c r="J168" s="59" t="s">
        <v>4037</v>
      </c>
      <c r="L168" s="29" t="s">
        <v>5490</v>
      </c>
      <c r="M168" s="29">
        <v>2779</v>
      </c>
      <c r="O168" s="29">
        <v>109.1</v>
      </c>
    </row>
    <row r="169" spans="1:15" ht="135" x14ac:dyDescent="0.25">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35" x14ac:dyDescent="0.25">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35" x14ac:dyDescent="0.25">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90" x14ac:dyDescent="0.25">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35" x14ac:dyDescent="0.25">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35" x14ac:dyDescent="0.25">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90" x14ac:dyDescent="0.25">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35" x14ac:dyDescent="0.25">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35" x14ac:dyDescent="0.25">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90" x14ac:dyDescent="0.25">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35" x14ac:dyDescent="0.25">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35" x14ac:dyDescent="0.25">
      <c r="A180" s="29" t="s">
        <v>829</v>
      </c>
      <c r="B180" s="29" t="s">
        <v>5233</v>
      </c>
      <c r="C180" s="29" t="s">
        <v>4435</v>
      </c>
      <c r="D180" s="29" t="s">
        <v>4591</v>
      </c>
      <c r="E180" s="29" t="s">
        <v>4432</v>
      </c>
      <c r="F180" s="29">
        <v>9950</v>
      </c>
      <c r="G180" s="29">
        <v>7791.6</v>
      </c>
      <c r="J180" s="61" t="s">
        <v>4037</v>
      </c>
      <c r="L180" s="29" t="s">
        <v>5503</v>
      </c>
      <c r="M180" s="29">
        <v>9259</v>
      </c>
      <c r="O180" s="29">
        <v>121.2</v>
      </c>
    </row>
    <row r="181" spans="1:15" ht="135" x14ac:dyDescent="0.25">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35" x14ac:dyDescent="0.25">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20" x14ac:dyDescent="0.25">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35" x14ac:dyDescent="0.25">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105" x14ac:dyDescent="0.25">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20" x14ac:dyDescent="0.25">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35" x14ac:dyDescent="0.25">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35" x14ac:dyDescent="0.25">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35" x14ac:dyDescent="0.25">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35" x14ac:dyDescent="0.25">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90" x14ac:dyDescent="0.25">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35" x14ac:dyDescent="0.25">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35" x14ac:dyDescent="0.25">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35" x14ac:dyDescent="0.25">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105" x14ac:dyDescent="0.25">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35" x14ac:dyDescent="0.25">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20" x14ac:dyDescent="0.25">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20" x14ac:dyDescent="0.25">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20" x14ac:dyDescent="0.25">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90" x14ac:dyDescent="0.25">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35" x14ac:dyDescent="0.25">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35" x14ac:dyDescent="0.25">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35" x14ac:dyDescent="0.25">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5" x14ac:dyDescent="0.25">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35" x14ac:dyDescent="0.25">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35" x14ac:dyDescent="0.25">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20" x14ac:dyDescent="0.25">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35" x14ac:dyDescent="0.25">
      <c r="A208" s="29" t="s">
        <v>807</v>
      </c>
      <c r="B208" s="29" t="s">
        <v>1288</v>
      </c>
      <c r="C208" s="29" t="s">
        <v>4430</v>
      </c>
      <c r="D208" s="29" t="s">
        <v>4466</v>
      </c>
      <c r="E208" s="29" t="s">
        <v>4432</v>
      </c>
      <c r="F208" s="29">
        <v>16500</v>
      </c>
      <c r="G208" s="29">
        <v>9733.9</v>
      </c>
      <c r="J208" s="61" t="s">
        <v>4037</v>
      </c>
      <c r="L208" s="29" t="s">
        <v>5539</v>
      </c>
      <c r="M208" s="29">
        <v>3315.4</v>
      </c>
      <c r="O208" s="29">
        <v>96.3</v>
      </c>
    </row>
    <row r="209" spans="1:15" ht="135" x14ac:dyDescent="0.25">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5" x14ac:dyDescent="0.25">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20" x14ac:dyDescent="0.25">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90" x14ac:dyDescent="0.25">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35" x14ac:dyDescent="0.25">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35" x14ac:dyDescent="0.25">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35" x14ac:dyDescent="0.25">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35" x14ac:dyDescent="0.25">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20" x14ac:dyDescent="0.25">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35" x14ac:dyDescent="0.25">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35" x14ac:dyDescent="0.25">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35" x14ac:dyDescent="0.25">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20" x14ac:dyDescent="0.25">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20" x14ac:dyDescent="0.25">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35" x14ac:dyDescent="0.25">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35" x14ac:dyDescent="0.25">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35" x14ac:dyDescent="0.25">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35" x14ac:dyDescent="0.25">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35" x14ac:dyDescent="0.25">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20" x14ac:dyDescent="0.25">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35" x14ac:dyDescent="0.25">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35" x14ac:dyDescent="0.25">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35" x14ac:dyDescent="0.25">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35" x14ac:dyDescent="0.25">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35" x14ac:dyDescent="0.25">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20" x14ac:dyDescent="0.25">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35" x14ac:dyDescent="0.25">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20" x14ac:dyDescent="0.25">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35" x14ac:dyDescent="0.25">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35" x14ac:dyDescent="0.25">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20" x14ac:dyDescent="0.25">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35" x14ac:dyDescent="0.25">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20" x14ac:dyDescent="0.25">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35" x14ac:dyDescent="0.25">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35" x14ac:dyDescent="0.25">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35" x14ac:dyDescent="0.25">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35" x14ac:dyDescent="0.25">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35" x14ac:dyDescent="0.25">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35" x14ac:dyDescent="0.25">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5" x14ac:dyDescent="0.25">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35" x14ac:dyDescent="0.25">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35" x14ac:dyDescent="0.25">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20" x14ac:dyDescent="0.25">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35" x14ac:dyDescent="0.25">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35" x14ac:dyDescent="0.25">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20" x14ac:dyDescent="0.25">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20" x14ac:dyDescent="0.25">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35" x14ac:dyDescent="0.25">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35" x14ac:dyDescent="0.25">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35" x14ac:dyDescent="0.25">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20" x14ac:dyDescent="0.25">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20" x14ac:dyDescent="0.25">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35" x14ac:dyDescent="0.25">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20" x14ac:dyDescent="0.25">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35" x14ac:dyDescent="0.25">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35" x14ac:dyDescent="0.25">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35" x14ac:dyDescent="0.25">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35" x14ac:dyDescent="0.25">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20" x14ac:dyDescent="0.25">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35" x14ac:dyDescent="0.25">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20" x14ac:dyDescent="0.25">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35" x14ac:dyDescent="0.25">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20" x14ac:dyDescent="0.25">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35" x14ac:dyDescent="0.25">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20" x14ac:dyDescent="0.25">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20" x14ac:dyDescent="0.25">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20" x14ac:dyDescent="0.25">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35" x14ac:dyDescent="0.25">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20" x14ac:dyDescent="0.25">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20" x14ac:dyDescent="0.25">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35" x14ac:dyDescent="0.25">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20" x14ac:dyDescent="0.25">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35" x14ac:dyDescent="0.25">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35" x14ac:dyDescent="0.25">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35" x14ac:dyDescent="0.25">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35" x14ac:dyDescent="0.25">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35" x14ac:dyDescent="0.25">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35" x14ac:dyDescent="0.25">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90" x14ac:dyDescent="0.25">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20" x14ac:dyDescent="0.25">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20" x14ac:dyDescent="0.25">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35" x14ac:dyDescent="0.25">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35" x14ac:dyDescent="0.25">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20" x14ac:dyDescent="0.25">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35" x14ac:dyDescent="0.25">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35" x14ac:dyDescent="0.25">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5" x14ac:dyDescent="0.25">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20" x14ac:dyDescent="0.25">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20" x14ac:dyDescent="0.25">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35" x14ac:dyDescent="0.25">
      <c r="A298" s="29" t="s">
        <v>689</v>
      </c>
      <c r="B298" s="29" t="s">
        <v>5148</v>
      </c>
      <c r="C298" s="29" t="s">
        <v>910</v>
      </c>
      <c r="D298" s="29" t="s">
        <v>4452</v>
      </c>
      <c r="E298" s="29" t="s">
        <v>4432</v>
      </c>
      <c r="F298" s="29">
        <v>13400</v>
      </c>
      <c r="G298" s="29">
        <v>21561.3</v>
      </c>
      <c r="L298" s="29" t="s">
        <v>5398</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96" x14ac:dyDescent="0.2">
      <c r="A2" s="37" t="s">
        <v>1334</v>
      </c>
      <c r="B2" s="38" t="s">
        <v>4482</v>
      </c>
      <c r="C2" s="38" t="s">
        <v>4435</v>
      </c>
      <c r="D2" s="38" t="s">
        <v>4483</v>
      </c>
      <c r="E2" s="38" t="s">
        <v>4432</v>
      </c>
      <c r="F2" s="37">
        <v>7400</v>
      </c>
      <c r="G2" s="37">
        <v>9749.9</v>
      </c>
      <c r="J2" s="39" t="s">
        <v>158</v>
      </c>
      <c r="L2" s="38" t="s">
        <v>4782</v>
      </c>
      <c r="M2" s="37">
        <v>717.5</v>
      </c>
      <c r="N2" s="37">
        <v>66.7</v>
      </c>
      <c r="O2" s="37">
        <v>40</v>
      </c>
    </row>
    <row r="3" spans="1:16" ht="84" x14ac:dyDescent="0.2">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96" x14ac:dyDescent="0.2">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84" x14ac:dyDescent="0.2">
      <c r="A5" s="37" t="s">
        <v>1539</v>
      </c>
      <c r="B5" s="38" t="s">
        <v>4530</v>
      </c>
      <c r="C5" s="38" t="s">
        <v>908</v>
      </c>
      <c r="D5" s="38" t="s">
        <v>4507</v>
      </c>
      <c r="E5" s="38" t="s">
        <v>4432</v>
      </c>
      <c r="F5" s="37">
        <v>13100</v>
      </c>
      <c r="G5" s="37">
        <v>6806.6</v>
      </c>
      <c r="J5" s="39" t="s">
        <v>158</v>
      </c>
      <c r="L5" s="38" t="s">
        <v>4819</v>
      </c>
      <c r="M5" s="37">
        <v>548.1</v>
      </c>
      <c r="N5" s="37">
        <v>49.1</v>
      </c>
      <c r="O5" s="37">
        <v>32.9</v>
      </c>
    </row>
    <row r="6" spans="1:16" ht="96" x14ac:dyDescent="0.2">
      <c r="A6" s="37" t="s">
        <v>1349</v>
      </c>
      <c r="B6" s="38" t="s">
        <v>4550</v>
      </c>
      <c r="C6" s="38" t="s">
        <v>4437</v>
      </c>
      <c r="D6" s="38" t="s">
        <v>4459</v>
      </c>
      <c r="E6" s="38" t="s">
        <v>4432</v>
      </c>
      <c r="F6" s="37">
        <v>3650</v>
      </c>
      <c r="G6" s="37">
        <v>11308.4</v>
      </c>
      <c r="J6" s="39" t="s">
        <v>158</v>
      </c>
      <c r="L6" s="38" t="s">
        <v>4841</v>
      </c>
      <c r="M6" s="37">
        <v>1009</v>
      </c>
      <c r="O6" s="37">
        <v>112.4</v>
      </c>
    </row>
    <row r="7" spans="1:16" ht="96" x14ac:dyDescent="0.2">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96" x14ac:dyDescent="0.2">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96" x14ac:dyDescent="0.2">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72" x14ac:dyDescent="0.2">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84" x14ac:dyDescent="0.2">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84" x14ac:dyDescent="0.2">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96" x14ac:dyDescent="0.2">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84" x14ac:dyDescent="0.2">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84" x14ac:dyDescent="0.2">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84" x14ac:dyDescent="0.2">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72" x14ac:dyDescent="0.2">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84" x14ac:dyDescent="0.2">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84" x14ac:dyDescent="0.2">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96" x14ac:dyDescent="0.2">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84" x14ac:dyDescent="0.2">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84" x14ac:dyDescent="0.2">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96" x14ac:dyDescent="0.2">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84" x14ac:dyDescent="0.2">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84" x14ac:dyDescent="0.2">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84" x14ac:dyDescent="0.2">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96" x14ac:dyDescent="0.2">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96" x14ac:dyDescent="0.2">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84" x14ac:dyDescent="0.2">
      <c r="A39" s="37" t="s">
        <v>1387</v>
      </c>
      <c r="B39" s="38" t="s">
        <v>4469</v>
      </c>
      <c r="C39" s="38" t="s">
        <v>908</v>
      </c>
      <c r="D39" s="38" t="s">
        <v>4470</v>
      </c>
      <c r="E39" s="38" t="s">
        <v>4432</v>
      </c>
      <c r="F39" s="37">
        <v>1710</v>
      </c>
      <c r="G39" s="37">
        <v>8776.9</v>
      </c>
      <c r="J39" s="39" t="s">
        <v>4037</v>
      </c>
      <c r="L39" s="38" t="s">
        <v>4773</v>
      </c>
      <c r="M39" s="37">
        <v>0</v>
      </c>
      <c r="N39" s="37">
        <v>0</v>
      </c>
      <c r="O39" s="37">
        <v>0</v>
      </c>
    </row>
    <row r="40" spans="1:15" ht="84" x14ac:dyDescent="0.2">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84" x14ac:dyDescent="0.2">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
      <c r="A42" s="37" t="s">
        <v>1931</v>
      </c>
      <c r="B42" s="38" t="s">
        <v>4474</v>
      </c>
      <c r="C42" s="38" t="s">
        <v>908</v>
      </c>
      <c r="D42" s="38" t="s">
        <v>4445</v>
      </c>
      <c r="E42" s="38" t="s">
        <v>4432</v>
      </c>
      <c r="F42" s="37">
        <v>73700</v>
      </c>
      <c r="G42" s="37">
        <v>3371</v>
      </c>
      <c r="J42" s="39" t="s">
        <v>4037</v>
      </c>
      <c r="L42" s="38" t="s">
        <v>4776</v>
      </c>
      <c r="M42" s="37">
        <v>2701.1</v>
      </c>
      <c r="O42" s="37">
        <v>95.7</v>
      </c>
    </row>
    <row r="43" spans="1:15" ht="96" x14ac:dyDescent="0.2">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84" x14ac:dyDescent="0.2">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84" x14ac:dyDescent="0.2">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72" x14ac:dyDescent="0.2">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84" x14ac:dyDescent="0.2">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96" x14ac:dyDescent="0.2">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96" x14ac:dyDescent="0.2">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84" x14ac:dyDescent="0.2">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84" x14ac:dyDescent="0.2">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96" x14ac:dyDescent="0.2">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96" x14ac:dyDescent="0.2">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84" x14ac:dyDescent="0.2">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84" x14ac:dyDescent="0.2">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84" x14ac:dyDescent="0.2">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96" x14ac:dyDescent="0.2">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84" x14ac:dyDescent="0.2">
      <c r="A59" s="37" t="s">
        <v>1322</v>
      </c>
      <c r="B59" s="38" t="s">
        <v>4499</v>
      </c>
      <c r="C59" s="38" t="s">
        <v>908</v>
      </c>
      <c r="D59" s="38" t="s">
        <v>4498</v>
      </c>
      <c r="E59" s="38" t="s">
        <v>4432</v>
      </c>
      <c r="F59" s="37">
        <v>2055</v>
      </c>
      <c r="G59" s="37">
        <v>11239.1</v>
      </c>
      <c r="J59" s="39" t="s">
        <v>4037</v>
      </c>
      <c r="L59" s="38" t="s">
        <v>4796</v>
      </c>
      <c r="M59" s="37">
        <v>0</v>
      </c>
      <c r="N59" s="37">
        <v>0</v>
      </c>
      <c r="O59" s="37">
        <v>0</v>
      </c>
    </row>
    <row r="60" spans="1:15" ht="84" x14ac:dyDescent="0.2">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84" x14ac:dyDescent="0.2">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
      <c r="A62" s="37" t="s">
        <v>1746</v>
      </c>
      <c r="J62" s="39" t="s">
        <v>4037</v>
      </c>
    </row>
    <row r="63" spans="1:15" ht="84" x14ac:dyDescent="0.2">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84" x14ac:dyDescent="0.2">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72" x14ac:dyDescent="0.2">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84" x14ac:dyDescent="0.2">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84" x14ac:dyDescent="0.2">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84" x14ac:dyDescent="0.2">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84" x14ac:dyDescent="0.2">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84" x14ac:dyDescent="0.2">
      <c r="A70" s="37" t="s">
        <v>1597</v>
      </c>
      <c r="B70" s="38" t="s">
        <v>4515</v>
      </c>
      <c r="C70" s="38" t="s">
        <v>4441</v>
      </c>
      <c r="D70" s="38" t="s">
        <v>4516</v>
      </c>
      <c r="E70" s="38" t="s">
        <v>4432</v>
      </c>
      <c r="F70" s="37">
        <v>7275</v>
      </c>
      <c r="G70" s="37">
        <v>5681.1</v>
      </c>
      <c r="J70" s="39" t="s">
        <v>4037</v>
      </c>
      <c r="L70" s="38" t="s">
        <v>4807</v>
      </c>
      <c r="M70" s="37">
        <v>0</v>
      </c>
      <c r="N70" s="37">
        <v>0</v>
      </c>
      <c r="O70" s="37">
        <v>0</v>
      </c>
    </row>
    <row r="71" spans="1:15" ht="84" x14ac:dyDescent="0.2">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84" x14ac:dyDescent="0.2">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84" x14ac:dyDescent="0.2">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84" x14ac:dyDescent="0.2">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84" x14ac:dyDescent="0.2">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72" x14ac:dyDescent="0.2">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84" x14ac:dyDescent="0.2">
      <c r="A78" s="37" t="s">
        <v>1939</v>
      </c>
      <c r="B78" s="38" t="s">
        <v>4527</v>
      </c>
      <c r="C78" s="38" t="s">
        <v>4437</v>
      </c>
      <c r="D78" s="38" t="s">
        <v>4459</v>
      </c>
      <c r="E78" s="38" t="s">
        <v>4432</v>
      </c>
      <c r="F78" s="37">
        <v>2671</v>
      </c>
      <c r="G78" s="37">
        <v>3052.3</v>
      </c>
      <c r="J78" s="46" t="s">
        <v>4037</v>
      </c>
      <c r="L78" s="38" t="s">
        <v>4816</v>
      </c>
      <c r="M78" s="37">
        <v>0</v>
      </c>
      <c r="N78" s="37">
        <v>0</v>
      </c>
      <c r="O78" s="37">
        <v>0</v>
      </c>
    </row>
    <row r="79" spans="1:15" ht="96" x14ac:dyDescent="0.2">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96" x14ac:dyDescent="0.2">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72" x14ac:dyDescent="0.2">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72" x14ac:dyDescent="0.2">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84" x14ac:dyDescent="0.2">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72" x14ac:dyDescent="0.2">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84" x14ac:dyDescent="0.2">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96" x14ac:dyDescent="0.2">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84" x14ac:dyDescent="0.2">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84" x14ac:dyDescent="0.2">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84" x14ac:dyDescent="0.2">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84" x14ac:dyDescent="0.2">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84" x14ac:dyDescent="0.2">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84" x14ac:dyDescent="0.2">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96" x14ac:dyDescent="0.2">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84" x14ac:dyDescent="0.2">
      <c r="A98" s="37" t="s">
        <v>1532</v>
      </c>
      <c r="B98" s="38" t="s">
        <v>1533</v>
      </c>
      <c r="C98" s="38" t="s">
        <v>872</v>
      </c>
      <c r="D98" s="38" t="s">
        <v>4462</v>
      </c>
      <c r="E98" s="38" t="s">
        <v>4432</v>
      </c>
      <c r="F98" s="37">
        <v>1400</v>
      </c>
      <c r="G98" s="37">
        <v>6862.9</v>
      </c>
      <c r="J98" s="39" t="s">
        <v>4037</v>
      </c>
      <c r="L98" s="38" t="s">
        <v>4839</v>
      </c>
      <c r="M98" s="37">
        <v>0</v>
      </c>
      <c r="N98" s="37">
        <v>0</v>
      </c>
      <c r="O98" s="37">
        <v>0</v>
      </c>
    </row>
    <row r="99" spans="1:15" ht="84" x14ac:dyDescent="0.2">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84" x14ac:dyDescent="0.2">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84" x14ac:dyDescent="0.2">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96" x14ac:dyDescent="0.2">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84" x14ac:dyDescent="0.2">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96" x14ac:dyDescent="0.2">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84" x14ac:dyDescent="0.2">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84" x14ac:dyDescent="0.2">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84" x14ac:dyDescent="0.2">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72" x14ac:dyDescent="0.2">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84" x14ac:dyDescent="0.2">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96" x14ac:dyDescent="0.2">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84" x14ac:dyDescent="0.2">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72" x14ac:dyDescent="0.2">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84" x14ac:dyDescent="0.2">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96" x14ac:dyDescent="0.2">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84" x14ac:dyDescent="0.2">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84" x14ac:dyDescent="0.2">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84" x14ac:dyDescent="0.2">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72" x14ac:dyDescent="0.2">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84" x14ac:dyDescent="0.2">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72" x14ac:dyDescent="0.2">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72" x14ac:dyDescent="0.2">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96" x14ac:dyDescent="0.2">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84" x14ac:dyDescent="0.2">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84" x14ac:dyDescent="0.2">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84" x14ac:dyDescent="0.2">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84" x14ac:dyDescent="0.2">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84" x14ac:dyDescent="0.2">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96" x14ac:dyDescent="0.2">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84" x14ac:dyDescent="0.2">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72" x14ac:dyDescent="0.2">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84" x14ac:dyDescent="0.2">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84" x14ac:dyDescent="0.2">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96" x14ac:dyDescent="0.2">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96" x14ac:dyDescent="0.2">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84" x14ac:dyDescent="0.2">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84" x14ac:dyDescent="0.2">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84" x14ac:dyDescent="0.2">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96" x14ac:dyDescent="0.2">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60" x14ac:dyDescent="0.2">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84" x14ac:dyDescent="0.2">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96" x14ac:dyDescent="0.2">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84" x14ac:dyDescent="0.2">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84" x14ac:dyDescent="0.2">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96" x14ac:dyDescent="0.2">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96" x14ac:dyDescent="0.2">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84" x14ac:dyDescent="0.2">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72" x14ac:dyDescent="0.2">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72" x14ac:dyDescent="0.2">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96" x14ac:dyDescent="0.2">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84" x14ac:dyDescent="0.2">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96" x14ac:dyDescent="0.2">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96" x14ac:dyDescent="0.2">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96" x14ac:dyDescent="0.2">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96" x14ac:dyDescent="0.2">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84" x14ac:dyDescent="0.2">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96" x14ac:dyDescent="0.2">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84" x14ac:dyDescent="0.2">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96" x14ac:dyDescent="0.2">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84" x14ac:dyDescent="0.2">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84" x14ac:dyDescent="0.2">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96" x14ac:dyDescent="0.2">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96" x14ac:dyDescent="0.2">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72" x14ac:dyDescent="0.2">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84" x14ac:dyDescent="0.2">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96" x14ac:dyDescent="0.2">
      <c r="A180" s="37" t="s">
        <v>1907</v>
      </c>
      <c r="B180" s="38" t="s">
        <v>1908</v>
      </c>
      <c r="C180" s="38" t="s">
        <v>872</v>
      </c>
      <c r="D180" s="38" t="s">
        <v>4547</v>
      </c>
      <c r="E180" s="38" t="s">
        <v>4432</v>
      </c>
      <c r="F180" s="37">
        <v>5560</v>
      </c>
      <c r="G180" s="37">
        <v>2605.4</v>
      </c>
      <c r="J180" s="46" t="s">
        <v>4037</v>
      </c>
      <c r="L180" s="38" t="s">
        <v>4926</v>
      </c>
      <c r="M180" s="37">
        <v>75629</v>
      </c>
      <c r="O180" s="37">
        <v>96.5</v>
      </c>
    </row>
    <row r="181" spans="1:15" ht="96" x14ac:dyDescent="0.2">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96" x14ac:dyDescent="0.2">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84" x14ac:dyDescent="0.2">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72" x14ac:dyDescent="0.2">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96" x14ac:dyDescent="0.2">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84" x14ac:dyDescent="0.2">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84" x14ac:dyDescent="0.2">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96" x14ac:dyDescent="0.2">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84" x14ac:dyDescent="0.2">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84" x14ac:dyDescent="0.2">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84" x14ac:dyDescent="0.2">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96" x14ac:dyDescent="0.2">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84" x14ac:dyDescent="0.2">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84" x14ac:dyDescent="0.2">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72" x14ac:dyDescent="0.2">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84" x14ac:dyDescent="0.2">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84" x14ac:dyDescent="0.2">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84" x14ac:dyDescent="0.2">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96" x14ac:dyDescent="0.2">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84" x14ac:dyDescent="0.2">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84" x14ac:dyDescent="0.2">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84" x14ac:dyDescent="0.2">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84" x14ac:dyDescent="0.2">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96" x14ac:dyDescent="0.2">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84" x14ac:dyDescent="0.2">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84" x14ac:dyDescent="0.2">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84" x14ac:dyDescent="0.2">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96" x14ac:dyDescent="0.2">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84" x14ac:dyDescent="0.2">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84" x14ac:dyDescent="0.2">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84" x14ac:dyDescent="0.2">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84" x14ac:dyDescent="0.2">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84" x14ac:dyDescent="0.2">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84" x14ac:dyDescent="0.2">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84" x14ac:dyDescent="0.2">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84" x14ac:dyDescent="0.2">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84" x14ac:dyDescent="0.2">
      <c r="A229" s="37" t="s">
        <v>1991</v>
      </c>
      <c r="B229" s="38" t="s">
        <v>1992</v>
      </c>
      <c r="C229" s="38" t="s">
        <v>4437</v>
      </c>
      <c r="D229" s="38" t="s">
        <v>4459</v>
      </c>
      <c r="E229" s="38" t="s">
        <v>4432</v>
      </c>
      <c r="F229" s="37">
        <v>7531</v>
      </c>
      <c r="G229" s="37">
        <v>2830.1</v>
      </c>
      <c r="J229" s="46" t="s">
        <v>4037</v>
      </c>
      <c r="L229" s="38" t="s">
        <v>4983</v>
      </c>
      <c r="M229" s="37">
        <v>4727.8</v>
      </c>
      <c r="O229" s="37">
        <v>108.3</v>
      </c>
    </row>
    <row r="230" spans="1:15" ht="84" x14ac:dyDescent="0.2">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84" x14ac:dyDescent="0.2">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84" x14ac:dyDescent="0.2">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84" x14ac:dyDescent="0.2">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84" x14ac:dyDescent="0.2">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96" x14ac:dyDescent="0.2">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72" x14ac:dyDescent="0.2">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84" x14ac:dyDescent="0.2">
      <c r="A237" s="37" t="s">
        <v>1594</v>
      </c>
      <c r="B237" s="38" t="s">
        <v>1595</v>
      </c>
      <c r="C237" s="38" t="s">
        <v>4441</v>
      </c>
      <c r="D237" s="38" t="s">
        <v>4486</v>
      </c>
      <c r="E237" s="38" t="s">
        <v>4432</v>
      </c>
      <c r="F237" s="37">
        <v>9000</v>
      </c>
      <c r="G237" s="37">
        <v>5480.9</v>
      </c>
      <c r="J237" s="39" t="s">
        <v>4037</v>
      </c>
      <c r="L237" s="38" t="s">
        <v>4992</v>
      </c>
      <c r="M237" s="37">
        <v>8802</v>
      </c>
      <c r="O237" s="37">
        <v>136.1</v>
      </c>
    </row>
    <row r="238" spans="1:15" ht="84" x14ac:dyDescent="0.2">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84" x14ac:dyDescent="0.2">
      <c r="A239" s="37" t="s">
        <v>1893</v>
      </c>
      <c r="B239" s="38" t="s">
        <v>1894</v>
      </c>
      <c r="C239" s="38" t="s">
        <v>4441</v>
      </c>
      <c r="D239" s="38" t="s">
        <v>4694</v>
      </c>
      <c r="E239" s="38" t="s">
        <v>4432</v>
      </c>
      <c r="F239" s="37">
        <v>1950</v>
      </c>
      <c r="G239" s="37">
        <v>3266.5</v>
      </c>
      <c r="J239" s="46" t="s">
        <v>4037</v>
      </c>
      <c r="L239" s="38" t="s">
        <v>4995</v>
      </c>
      <c r="M239" s="37">
        <v>2627.8</v>
      </c>
      <c r="O239" s="37">
        <v>160.9</v>
      </c>
    </row>
    <row r="240" spans="1:15" ht="96" x14ac:dyDescent="0.2">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84" x14ac:dyDescent="0.2">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84" x14ac:dyDescent="0.2">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84" x14ac:dyDescent="0.2">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96" x14ac:dyDescent="0.2">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84" x14ac:dyDescent="0.2">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72" x14ac:dyDescent="0.2">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84" x14ac:dyDescent="0.2">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72" x14ac:dyDescent="0.2">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96" x14ac:dyDescent="0.2">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84" x14ac:dyDescent="0.2">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84" x14ac:dyDescent="0.2">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84" x14ac:dyDescent="0.2">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84" x14ac:dyDescent="0.2">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84" x14ac:dyDescent="0.2">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84" x14ac:dyDescent="0.2">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72" x14ac:dyDescent="0.2">
      <c r="A259" s="37" t="s">
        <v>1441</v>
      </c>
      <c r="B259" s="38" t="s">
        <v>1442</v>
      </c>
      <c r="C259" s="38" t="s">
        <v>4435</v>
      </c>
      <c r="D259" s="38" t="s">
        <v>4436</v>
      </c>
      <c r="E259" s="38" t="s">
        <v>4432</v>
      </c>
      <c r="F259" s="37">
        <v>85800</v>
      </c>
      <c r="G259" s="37">
        <v>8125.5</v>
      </c>
      <c r="J259" s="39" t="s">
        <v>4037</v>
      </c>
      <c r="L259" s="38" t="s">
        <v>5017</v>
      </c>
      <c r="M259" s="37">
        <v>14009</v>
      </c>
      <c r="O259" s="37">
        <v>95.1</v>
      </c>
    </row>
    <row r="260" spans="1:15" ht="84" x14ac:dyDescent="0.2">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84" x14ac:dyDescent="0.2">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
      <c r="A263" s="37" t="s">
        <v>1768</v>
      </c>
      <c r="B263" s="38" t="s">
        <v>4713</v>
      </c>
      <c r="C263" s="38" t="s">
        <v>4441</v>
      </c>
      <c r="D263" s="38" t="s">
        <v>4502</v>
      </c>
      <c r="E263" s="38" t="s">
        <v>4432</v>
      </c>
      <c r="F263" s="37">
        <v>15500</v>
      </c>
      <c r="G263" s="37">
        <v>4766</v>
      </c>
      <c r="J263" s="39" t="s">
        <v>4037</v>
      </c>
      <c r="L263" s="38" t="s">
        <v>5021</v>
      </c>
      <c r="M263" s="37">
        <v>5343</v>
      </c>
      <c r="O263" s="37">
        <v>119.1</v>
      </c>
    </row>
    <row r="264" spans="1:15" ht="84" x14ac:dyDescent="0.2">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84" x14ac:dyDescent="0.2">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84" x14ac:dyDescent="0.2">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84" x14ac:dyDescent="0.2">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96" x14ac:dyDescent="0.2">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84" x14ac:dyDescent="0.2">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84" x14ac:dyDescent="0.2">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96" x14ac:dyDescent="0.2">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72" x14ac:dyDescent="0.2">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84" x14ac:dyDescent="0.2">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84" x14ac:dyDescent="0.2">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84" x14ac:dyDescent="0.2">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96" x14ac:dyDescent="0.2">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84" x14ac:dyDescent="0.2">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72" x14ac:dyDescent="0.2">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84" x14ac:dyDescent="0.2">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84" x14ac:dyDescent="0.2">
      <c r="A282" s="37" t="s">
        <v>1581</v>
      </c>
      <c r="B282" s="38" t="s">
        <v>1582</v>
      </c>
      <c r="C282" s="38" t="s">
        <v>4430</v>
      </c>
      <c r="D282" s="38" t="s">
        <v>4494</v>
      </c>
      <c r="E282" s="38" t="s">
        <v>4432</v>
      </c>
      <c r="F282" s="37">
        <v>9800</v>
      </c>
      <c r="G282" s="37">
        <v>5966.3</v>
      </c>
      <c r="J282" s="39" t="s">
        <v>4037</v>
      </c>
      <c r="L282" s="38" t="s">
        <v>5045</v>
      </c>
      <c r="M282" s="37">
        <v>1855</v>
      </c>
      <c r="O282" s="37">
        <v>93.2</v>
      </c>
    </row>
    <row r="283" spans="1:15" ht="84" x14ac:dyDescent="0.2">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84" x14ac:dyDescent="0.2">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96" x14ac:dyDescent="0.2">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84" x14ac:dyDescent="0.2">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84" x14ac:dyDescent="0.2">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84" x14ac:dyDescent="0.2">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84" x14ac:dyDescent="0.2">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72" x14ac:dyDescent="0.2">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84" x14ac:dyDescent="0.2">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84" x14ac:dyDescent="0.2">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84" x14ac:dyDescent="0.2">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96" x14ac:dyDescent="0.2">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96" x14ac:dyDescent="0.2">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84" x14ac:dyDescent="0.2">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72" x14ac:dyDescent="0.2">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84" x14ac:dyDescent="0.2">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96" x14ac:dyDescent="0.2">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84" x14ac:dyDescent="0.2">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84" x14ac:dyDescent="0.2">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96" x14ac:dyDescent="0.2">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84" x14ac:dyDescent="0.2">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96" x14ac:dyDescent="0.2">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84" x14ac:dyDescent="0.2">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72" x14ac:dyDescent="0.2">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60" x14ac:dyDescent="0.2">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84" x14ac:dyDescent="0.2">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84" x14ac:dyDescent="0.2">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84" x14ac:dyDescent="0.2">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84" x14ac:dyDescent="0.2">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84" x14ac:dyDescent="0.2">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84" x14ac:dyDescent="0.2">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4058</v>
      </c>
    </row>
    <row r="20" spans="1:5" x14ac:dyDescent="0.25">
      <c r="A20" t="s">
        <v>2638</v>
      </c>
      <c r="D20" t="s">
        <v>4038</v>
      </c>
    </row>
    <row r="21" spans="1:5" x14ac:dyDescent="0.25">
      <c r="A21" t="s">
        <v>2683</v>
      </c>
      <c r="D21" t="s">
        <v>4038</v>
      </c>
    </row>
    <row r="22" spans="1:5" x14ac:dyDescent="0.25">
      <c r="A22" t="s">
        <v>2697</v>
      </c>
      <c r="D22" t="s">
        <v>4038</v>
      </c>
      <c r="E22" t="s">
        <v>4055</v>
      </c>
    </row>
    <row r="23" spans="1:5" x14ac:dyDescent="0.25">
      <c r="A23" t="s">
        <v>2701</v>
      </c>
      <c r="D23" t="s">
        <v>4038</v>
      </c>
    </row>
    <row r="24" spans="1:5" x14ac:dyDescent="0.25">
      <c r="A24" t="s">
        <v>2745</v>
      </c>
      <c r="D24" t="s">
        <v>4038</v>
      </c>
    </row>
    <row r="25" spans="1:5" x14ac:dyDescent="0.25">
      <c r="A25" t="s">
        <v>2747</v>
      </c>
      <c r="D25" t="s">
        <v>4038</v>
      </c>
      <c r="E25" t="s">
        <v>4054</v>
      </c>
    </row>
    <row r="26" spans="1:5" x14ac:dyDescent="0.25">
      <c r="A26" t="s">
        <v>2753</v>
      </c>
      <c r="D26" t="s">
        <v>4038</v>
      </c>
    </row>
    <row r="27" spans="1:5" x14ac:dyDescent="0.25">
      <c r="A27" t="s">
        <v>2793</v>
      </c>
      <c r="D27" t="s">
        <v>4038</v>
      </c>
    </row>
    <row r="28" spans="1:5" x14ac:dyDescent="0.25">
      <c r="A28" t="s">
        <v>2814</v>
      </c>
      <c r="D28" t="s">
        <v>4038</v>
      </c>
      <c r="E28" t="s">
        <v>4051</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4045</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4059</v>
      </c>
    </row>
    <row r="44" spans="1:5" x14ac:dyDescent="0.25">
      <c r="A44" t="s">
        <v>2060</v>
      </c>
      <c r="D44" t="s">
        <v>158</v>
      </c>
    </row>
    <row r="45" spans="1:5" x14ac:dyDescent="0.25">
      <c r="A45" t="s">
        <v>2074</v>
      </c>
      <c r="D45" t="s">
        <v>158</v>
      </c>
      <c r="E45" t="s">
        <v>4060</v>
      </c>
    </row>
    <row r="46" spans="1:5" x14ac:dyDescent="0.25">
      <c r="A46" t="s">
        <v>2078</v>
      </c>
      <c r="D46" t="s">
        <v>158</v>
      </c>
      <c r="E46" t="s">
        <v>4061</v>
      </c>
    </row>
    <row r="47" spans="1:5" x14ac:dyDescent="0.25">
      <c r="A47" t="s">
        <v>2119</v>
      </c>
      <c r="D47" t="s">
        <v>158</v>
      </c>
      <c r="E47" t="s">
        <v>4056</v>
      </c>
    </row>
    <row r="48" spans="1:5" x14ac:dyDescent="0.25">
      <c r="A48" t="s">
        <v>2149</v>
      </c>
      <c r="D48" t="s">
        <v>158</v>
      </c>
      <c r="E48" t="s">
        <v>4062</v>
      </c>
    </row>
    <row r="49" spans="1:5" x14ac:dyDescent="0.25">
      <c r="A49" t="s">
        <v>2153</v>
      </c>
      <c r="D49" t="s">
        <v>158</v>
      </c>
      <c r="E49" t="s">
        <v>4083</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4057</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4053</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4050</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4049</v>
      </c>
    </row>
    <row r="447" spans="1:5" x14ac:dyDescent="0.25">
      <c r="A447" t="s">
        <v>2949</v>
      </c>
      <c r="E447" t="s">
        <v>4048</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4373</v>
      </c>
      <c r="C2" t="s">
        <v>4123</v>
      </c>
      <c r="D2" t="s">
        <v>3227</v>
      </c>
      <c r="E2">
        <v>852234103</v>
      </c>
      <c r="F2" s="34">
        <v>1203662</v>
      </c>
      <c r="G2" s="35">
        <v>127154853.68000001</v>
      </c>
      <c r="H2" s="8">
        <v>8.9399999999999993E-2</v>
      </c>
    </row>
    <row r="3" spans="1:8" x14ac:dyDescent="0.25">
      <c r="A3" s="10">
        <v>44589</v>
      </c>
      <c r="B3" t="s">
        <v>4373</v>
      </c>
      <c r="C3" t="s">
        <v>4108</v>
      </c>
      <c r="D3" t="s">
        <v>3229</v>
      </c>
      <c r="E3" t="s">
        <v>4109</v>
      </c>
      <c r="F3" s="34">
        <v>715119</v>
      </c>
      <c r="G3" s="35">
        <v>121713253.8</v>
      </c>
      <c r="H3" s="8">
        <v>8.5599999999999996E-2</v>
      </c>
    </row>
    <row r="4" spans="1:8" x14ac:dyDescent="0.25">
      <c r="A4" s="10">
        <v>44589</v>
      </c>
      <c r="B4" t="s">
        <v>4373</v>
      </c>
      <c r="C4" t="s">
        <v>4128</v>
      </c>
      <c r="D4" t="s">
        <v>4129</v>
      </c>
      <c r="E4" t="s">
        <v>4130</v>
      </c>
      <c r="F4" s="34">
        <v>124810</v>
      </c>
      <c r="G4" s="35">
        <v>101815005.59999999</v>
      </c>
      <c r="H4" s="8">
        <v>7.1599999999999997E-2</v>
      </c>
    </row>
    <row r="5" spans="1:8" x14ac:dyDescent="0.25">
      <c r="A5" s="10">
        <v>44589</v>
      </c>
      <c r="B5" t="s">
        <v>4373</v>
      </c>
      <c r="C5" t="s">
        <v>4121</v>
      </c>
      <c r="D5" t="s">
        <v>3240</v>
      </c>
      <c r="E5" t="s">
        <v>4122</v>
      </c>
      <c r="F5" s="34">
        <v>503436</v>
      </c>
      <c r="G5" s="35">
        <v>88982313</v>
      </c>
      <c r="H5" s="8">
        <v>6.2600000000000003E-2</v>
      </c>
    </row>
    <row r="6" spans="1:8" x14ac:dyDescent="0.25">
      <c r="A6" s="10">
        <v>44589</v>
      </c>
      <c r="B6" t="s">
        <v>4373</v>
      </c>
      <c r="C6" t="s">
        <v>4119</v>
      </c>
      <c r="D6" t="s">
        <v>3324</v>
      </c>
      <c r="E6" t="s">
        <v>4120</v>
      </c>
      <c r="F6" s="34">
        <v>2289059</v>
      </c>
      <c r="G6" s="35">
        <v>75195588.150000006</v>
      </c>
      <c r="H6" s="8">
        <v>5.2900000000000003E-2</v>
      </c>
    </row>
    <row r="7" spans="1:8" x14ac:dyDescent="0.25">
      <c r="A7" s="10">
        <v>44589</v>
      </c>
      <c r="B7" t="s">
        <v>4373</v>
      </c>
      <c r="C7" t="s">
        <v>4255</v>
      </c>
      <c r="D7" t="s">
        <v>4256</v>
      </c>
      <c r="E7" t="s">
        <v>4257</v>
      </c>
      <c r="F7" s="34">
        <v>450408</v>
      </c>
      <c r="G7" s="35">
        <v>57778338.240000002</v>
      </c>
      <c r="H7" s="8">
        <v>4.0599999999999997E-2</v>
      </c>
    </row>
    <row r="8" spans="1:8" x14ac:dyDescent="0.25">
      <c r="A8" s="10">
        <v>44589</v>
      </c>
      <c r="B8" t="s">
        <v>4373</v>
      </c>
      <c r="C8" t="s">
        <v>4263</v>
      </c>
      <c r="D8" t="s">
        <v>3178</v>
      </c>
      <c r="E8" t="s">
        <v>4264</v>
      </c>
      <c r="F8" s="34">
        <v>57505</v>
      </c>
      <c r="G8" s="35">
        <v>57073712.5</v>
      </c>
      <c r="H8" s="8">
        <v>4.0099999999999997E-2</v>
      </c>
    </row>
    <row r="9" spans="1:8" x14ac:dyDescent="0.25">
      <c r="A9" s="10">
        <v>44589</v>
      </c>
      <c r="B9" t="s">
        <v>4373</v>
      </c>
      <c r="C9" t="s">
        <v>4104</v>
      </c>
      <c r="D9" t="s">
        <v>3381</v>
      </c>
      <c r="E9" t="s">
        <v>4105</v>
      </c>
      <c r="F9" s="34">
        <v>835943</v>
      </c>
      <c r="G9" s="35">
        <v>56375995.920000002</v>
      </c>
      <c r="H9" s="8">
        <v>3.9600000000000003E-2</v>
      </c>
    </row>
    <row r="10" spans="1:8" x14ac:dyDescent="0.25">
      <c r="A10" s="10">
        <v>44589</v>
      </c>
      <c r="B10" t="s">
        <v>4373</v>
      </c>
      <c r="C10" t="s">
        <v>4374</v>
      </c>
      <c r="D10" t="s">
        <v>4375</v>
      </c>
      <c r="E10" t="s">
        <v>4376</v>
      </c>
      <c r="F10" s="34">
        <v>28465</v>
      </c>
      <c r="G10" s="35">
        <v>55482358.32</v>
      </c>
      <c r="H10" s="8">
        <v>3.9E-2</v>
      </c>
    </row>
    <row r="11" spans="1:8" x14ac:dyDescent="0.25">
      <c r="A11" s="10">
        <v>44589</v>
      </c>
      <c r="B11" t="s">
        <v>4373</v>
      </c>
      <c r="C11" t="s">
        <v>4377</v>
      </c>
      <c r="D11" t="s">
        <v>4378</v>
      </c>
      <c r="E11">
        <v>6177878</v>
      </c>
      <c r="F11" s="34">
        <v>5614722</v>
      </c>
      <c r="G11" s="35">
        <v>54835864.539999999</v>
      </c>
      <c r="H11" s="8">
        <v>3.8600000000000002E-2</v>
      </c>
    </row>
    <row r="12" spans="1:8" x14ac:dyDescent="0.25">
      <c r="A12" s="10">
        <v>44589</v>
      </c>
      <c r="B12" t="s">
        <v>4373</v>
      </c>
      <c r="C12" t="s">
        <v>4147</v>
      </c>
      <c r="D12" t="s">
        <v>3419</v>
      </c>
      <c r="E12">
        <v>770700102</v>
      </c>
      <c r="F12" s="34">
        <v>4288028</v>
      </c>
      <c r="G12" s="35">
        <v>49784005.079999998</v>
      </c>
      <c r="H12" s="8">
        <v>3.5000000000000003E-2</v>
      </c>
    </row>
    <row r="13" spans="1:8" x14ac:dyDescent="0.25">
      <c r="A13" s="10">
        <v>44589</v>
      </c>
      <c r="B13" t="s">
        <v>4373</v>
      </c>
      <c r="C13" t="s">
        <v>4379</v>
      </c>
      <c r="D13" t="s">
        <v>3369</v>
      </c>
      <c r="E13" t="s">
        <v>4380</v>
      </c>
      <c r="F13" s="34">
        <v>933251</v>
      </c>
      <c r="G13" s="35">
        <v>43657481.780000001</v>
      </c>
      <c r="H13" s="8">
        <v>3.0700000000000002E-2</v>
      </c>
    </row>
    <row r="14" spans="1:8" x14ac:dyDescent="0.25">
      <c r="A14" s="10">
        <v>44589</v>
      </c>
      <c r="B14" t="s">
        <v>4373</v>
      </c>
      <c r="C14" t="s">
        <v>4381</v>
      </c>
      <c r="D14" t="s">
        <v>4382</v>
      </c>
      <c r="E14" t="s">
        <v>4383</v>
      </c>
      <c r="F14" s="34">
        <v>622108</v>
      </c>
      <c r="G14" s="35">
        <v>43261390.32</v>
      </c>
      <c r="H14" s="8">
        <v>3.04E-2</v>
      </c>
    </row>
    <row r="15" spans="1:8" x14ac:dyDescent="0.25">
      <c r="A15" s="10">
        <v>44589</v>
      </c>
      <c r="B15" t="s">
        <v>4373</v>
      </c>
      <c r="C15" t="s">
        <v>4133</v>
      </c>
      <c r="D15" t="s">
        <v>3457</v>
      </c>
      <c r="E15" t="s">
        <v>4134</v>
      </c>
      <c r="F15" s="34">
        <v>2196942</v>
      </c>
      <c r="G15" s="35">
        <v>42598705.380000003</v>
      </c>
      <c r="H15" s="8">
        <v>0.03</v>
      </c>
    </row>
    <row r="16" spans="1:8" x14ac:dyDescent="0.25">
      <c r="A16" s="10">
        <v>44589</v>
      </c>
      <c r="B16" t="s">
        <v>4373</v>
      </c>
      <c r="C16" t="s">
        <v>4384</v>
      </c>
      <c r="D16" t="s">
        <v>4385</v>
      </c>
      <c r="E16" t="s">
        <v>4386</v>
      </c>
      <c r="F16" s="34">
        <v>450471</v>
      </c>
      <c r="G16" s="35">
        <v>42010925.460000001</v>
      </c>
      <c r="H16" s="8">
        <v>2.9499999999999998E-2</v>
      </c>
    </row>
    <row r="17" spans="1:8" x14ac:dyDescent="0.25">
      <c r="A17" s="10">
        <v>44589</v>
      </c>
      <c r="B17" t="s">
        <v>4373</v>
      </c>
      <c r="C17" t="s">
        <v>4266</v>
      </c>
      <c r="D17" t="s">
        <v>289</v>
      </c>
      <c r="E17" t="s">
        <v>4267</v>
      </c>
      <c r="F17" s="34">
        <v>255501</v>
      </c>
      <c r="G17" s="35">
        <v>35652609.539999999</v>
      </c>
      <c r="H17" s="8">
        <v>2.5100000000000001E-2</v>
      </c>
    </row>
    <row r="18" spans="1:8" x14ac:dyDescent="0.25">
      <c r="A18" s="10">
        <v>44589</v>
      </c>
      <c r="B18" t="s">
        <v>4373</v>
      </c>
      <c r="C18" t="s">
        <v>4387</v>
      </c>
      <c r="D18" t="s">
        <v>4388</v>
      </c>
      <c r="E18" t="s">
        <v>4389</v>
      </c>
      <c r="F18" s="34">
        <v>2519552</v>
      </c>
      <c r="G18" s="35">
        <v>34946186.240000002</v>
      </c>
      <c r="H18" s="8">
        <v>2.46E-2</v>
      </c>
    </row>
    <row r="19" spans="1:8" x14ac:dyDescent="0.25">
      <c r="A19" s="10">
        <v>44589</v>
      </c>
      <c r="B19" t="s">
        <v>4373</v>
      </c>
      <c r="C19" t="s">
        <v>4390</v>
      </c>
      <c r="D19" t="s">
        <v>24</v>
      </c>
      <c r="E19" t="s">
        <v>4391</v>
      </c>
      <c r="F19" s="34">
        <v>183580</v>
      </c>
      <c r="G19" s="35">
        <v>29025833.800000001</v>
      </c>
      <c r="H19" s="8">
        <v>2.0400000000000001E-2</v>
      </c>
    </row>
    <row r="20" spans="1:8" x14ac:dyDescent="0.25">
      <c r="A20" s="10">
        <v>44589</v>
      </c>
      <c r="B20" t="s">
        <v>4373</v>
      </c>
      <c r="C20" t="s">
        <v>4392</v>
      </c>
      <c r="D20" t="s">
        <v>3185</v>
      </c>
      <c r="E20" t="s">
        <v>4393</v>
      </c>
      <c r="F20" s="34">
        <v>112388</v>
      </c>
      <c r="G20" s="35">
        <v>25419917.84</v>
      </c>
      <c r="H20" s="8">
        <v>1.7899999999999999E-2</v>
      </c>
    </row>
    <row r="21" spans="1:8" x14ac:dyDescent="0.25">
      <c r="A21" s="10">
        <v>44589</v>
      </c>
      <c r="B21" t="s">
        <v>4373</v>
      </c>
      <c r="C21" t="s">
        <v>4394</v>
      </c>
      <c r="D21" t="s">
        <v>4395</v>
      </c>
      <c r="E21">
        <v>888787108</v>
      </c>
      <c r="F21" s="34">
        <v>1240007</v>
      </c>
      <c r="G21" s="35">
        <v>24713339.510000002</v>
      </c>
      <c r="H21" s="8">
        <v>1.7399999999999999E-2</v>
      </c>
    </row>
    <row r="22" spans="1:8" x14ac:dyDescent="0.25">
      <c r="A22" s="10">
        <v>44589</v>
      </c>
      <c r="B22" t="s">
        <v>4373</v>
      </c>
      <c r="C22" t="s">
        <v>4396</v>
      </c>
      <c r="D22" t="s">
        <v>4397</v>
      </c>
      <c r="E22" t="s">
        <v>4398</v>
      </c>
      <c r="F22" s="34">
        <v>413712</v>
      </c>
      <c r="G22" s="35">
        <v>24570355.68</v>
      </c>
      <c r="H22" s="8">
        <v>1.7299999999999999E-2</v>
      </c>
    </row>
    <row r="23" spans="1:8" x14ac:dyDescent="0.25">
      <c r="A23" s="10">
        <v>44589</v>
      </c>
      <c r="B23" t="s">
        <v>4373</v>
      </c>
      <c r="C23" t="s">
        <v>4399</v>
      </c>
      <c r="D23" t="s">
        <v>4400</v>
      </c>
      <c r="E23" t="s">
        <v>4401</v>
      </c>
      <c r="F23" s="34">
        <v>1525069</v>
      </c>
      <c r="G23" s="35">
        <v>24279098.48</v>
      </c>
      <c r="H23" s="8">
        <v>1.7100000000000001E-2</v>
      </c>
    </row>
    <row r="24" spans="1:8" x14ac:dyDescent="0.25">
      <c r="A24" s="10">
        <v>44589</v>
      </c>
      <c r="B24" t="s">
        <v>4373</v>
      </c>
      <c r="C24" t="s">
        <v>4402</v>
      </c>
      <c r="D24" t="s">
        <v>3295</v>
      </c>
      <c r="E24">
        <v>90043100</v>
      </c>
      <c r="F24" s="34">
        <v>148481</v>
      </c>
      <c r="G24" s="35">
        <v>23174914.48</v>
      </c>
      <c r="H24" s="8">
        <v>1.6299999999999999E-2</v>
      </c>
    </row>
    <row r="25" spans="1:8" x14ac:dyDescent="0.25">
      <c r="A25" s="10">
        <v>44589</v>
      </c>
      <c r="B25" t="s">
        <v>4373</v>
      </c>
      <c r="C25" t="s">
        <v>4249</v>
      </c>
      <c r="D25" t="s">
        <v>3167</v>
      </c>
      <c r="E25" t="s">
        <v>4250</v>
      </c>
      <c r="F25" s="34">
        <v>337056</v>
      </c>
      <c r="G25" s="35">
        <v>22474894.079999998</v>
      </c>
      <c r="H25" s="8">
        <v>1.5800000000000002E-2</v>
      </c>
    </row>
    <row r="26" spans="1:8" x14ac:dyDescent="0.25">
      <c r="A26" s="10">
        <v>44589</v>
      </c>
      <c r="B26" t="s">
        <v>4373</v>
      </c>
      <c r="C26" t="s">
        <v>4403</v>
      </c>
      <c r="D26">
        <v>4689</v>
      </c>
      <c r="E26">
        <v>6084848</v>
      </c>
      <c r="F26" s="34">
        <v>4305184</v>
      </c>
      <c r="G26" s="35">
        <v>20265397.359999999</v>
      </c>
      <c r="H26" s="8">
        <v>1.43E-2</v>
      </c>
    </row>
    <row r="27" spans="1:8" x14ac:dyDescent="0.25">
      <c r="A27" s="10">
        <v>44589</v>
      </c>
      <c r="B27" t="s">
        <v>4373</v>
      </c>
      <c r="C27" t="s">
        <v>4288</v>
      </c>
      <c r="D27" t="s">
        <v>3199</v>
      </c>
      <c r="E27">
        <v>256163106</v>
      </c>
      <c r="F27" s="34">
        <v>176175</v>
      </c>
      <c r="G27" s="35">
        <v>19500810.75</v>
      </c>
      <c r="H27" s="8">
        <v>1.37E-2</v>
      </c>
    </row>
    <row r="28" spans="1:8" x14ac:dyDescent="0.25">
      <c r="A28" s="10">
        <v>44589</v>
      </c>
      <c r="B28" t="s">
        <v>4373</v>
      </c>
      <c r="C28" t="s">
        <v>4404</v>
      </c>
      <c r="D28" t="s">
        <v>115</v>
      </c>
      <c r="E28">
        <v>461202103</v>
      </c>
      <c r="F28" s="34">
        <v>35561</v>
      </c>
      <c r="G28" s="35">
        <v>18392860.420000002</v>
      </c>
      <c r="H28" s="8">
        <v>1.29E-2</v>
      </c>
    </row>
    <row r="29" spans="1:8" x14ac:dyDescent="0.25">
      <c r="A29" s="10">
        <v>44589</v>
      </c>
      <c r="B29" t="s">
        <v>4373</v>
      </c>
      <c r="C29" t="s">
        <v>4405</v>
      </c>
      <c r="D29" t="s">
        <v>520</v>
      </c>
      <c r="E29" t="s">
        <v>4406</v>
      </c>
      <c r="F29" s="34">
        <v>134368</v>
      </c>
      <c r="G29" s="35">
        <v>16446643.199999999</v>
      </c>
      <c r="H29" s="8">
        <v>1.1599999999999999E-2</v>
      </c>
    </row>
    <row r="30" spans="1:8" x14ac:dyDescent="0.25">
      <c r="A30" s="10">
        <v>44589</v>
      </c>
      <c r="B30" t="s">
        <v>4373</v>
      </c>
      <c r="C30" t="s">
        <v>4407</v>
      </c>
      <c r="D30" t="s">
        <v>4408</v>
      </c>
      <c r="E30" t="s">
        <v>4409</v>
      </c>
      <c r="F30" s="34">
        <v>200628</v>
      </c>
      <c r="G30" s="35">
        <v>16250868</v>
      </c>
      <c r="H30" s="8">
        <v>1.14E-2</v>
      </c>
    </row>
    <row r="31" spans="1:8" x14ac:dyDescent="0.25">
      <c r="A31" s="10">
        <v>44589</v>
      </c>
      <c r="B31" t="s">
        <v>4373</v>
      </c>
      <c r="C31" t="s">
        <v>4135</v>
      </c>
      <c r="D31" t="s">
        <v>611</v>
      </c>
      <c r="E31" t="s">
        <v>4136</v>
      </c>
      <c r="F31" s="34">
        <v>458009</v>
      </c>
      <c r="G31" s="35">
        <v>15499024.560000001</v>
      </c>
      <c r="H31" s="8">
        <v>1.09E-2</v>
      </c>
    </row>
    <row r="32" spans="1:8" x14ac:dyDescent="0.25">
      <c r="A32" s="10">
        <v>44589</v>
      </c>
      <c r="B32" t="s">
        <v>4373</v>
      </c>
      <c r="C32" t="s">
        <v>4410</v>
      </c>
      <c r="D32" t="s">
        <v>4411</v>
      </c>
      <c r="E32" t="s">
        <v>4412</v>
      </c>
      <c r="F32" s="34">
        <v>695363</v>
      </c>
      <c r="G32" s="35">
        <v>13295340.560000001</v>
      </c>
      <c r="H32" s="8">
        <v>9.2999999999999992E-3</v>
      </c>
    </row>
    <row r="33" spans="1:8" x14ac:dyDescent="0.25">
      <c r="A33" s="10">
        <v>44589</v>
      </c>
      <c r="B33" t="s">
        <v>4373</v>
      </c>
      <c r="C33" t="s">
        <v>4131</v>
      </c>
      <c r="D33" t="s">
        <v>3255</v>
      </c>
      <c r="E33" t="s">
        <v>4132</v>
      </c>
      <c r="F33" s="34">
        <v>1028276</v>
      </c>
      <c r="G33" s="35">
        <v>12627229.279999999</v>
      </c>
      <c r="H33" s="8">
        <v>8.8999999999999999E-3</v>
      </c>
    </row>
    <row r="34" spans="1:8" x14ac:dyDescent="0.25">
      <c r="A34" s="10">
        <v>44589</v>
      </c>
      <c r="B34" t="s">
        <v>4373</v>
      </c>
      <c r="C34" t="s">
        <v>4280</v>
      </c>
      <c r="D34" t="s">
        <v>4281</v>
      </c>
      <c r="E34" t="s">
        <v>4282</v>
      </c>
      <c r="F34" s="34">
        <v>1842995</v>
      </c>
      <c r="G34" s="35">
        <v>12698235.550000001</v>
      </c>
      <c r="H34" s="8">
        <v>8.8999999999999999E-3</v>
      </c>
    </row>
    <row r="35" spans="1:8" x14ac:dyDescent="0.25">
      <c r="A35" s="10">
        <v>44589</v>
      </c>
      <c r="B35" t="s">
        <v>4373</v>
      </c>
      <c r="C35" t="s">
        <v>4413</v>
      </c>
      <c r="D35" t="s">
        <v>3516</v>
      </c>
      <c r="E35">
        <v>683712103</v>
      </c>
      <c r="F35" s="34">
        <v>1474855</v>
      </c>
      <c r="G35" s="35">
        <v>12536267.5</v>
      </c>
      <c r="H35" s="8">
        <v>8.8000000000000005E-3</v>
      </c>
    </row>
    <row r="36" spans="1:8" x14ac:dyDescent="0.25">
      <c r="A36" s="10">
        <v>44589</v>
      </c>
      <c r="B36" t="s">
        <v>4373</v>
      </c>
      <c r="C36" t="s">
        <v>4261</v>
      </c>
      <c r="D36" t="s">
        <v>4262</v>
      </c>
      <c r="E36">
        <v>206071102</v>
      </c>
      <c r="F36" s="34">
        <v>68331</v>
      </c>
      <c r="G36" s="35">
        <v>679210.14</v>
      </c>
      <c r="H36" s="8">
        <v>5.0000000000000001E-4</v>
      </c>
    </row>
    <row r="37" spans="1:8" x14ac:dyDescent="0.25">
      <c r="A37" s="10">
        <v>44589</v>
      </c>
      <c r="B37" t="s">
        <v>4373</v>
      </c>
      <c r="C37" t="s">
        <v>4186</v>
      </c>
      <c r="E37" t="s">
        <v>4187</v>
      </c>
      <c r="F37" s="34">
        <v>589318</v>
      </c>
      <c r="G37" s="35">
        <v>589318.24</v>
      </c>
      <c r="H37" s="8">
        <v>4.0000000000000002E-4</v>
      </c>
    </row>
    <row r="38" spans="1:8" x14ac:dyDescent="0.25">
      <c r="A38" s="10">
        <v>44589</v>
      </c>
      <c r="B38" t="s">
        <v>4373</v>
      </c>
      <c r="C38" t="s">
        <v>4290</v>
      </c>
      <c r="D38" t="s">
        <v>3225</v>
      </c>
      <c r="E38" t="s">
        <v>4291</v>
      </c>
      <c r="F38" s="34">
        <v>9195</v>
      </c>
      <c r="G38" s="35">
        <v>260218.5</v>
      </c>
      <c r="H38" s="8">
        <v>2.0000000000000001E-4</v>
      </c>
    </row>
    <row r="39" spans="1:8" x14ac:dyDescent="0.25">
      <c r="A39" s="10">
        <v>44589</v>
      </c>
      <c r="B39" t="s">
        <v>4373</v>
      </c>
      <c r="C39" t="s">
        <v>4414</v>
      </c>
      <c r="D39" t="s">
        <v>3176</v>
      </c>
      <c r="E39">
        <v>722304102</v>
      </c>
      <c r="F39">
        <v>282</v>
      </c>
      <c r="G39" s="35">
        <v>14334.06</v>
      </c>
      <c r="H39" s="8">
        <v>0</v>
      </c>
    </row>
    <row r="40" spans="1:8" x14ac:dyDescent="0.25">
      <c r="A40" s="10">
        <v>44589</v>
      </c>
      <c r="B40" t="s">
        <v>4373</v>
      </c>
      <c r="C40" t="s">
        <v>4415</v>
      </c>
      <c r="E40" t="s">
        <v>4416</v>
      </c>
      <c r="F40">
        <v>137</v>
      </c>
      <c r="G40" s="35">
        <v>8.83</v>
      </c>
      <c r="H40" s="8">
        <v>0</v>
      </c>
    </row>
    <row r="41" spans="1:8" x14ac:dyDescent="0.25">
      <c r="A41"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4293</v>
      </c>
      <c r="C2" t="s">
        <v>4110</v>
      </c>
      <c r="D2" t="s">
        <v>3413</v>
      </c>
      <c r="E2" t="s">
        <v>4111</v>
      </c>
      <c r="F2" s="34">
        <v>4666845</v>
      </c>
      <c r="G2" s="35">
        <v>321592288.94999999</v>
      </c>
      <c r="H2" s="8">
        <v>8.8499999999999995E-2</v>
      </c>
    </row>
    <row r="3" spans="1:8" x14ac:dyDescent="0.25">
      <c r="A3" s="10">
        <v>44589</v>
      </c>
      <c r="B3" t="s">
        <v>4293</v>
      </c>
      <c r="C3" t="s">
        <v>4104</v>
      </c>
      <c r="D3" t="s">
        <v>3381</v>
      </c>
      <c r="E3" t="s">
        <v>4105</v>
      </c>
      <c r="F3" s="34">
        <v>4171325</v>
      </c>
      <c r="G3" s="35">
        <v>281314158</v>
      </c>
      <c r="H3" s="8">
        <v>7.7399999999999997E-2</v>
      </c>
    </row>
    <row r="4" spans="1:8" x14ac:dyDescent="0.25">
      <c r="A4" s="10">
        <v>44589</v>
      </c>
      <c r="B4" t="s">
        <v>4293</v>
      </c>
      <c r="C4" t="s">
        <v>4294</v>
      </c>
      <c r="D4" t="s">
        <v>4295</v>
      </c>
      <c r="E4">
        <v>462222100</v>
      </c>
      <c r="F4" s="34">
        <v>6739950</v>
      </c>
      <c r="G4" s="35">
        <v>203142093</v>
      </c>
      <c r="H4" s="8">
        <v>5.5899999999999998E-2</v>
      </c>
    </row>
    <row r="5" spans="1:8" x14ac:dyDescent="0.25">
      <c r="A5" s="10">
        <v>44589</v>
      </c>
      <c r="B5" t="s">
        <v>4293</v>
      </c>
      <c r="C5" t="s">
        <v>4296</v>
      </c>
      <c r="D5" t="s">
        <v>142</v>
      </c>
      <c r="E5" t="s">
        <v>4297</v>
      </c>
      <c r="F5" s="34">
        <v>756740</v>
      </c>
      <c r="G5" s="35">
        <v>172703202.80000001</v>
      </c>
      <c r="H5" s="8">
        <v>4.7500000000000001E-2</v>
      </c>
    </row>
    <row r="6" spans="1:8" x14ac:dyDescent="0.25">
      <c r="A6" s="10">
        <v>44589</v>
      </c>
      <c r="B6" t="s">
        <v>4293</v>
      </c>
      <c r="C6" t="s">
        <v>4140</v>
      </c>
      <c r="D6" t="s">
        <v>3672</v>
      </c>
      <c r="E6" t="s">
        <v>4141</v>
      </c>
      <c r="F6" s="34">
        <v>4373516</v>
      </c>
      <c r="G6" s="35">
        <v>156484402.47999999</v>
      </c>
      <c r="H6" s="8">
        <v>4.3099999999999999E-2</v>
      </c>
    </row>
    <row r="7" spans="1:8" x14ac:dyDescent="0.25">
      <c r="A7" s="10">
        <v>44589</v>
      </c>
      <c r="B7" t="s">
        <v>4293</v>
      </c>
      <c r="C7" t="s">
        <v>4117</v>
      </c>
      <c r="D7" t="s">
        <v>3524</v>
      </c>
      <c r="E7" t="s">
        <v>4118</v>
      </c>
      <c r="F7" s="34">
        <v>1874689</v>
      </c>
      <c r="G7" s="35">
        <v>154474373.59999999</v>
      </c>
      <c r="H7" s="8">
        <v>4.2500000000000003E-2</v>
      </c>
    </row>
    <row r="8" spans="1:8" x14ac:dyDescent="0.25">
      <c r="A8" s="10">
        <v>44589</v>
      </c>
      <c r="B8" t="s">
        <v>4293</v>
      </c>
      <c r="C8" t="s">
        <v>4124</v>
      </c>
      <c r="D8" t="s">
        <v>3685</v>
      </c>
      <c r="E8" t="s">
        <v>4125</v>
      </c>
      <c r="F8" s="34">
        <v>2261370</v>
      </c>
      <c r="G8" s="35">
        <v>134981175.30000001</v>
      </c>
      <c r="H8" s="8">
        <v>3.7100000000000001E-2</v>
      </c>
    </row>
    <row r="9" spans="1:8" x14ac:dyDescent="0.25">
      <c r="A9" s="10">
        <v>44589</v>
      </c>
      <c r="B9" t="s">
        <v>4293</v>
      </c>
      <c r="C9" t="s">
        <v>4298</v>
      </c>
      <c r="D9" t="s">
        <v>4299</v>
      </c>
      <c r="E9" t="s">
        <v>4300</v>
      </c>
      <c r="F9" s="34">
        <v>3627840</v>
      </c>
      <c r="G9" s="35">
        <v>133685904</v>
      </c>
      <c r="H9" s="8">
        <v>3.6799999999999999E-2</v>
      </c>
    </row>
    <row r="10" spans="1:8" x14ac:dyDescent="0.25">
      <c r="A10" s="10">
        <v>44589</v>
      </c>
      <c r="B10" t="s">
        <v>4293</v>
      </c>
      <c r="C10" t="s">
        <v>4159</v>
      </c>
      <c r="D10" t="s">
        <v>4160</v>
      </c>
      <c r="E10" t="s">
        <v>4161</v>
      </c>
      <c r="F10" s="34">
        <v>13042807</v>
      </c>
      <c r="G10" s="35">
        <v>122863241.94</v>
      </c>
      <c r="H10" s="8">
        <v>3.3799999999999997E-2</v>
      </c>
    </row>
    <row r="11" spans="1:8" x14ac:dyDescent="0.25">
      <c r="A11" s="10">
        <v>44589</v>
      </c>
      <c r="B11" t="s">
        <v>4293</v>
      </c>
      <c r="C11" t="s">
        <v>4126</v>
      </c>
      <c r="D11" t="s">
        <v>3870</v>
      </c>
      <c r="E11" t="s">
        <v>4127</v>
      </c>
      <c r="F11" s="34">
        <v>2076454</v>
      </c>
      <c r="G11" s="35">
        <v>122012437.04000001</v>
      </c>
      <c r="H11" s="8">
        <v>3.3599999999999998E-2</v>
      </c>
    </row>
    <row r="12" spans="1:8" x14ac:dyDescent="0.25">
      <c r="A12" s="10">
        <v>44589</v>
      </c>
      <c r="B12" t="s">
        <v>4293</v>
      </c>
      <c r="C12" t="s">
        <v>4301</v>
      </c>
      <c r="D12" t="s">
        <v>770</v>
      </c>
      <c r="E12" t="s">
        <v>4302</v>
      </c>
      <c r="F12" s="34">
        <v>1641408</v>
      </c>
      <c r="G12" s="35">
        <v>117508398.72</v>
      </c>
      <c r="H12" s="8">
        <v>3.2300000000000002E-2</v>
      </c>
    </row>
    <row r="13" spans="1:8" x14ac:dyDescent="0.25">
      <c r="A13" s="10">
        <v>44589</v>
      </c>
      <c r="B13" t="s">
        <v>4293</v>
      </c>
      <c r="C13" t="s">
        <v>4166</v>
      </c>
      <c r="D13" t="s">
        <v>4167</v>
      </c>
      <c r="E13" t="s">
        <v>4168</v>
      </c>
      <c r="F13" s="34">
        <v>1950486</v>
      </c>
      <c r="G13" s="35">
        <v>100137951.23999999</v>
      </c>
      <c r="H13" s="8">
        <v>2.76E-2</v>
      </c>
    </row>
    <row r="14" spans="1:8" x14ac:dyDescent="0.25">
      <c r="A14" s="10">
        <v>44589</v>
      </c>
      <c r="B14" t="s">
        <v>4293</v>
      </c>
      <c r="C14" t="s">
        <v>4153</v>
      </c>
      <c r="D14" t="s">
        <v>4154</v>
      </c>
      <c r="E14" t="s">
        <v>4155</v>
      </c>
      <c r="F14" s="34">
        <v>8667988</v>
      </c>
      <c r="G14" s="35">
        <v>98988422.959999993</v>
      </c>
      <c r="H14" s="8">
        <v>2.7199999999999998E-2</v>
      </c>
    </row>
    <row r="15" spans="1:8" x14ac:dyDescent="0.25">
      <c r="A15" s="10">
        <v>44589</v>
      </c>
      <c r="B15" t="s">
        <v>4293</v>
      </c>
      <c r="C15" t="s">
        <v>4119</v>
      </c>
      <c r="D15" t="s">
        <v>3324</v>
      </c>
      <c r="E15" t="s">
        <v>4120</v>
      </c>
      <c r="F15" s="34">
        <v>2752003</v>
      </c>
      <c r="G15" s="35">
        <v>90403298.549999997</v>
      </c>
      <c r="H15" s="8">
        <v>2.4899999999999999E-2</v>
      </c>
    </row>
    <row r="16" spans="1:8" x14ac:dyDescent="0.25">
      <c r="A16" s="10">
        <v>44589</v>
      </c>
      <c r="B16" t="s">
        <v>4293</v>
      </c>
      <c r="C16" t="s">
        <v>4150</v>
      </c>
      <c r="D16" t="s">
        <v>3451</v>
      </c>
      <c r="E16" t="s">
        <v>4151</v>
      </c>
      <c r="F16" s="34">
        <v>18404120</v>
      </c>
      <c r="G16" s="35">
        <v>85579158</v>
      </c>
      <c r="H16" s="8">
        <v>2.35E-2</v>
      </c>
    </row>
    <row r="17" spans="1:8" x14ac:dyDescent="0.25">
      <c r="A17" s="10">
        <v>44589</v>
      </c>
      <c r="B17" t="s">
        <v>4293</v>
      </c>
      <c r="C17" t="s">
        <v>4303</v>
      </c>
      <c r="D17" t="s">
        <v>4304</v>
      </c>
      <c r="E17" t="s">
        <v>4305</v>
      </c>
      <c r="F17" s="34">
        <v>5681288</v>
      </c>
      <c r="G17" s="35">
        <v>81583295.680000007</v>
      </c>
      <c r="H17" s="8">
        <v>2.24E-2</v>
      </c>
    </row>
    <row r="18" spans="1:8" x14ac:dyDescent="0.25">
      <c r="A18" s="10">
        <v>44589</v>
      </c>
      <c r="B18" t="s">
        <v>4293</v>
      </c>
      <c r="C18" t="s">
        <v>4306</v>
      </c>
      <c r="D18" t="s">
        <v>4307</v>
      </c>
      <c r="E18" s="36">
        <v>4.3700000000000001E+104</v>
      </c>
      <c r="F18" s="34">
        <v>5019135</v>
      </c>
      <c r="G18" s="35">
        <v>79754055.150000006</v>
      </c>
      <c r="H18" s="8">
        <v>2.1899999999999999E-2</v>
      </c>
    </row>
    <row r="19" spans="1:8" x14ac:dyDescent="0.25">
      <c r="A19" s="10">
        <v>44589</v>
      </c>
      <c r="B19" t="s">
        <v>4293</v>
      </c>
      <c r="C19" t="s">
        <v>4308</v>
      </c>
      <c r="D19" t="s">
        <v>4309</v>
      </c>
      <c r="E19" t="s">
        <v>4310</v>
      </c>
      <c r="F19" s="34">
        <v>2930783</v>
      </c>
      <c r="G19" s="35">
        <v>74705658.670000002</v>
      </c>
      <c r="H19" s="8">
        <v>2.06E-2</v>
      </c>
    </row>
    <row r="20" spans="1:8" x14ac:dyDescent="0.25">
      <c r="A20" s="10">
        <v>44589</v>
      </c>
      <c r="B20" t="s">
        <v>4293</v>
      </c>
      <c r="C20" t="s">
        <v>4144</v>
      </c>
      <c r="D20" t="s">
        <v>4145</v>
      </c>
      <c r="E20" t="s">
        <v>4146</v>
      </c>
      <c r="F20" s="34">
        <v>6059641</v>
      </c>
      <c r="G20" s="35">
        <v>58657324.880000003</v>
      </c>
      <c r="H20" s="8">
        <v>1.61E-2</v>
      </c>
    </row>
    <row r="21" spans="1:8" x14ac:dyDescent="0.25">
      <c r="A21" s="10">
        <v>44589</v>
      </c>
      <c r="B21" t="s">
        <v>4293</v>
      </c>
      <c r="C21" t="s">
        <v>4311</v>
      </c>
      <c r="D21" t="s">
        <v>4312</v>
      </c>
      <c r="E21">
        <v>192005106</v>
      </c>
      <c r="F21" s="34">
        <v>3232060</v>
      </c>
      <c r="G21" s="35">
        <v>58047797.600000001</v>
      </c>
      <c r="H21" s="8">
        <v>1.6E-2</v>
      </c>
    </row>
    <row r="22" spans="1:8" x14ac:dyDescent="0.25">
      <c r="A22" s="10">
        <v>44589</v>
      </c>
      <c r="B22" t="s">
        <v>4293</v>
      </c>
      <c r="C22" t="s">
        <v>4313</v>
      </c>
      <c r="D22" t="s">
        <v>4314</v>
      </c>
      <c r="E22" t="s">
        <v>4315</v>
      </c>
      <c r="F22" s="34">
        <v>7313665</v>
      </c>
      <c r="G22" s="35">
        <v>56095810.549999997</v>
      </c>
      <c r="H22" s="8">
        <v>1.54E-2</v>
      </c>
    </row>
    <row r="23" spans="1:8" x14ac:dyDescent="0.25">
      <c r="A23" s="10">
        <v>44589</v>
      </c>
      <c r="B23" t="s">
        <v>4293</v>
      </c>
      <c r="C23" t="s">
        <v>4156</v>
      </c>
      <c r="D23" t="s">
        <v>4157</v>
      </c>
      <c r="E23" t="s">
        <v>4158</v>
      </c>
      <c r="F23" s="34">
        <v>2089921</v>
      </c>
      <c r="G23" s="35">
        <v>53418380.759999998</v>
      </c>
      <c r="H23" s="8">
        <v>1.47E-2</v>
      </c>
    </row>
    <row r="24" spans="1:8" x14ac:dyDescent="0.25">
      <c r="A24" s="10">
        <v>44589</v>
      </c>
      <c r="B24" t="s">
        <v>4293</v>
      </c>
      <c r="C24" t="s">
        <v>4316</v>
      </c>
      <c r="D24" t="s">
        <v>4317</v>
      </c>
      <c r="E24" t="s">
        <v>4318</v>
      </c>
      <c r="F24" s="34">
        <v>2466073</v>
      </c>
      <c r="G24" s="35">
        <v>52971248.039999999</v>
      </c>
      <c r="H24" s="8">
        <v>1.46E-2</v>
      </c>
    </row>
    <row r="25" spans="1:8" x14ac:dyDescent="0.25">
      <c r="A25" s="10">
        <v>44589</v>
      </c>
      <c r="B25" t="s">
        <v>4293</v>
      </c>
      <c r="C25" t="s">
        <v>4319</v>
      </c>
      <c r="D25" t="s">
        <v>4320</v>
      </c>
      <c r="E25" t="s">
        <v>4321</v>
      </c>
      <c r="F25" s="34">
        <v>11763655</v>
      </c>
      <c r="G25" s="35">
        <v>52936447.5</v>
      </c>
      <c r="H25" s="8">
        <v>1.46E-2</v>
      </c>
    </row>
    <row r="26" spans="1:8" x14ac:dyDescent="0.25">
      <c r="A26" s="10">
        <v>44589</v>
      </c>
      <c r="B26" t="s">
        <v>4293</v>
      </c>
      <c r="C26" t="s">
        <v>4322</v>
      </c>
      <c r="D26" t="s">
        <v>4323</v>
      </c>
      <c r="E26" t="s">
        <v>4324</v>
      </c>
      <c r="F26" s="34">
        <v>5451235</v>
      </c>
      <c r="G26" s="35">
        <v>52549905.399999999</v>
      </c>
      <c r="H26" s="8">
        <v>1.4500000000000001E-2</v>
      </c>
    </row>
    <row r="27" spans="1:8" x14ac:dyDescent="0.25">
      <c r="A27" s="10">
        <v>44589</v>
      </c>
      <c r="B27" t="s">
        <v>4293</v>
      </c>
      <c r="C27" t="s">
        <v>4325</v>
      </c>
      <c r="D27" t="s">
        <v>4326</v>
      </c>
      <c r="E27" t="s">
        <v>4327</v>
      </c>
      <c r="F27" s="34">
        <v>5232159</v>
      </c>
      <c r="G27" s="35">
        <v>52216946.82</v>
      </c>
      <c r="H27" s="8">
        <v>1.44E-2</v>
      </c>
    </row>
    <row r="28" spans="1:8" x14ac:dyDescent="0.25">
      <c r="A28" s="10">
        <v>44589</v>
      </c>
      <c r="B28" t="s">
        <v>4293</v>
      </c>
      <c r="C28" t="s">
        <v>4328</v>
      </c>
      <c r="D28" t="s">
        <v>129</v>
      </c>
      <c r="E28">
        <v>717081103</v>
      </c>
      <c r="F28" s="34">
        <v>939987</v>
      </c>
      <c r="G28" s="35">
        <v>50167106.189999998</v>
      </c>
      <c r="H28" s="8">
        <v>1.38E-2</v>
      </c>
    </row>
    <row r="29" spans="1:8" x14ac:dyDescent="0.25">
      <c r="A29" s="10">
        <v>44589</v>
      </c>
      <c r="B29" t="s">
        <v>4293</v>
      </c>
      <c r="C29" t="s">
        <v>4329</v>
      </c>
      <c r="D29" t="s">
        <v>85</v>
      </c>
      <c r="E29">
        <v>922475108</v>
      </c>
      <c r="F29" s="34">
        <v>210574</v>
      </c>
      <c r="G29" s="35">
        <v>45184968.920000002</v>
      </c>
      <c r="H29" s="8">
        <v>1.24E-2</v>
      </c>
    </row>
    <row r="30" spans="1:8" x14ac:dyDescent="0.25">
      <c r="A30" s="10">
        <v>44589</v>
      </c>
      <c r="B30" t="s">
        <v>4293</v>
      </c>
      <c r="C30" t="s">
        <v>4330</v>
      </c>
      <c r="D30" t="s">
        <v>71</v>
      </c>
      <c r="E30" t="s">
        <v>4331</v>
      </c>
      <c r="F30" s="34">
        <v>72582</v>
      </c>
      <c r="G30" s="35">
        <v>44182115.039999999</v>
      </c>
      <c r="H30" s="8">
        <v>1.2200000000000001E-2</v>
      </c>
    </row>
    <row r="31" spans="1:8" x14ac:dyDescent="0.25">
      <c r="A31" s="10">
        <v>44589</v>
      </c>
      <c r="B31" t="s">
        <v>4293</v>
      </c>
      <c r="C31" t="s">
        <v>4193</v>
      </c>
      <c r="D31" t="s">
        <v>4194</v>
      </c>
      <c r="E31">
        <v>462260100</v>
      </c>
      <c r="F31" s="34">
        <v>3141885</v>
      </c>
      <c r="G31" s="35">
        <v>43452269.549999997</v>
      </c>
      <c r="H31" s="8">
        <v>1.2E-2</v>
      </c>
    </row>
    <row r="32" spans="1:8" x14ac:dyDescent="0.25">
      <c r="A32" s="10">
        <v>44589</v>
      </c>
      <c r="B32" t="s">
        <v>4293</v>
      </c>
      <c r="C32" t="s">
        <v>4332</v>
      </c>
      <c r="D32" t="s">
        <v>4333</v>
      </c>
      <c r="E32" t="s">
        <v>4334</v>
      </c>
      <c r="F32" s="34">
        <v>1210212</v>
      </c>
      <c r="G32" s="35">
        <v>43035138.719999999</v>
      </c>
      <c r="H32" s="8">
        <v>1.18E-2</v>
      </c>
    </row>
    <row r="33" spans="1:8" x14ac:dyDescent="0.25">
      <c r="A33" s="10">
        <v>44589</v>
      </c>
      <c r="B33" t="s">
        <v>4293</v>
      </c>
      <c r="C33" t="s">
        <v>4335</v>
      </c>
      <c r="D33" t="s">
        <v>4336</v>
      </c>
      <c r="E33" t="s">
        <v>4337</v>
      </c>
      <c r="F33" s="34">
        <v>3110707</v>
      </c>
      <c r="G33" s="35">
        <v>40999118.259999998</v>
      </c>
      <c r="H33" s="8">
        <v>1.1299999999999999E-2</v>
      </c>
    </row>
    <row r="34" spans="1:8" x14ac:dyDescent="0.25">
      <c r="A34" s="10">
        <v>44589</v>
      </c>
      <c r="B34" t="s">
        <v>4293</v>
      </c>
      <c r="C34" t="s">
        <v>4338</v>
      </c>
      <c r="D34" t="s">
        <v>4339</v>
      </c>
      <c r="E34">
        <v>760273102</v>
      </c>
      <c r="F34" s="34">
        <v>2974889</v>
      </c>
      <c r="G34" s="35">
        <v>41112965.979999997</v>
      </c>
      <c r="H34" s="8">
        <v>1.1299999999999999E-2</v>
      </c>
    </row>
    <row r="35" spans="1:8" x14ac:dyDescent="0.25">
      <c r="A35" s="10">
        <v>44589</v>
      </c>
      <c r="B35" t="s">
        <v>4293</v>
      </c>
      <c r="C35" t="s">
        <v>4148</v>
      </c>
      <c r="D35" t="s">
        <v>3406</v>
      </c>
      <c r="E35" t="s">
        <v>4149</v>
      </c>
      <c r="F35" s="34">
        <v>469800</v>
      </c>
      <c r="G35" s="35">
        <v>40337028</v>
      </c>
      <c r="H35" s="8">
        <v>1.11E-2</v>
      </c>
    </row>
    <row r="36" spans="1:8" x14ac:dyDescent="0.25">
      <c r="A36" s="10">
        <v>44589</v>
      </c>
      <c r="B36" t="s">
        <v>4293</v>
      </c>
      <c r="C36" t="s">
        <v>4340</v>
      </c>
      <c r="D36" t="s">
        <v>4341</v>
      </c>
      <c r="E36">
        <v>124155102</v>
      </c>
      <c r="F36" s="34">
        <v>7592528</v>
      </c>
      <c r="G36" s="35">
        <v>38494116.960000001</v>
      </c>
      <c r="H36" s="8">
        <v>1.06E-2</v>
      </c>
    </row>
    <row r="37" spans="1:8" x14ac:dyDescent="0.25">
      <c r="A37" s="10">
        <v>44589</v>
      </c>
      <c r="B37" t="s">
        <v>4293</v>
      </c>
      <c r="C37" t="s">
        <v>4342</v>
      </c>
      <c r="D37" t="s">
        <v>4343</v>
      </c>
      <c r="E37" t="s">
        <v>4344</v>
      </c>
      <c r="F37" s="34">
        <v>1396470</v>
      </c>
      <c r="G37" s="35">
        <v>37104207.899999999</v>
      </c>
      <c r="H37" s="8">
        <v>1.0200000000000001E-2</v>
      </c>
    </row>
    <row r="38" spans="1:8" x14ac:dyDescent="0.25">
      <c r="A38" s="10">
        <v>44589</v>
      </c>
      <c r="B38" t="s">
        <v>4293</v>
      </c>
      <c r="C38" t="s">
        <v>4345</v>
      </c>
      <c r="D38" t="s">
        <v>4346</v>
      </c>
      <c r="E38" t="s">
        <v>4347</v>
      </c>
      <c r="F38" s="34">
        <v>2924247</v>
      </c>
      <c r="G38" s="35">
        <v>29885804.34</v>
      </c>
      <c r="H38" s="8">
        <v>8.2000000000000007E-3</v>
      </c>
    </row>
    <row r="39" spans="1:8" x14ac:dyDescent="0.25">
      <c r="A39" s="10">
        <v>44589</v>
      </c>
      <c r="B39" t="s">
        <v>4293</v>
      </c>
      <c r="C39" t="s">
        <v>4181</v>
      </c>
      <c r="D39" t="s">
        <v>4182</v>
      </c>
      <c r="E39">
        <v>84310101</v>
      </c>
      <c r="F39" s="34">
        <v>3528867</v>
      </c>
      <c r="G39" s="35">
        <v>28936709.399999999</v>
      </c>
      <c r="H39" s="8">
        <v>8.0000000000000002E-3</v>
      </c>
    </row>
    <row r="40" spans="1:8" x14ac:dyDescent="0.25">
      <c r="A40" s="10">
        <v>44589</v>
      </c>
      <c r="B40" t="s">
        <v>4293</v>
      </c>
      <c r="C40" t="s">
        <v>4348</v>
      </c>
      <c r="D40" t="s">
        <v>4349</v>
      </c>
      <c r="E40">
        <v>268010105</v>
      </c>
      <c r="F40" s="34">
        <v>2357283</v>
      </c>
      <c r="G40" s="35">
        <v>23242810.379999999</v>
      </c>
      <c r="H40" s="8">
        <v>6.4000000000000003E-3</v>
      </c>
    </row>
    <row r="41" spans="1:8" x14ac:dyDescent="0.25">
      <c r="A41" s="10">
        <v>44589</v>
      </c>
      <c r="B41" t="s">
        <v>4293</v>
      </c>
      <c r="C41" t="s">
        <v>4179</v>
      </c>
      <c r="D41" t="s">
        <v>4180</v>
      </c>
      <c r="E41">
        <v>157085101</v>
      </c>
      <c r="F41" s="34">
        <v>4540382</v>
      </c>
      <c r="G41" s="35">
        <v>21839237.420000002</v>
      </c>
      <c r="H41" s="8">
        <v>6.0000000000000001E-3</v>
      </c>
    </row>
    <row r="42" spans="1:8" x14ac:dyDescent="0.25">
      <c r="A42" s="10">
        <v>44589</v>
      </c>
      <c r="B42" t="s">
        <v>4293</v>
      </c>
      <c r="C42" t="s">
        <v>4131</v>
      </c>
      <c r="D42" t="s">
        <v>3255</v>
      </c>
      <c r="E42" t="s">
        <v>4132</v>
      </c>
      <c r="F42" s="34">
        <v>1650194</v>
      </c>
      <c r="G42" s="35">
        <v>20264382.32</v>
      </c>
      <c r="H42" s="8">
        <v>5.5999999999999999E-3</v>
      </c>
    </row>
    <row r="43" spans="1:8" x14ac:dyDescent="0.25">
      <c r="A43" s="10">
        <v>44589</v>
      </c>
      <c r="B43" t="s">
        <v>4293</v>
      </c>
      <c r="C43" t="s">
        <v>4350</v>
      </c>
      <c r="D43" t="s">
        <v>4351</v>
      </c>
      <c r="E43" t="s">
        <v>4352</v>
      </c>
      <c r="F43" s="34">
        <v>5416724</v>
      </c>
      <c r="G43" s="35">
        <v>18633530.559999999</v>
      </c>
      <c r="H43" s="8">
        <v>5.1000000000000004E-3</v>
      </c>
    </row>
    <row r="44" spans="1:8" x14ac:dyDescent="0.25">
      <c r="A44" s="10">
        <v>44589</v>
      </c>
      <c r="B44" t="s">
        <v>4293</v>
      </c>
      <c r="C44" t="s">
        <v>4353</v>
      </c>
      <c r="D44" t="s">
        <v>4354</v>
      </c>
      <c r="E44" t="s">
        <v>4355</v>
      </c>
      <c r="F44" s="34">
        <v>2935044</v>
      </c>
      <c r="G44" s="35">
        <v>17962469.280000001</v>
      </c>
      <c r="H44" s="8">
        <v>4.8999999999999998E-3</v>
      </c>
    </row>
    <row r="45" spans="1:8" x14ac:dyDescent="0.25">
      <c r="A45" s="10">
        <v>44589</v>
      </c>
      <c r="B45" t="s">
        <v>4293</v>
      </c>
      <c r="C45" t="s">
        <v>4190</v>
      </c>
      <c r="D45" t="s">
        <v>4191</v>
      </c>
      <c r="E45" t="s">
        <v>4192</v>
      </c>
      <c r="F45" s="34">
        <v>1000834</v>
      </c>
      <c r="G45" s="35">
        <v>17434528.280000001</v>
      </c>
      <c r="H45" s="8">
        <v>4.7999999999999996E-3</v>
      </c>
    </row>
    <row r="46" spans="1:8" x14ac:dyDescent="0.25">
      <c r="A46" s="10">
        <v>44589</v>
      </c>
      <c r="B46" t="s">
        <v>4293</v>
      </c>
      <c r="C46" t="s">
        <v>4356</v>
      </c>
      <c r="D46" t="s">
        <v>4357</v>
      </c>
      <c r="E46" t="s">
        <v>4358</v>
      </c>
      <c r="F46" s="34">
        <v>3246067</v>
      </c>
      <c r="G46" s="35">
        <v>15094211.550000001</v>
      </c>
      <c r="H46" s="8">
        <v>4.1999999999999997E-3</v>
      </c>
    </row>
    <row r="47" spans="1:8" x14ac:dyDescent="0.25">
      <c r="A47" s="10">
        <v>44589</v>
      </c>
      <c r="B47" t="s">
        <v>4293</v>
      </c>
      <c r="C47" t="s">
        <v>4359</v>
      </c>
      <c r="D47" t="s">
        <v>4360</v>
      </c>
      <c r="E47" t="s">
        <v>4361</v>
      </c>
      <c r="F47" s="34">
        <v>1410931</v>
      </c>
      <c r="G47" s="35">
        <v>11654290.060000001</v>
      </c>
      <c r="H47" s="8">
        <v>3.2000000000000002E-3</v>
      </c>
    </row>
    <row r="48" spans="1:8" x14ac:dyDescent="0.25">
      <c r="A48" s="10">
        <v>44589</v>
      </c>
      <c r="B48" t="s">
        <v>4293</v>
      </c>
      <c r="C48" t="s">
        <v>4183</v>
      </c>
      <c r="D48" t="s">
        <v>4184</v>
      </c>
      <c r="E48" t="s">
        <v>4185</v>
      </c>
      <c r="F48" s="34">
        <v>3322613</v>
      </c>
      <c r="G48" s="35">
        <v>10997849.029999999</v>
      </c>
      <c r="H48" s="8">
        <v>3.0000000000000001E-3</v>
      </c>
    </row>
    <row r="49" spans="1:8" x14ac:dyDescent="0.25">
      <c r="A49" s="10">
        <v>44589</v>
      </c>
      <c r="B49" t="s">
        <v>4293</v>
      </c>
      <c r="C49" t="s">
        <v>4186</v>
      </c>
      <c r="E49" t="s">
        <v>4187</v>
      </c>
      <c r="F49" s="34">
        <v>9200693</v>
      </c>
      <c r="G49" s="35">
        <v>9200692.5</v>
      </c>
      <c r="H49" s="8">
        <v>2.5000000000000001E-3</v>
      </c>
    </row>
    <row r="50" spans="1:8" x14ac:dyDescent="0.25">
      <c r="A50" s="10">
        <v>44589</v>
      </c>
      <c r="B50" t="s">
        <v>4293</v>
      </c>
      <c r="C50" t="s">
        <v>4362</v>
      </c>
      <c r="D50" t="s">
        <v>4363</v>
      </c>
      <c r="E50" t="s">
        <v>4364</v>
      </c>
      <c r="F50" s="34">
        <v>405173</v>
      </c>
      <c r="G50" s="35">
        <v>7005441.1699999999</v>
      </c>
      <c r="H50" s="8">
        <v>1.9E-3</v>
      </c>
    </row>
    <row r="51" spans="1:8" x14ac:dyDescent="0.25">
      <c r="A51" s="10">
        <v>44589</v>
      </c>
      <c r="B51" t="s">
        <v>4293</v>
      </c>
      <c r="C51" t="s">
        <v>4365</v>
      </c>
      <c r="D51" t="s">
        <v>4366</v>
      </c>
      <c r="E51" t="s">
        <v>4367</v>
      </c>
      <c r="F51" s="34">
        <v>3382063</v>
      </c>
      <c r="G51" s="35">
        <v>5276018.28</v>
      </c>
      <c r="H51" s="8">
        <v>1.5E-3</v>
      </c>
    </row>
    <row r="52" spans="1:8" x14ac:dyDescent="0.25">
      <c r="A52" s="10">
        <v>44589</v>
      </c>
      <c r="B52" t="s">
        <v>4293</v>
      </c>
      <c r="C52" t="s">
        <v>4368</v>
      </c>
      <c r="D52" t="s">
        <v>4369</v>
      </c>
      <c r="E52" t="s">
        <v>4370</v>
      </c>
      <c r="F52" s="34">
        <v>2350703</v>
      </c>
      <c r="G52" s="35">
        <v>3032406.87</v>
      </c>
      <c r="H52" s="8">
        <v>8.0000000000000004E-4</v>
      </c>
    </row>
    <row r="53" spans="1:8" x14ac:dyDescent="0.25">
      <c r="A53" s="10">
        <v>44589</v>
      </c>
      <c r="B53" t="s">
        <v>4293</v>
      </c>
      <c r="C53" t="s">
        <v>4246</v>
      </c>
      <c r="D53" t="s">
        <v>4247</v>
      </c>
      <c r="E53" t="s">
        <v>4248</v>
      </c>
      <c r="F53" s="34">
        <v>209762</v>
      </c>
      <c r="G53" s="35">
        <v>574747.88</v>
      </c>
      <c r="H53" s="8">
        <v>2.0000000000000001E-4</v>
      </c>
    </row>
    <row r="54" spans="1:8" x14ac:dyDescent="0.25">
      <c r="A54" s="10">
        <v>44589</v>
      </c>
      <c r="B54" t="s">
        <v>4293</v>
      </c>
      <c r="C54" t="s">
        <v>4371</v>
      </c>
      <c r="D54" t="s">
        <v>4372</v>
      </c>
      <c r="E54">
        <v>874060205</v>
      </c>
      <c r="F54" s="34">
        <v>48724</v>
      </c>
      <c r="G54" s="35">
        <v>702600.08</v>
      </c>
      <c r="H54" s="8">
        <v>2.0000000000000001E-4</v>
      </c>
    </row>
    <row r="55" spans="1:8" x14ac:dyDescent="0.25">
      <c r="A55"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4089</v>
      </c>
      <c r="C2" t="s">
        <v>4100</v>
      </c>
      <c r="D2" t="s">
        <v>317</v>
      </c>
      <c r="E2" t="s">
        <v>4101</v>
      </c>
      <c r="F2" s="34">
        <v>1089946</v>
      </c>
      <c r="G2" s="35">
        <v>903674228.60000002</v>
      </c>
      <c r="H2" s="8">
        <v>8.0699999999999994E-2</v>
      </c>
    </row>
    <row r="3" spans="1:8" x14ac:dyDescent="0.25">
      <c r="A3" s="10">
        <v>44589</v>
      </c>
      <c r="B3" t="s">
        <v>4089</v>
      </c>
      <c r="C3" t="s">
        <v>4102</v>
      </c>
      <c r="D3" t="s">
        <v>210</v>
      </c>
      <c r="E3" t="s">
        <v>4103</v>
      </c>
      <c r="F3" s="34">
        <v>5332008</v>
      </c>
      <c r="G3" s="35">
        <v>729472014.48000002</v>
      </c>
      <c r="H3" s="8">
        <v>6.5100000000000005E-2</v>
      </c>
    </row>
    <row r="4" spans="1:8" x14ac:dyDescent="0.25">
      <c r="A4" s="10">
        <v>44589</v>
      </c>
      <c r="B4" t="s">
        <v>4089</v>
      </c>
      <c r="C4" t="s">
        <v>4104</v>
      </c>
      <c r="D4" t="s">
        <v>3381</v>
      </c>
      <c r="E4" t="s">
        <v>4105</v>
      </c>
      <c r="F4" s="34">
        <v>10793279</v>
      </c>
      <c r="G4" s="35">
        <v>727898735.75999999</v>
      </c>
      <c r="H4" s="8">
        <v>6.5000000000000002E-2</v>
      </c>
    </row>
    <row r="5" spans="1:8" x14ac:dyDescent="0.25">
      <c r="A5" s="10">
        <v>44589</v>
      </c>
      <c r="B5" t="s">
        <v>4089</v>
      </c>
      <c r="C5" t="s">
        <v>4106</v>
      </c>
      <c r="D5" t="s">
        <v>3278</v>
      </c>
      <c r="E5" t="s">
        <v>4107</v>
      </c>
      <c r="F5" s="34">
        <v>4874559</v>
      </c>
      <c r="G5" s="35">
        <v>720557311.38</v>
      </c>
      <c r="H5" s="8">
        <v>6.4299999999999996E-2</v>
      </c>
    </row>
    <row r="6" spans="1:8" x14ac:dyDescent="0.25">
      <c r="A6" s="10">
        <v>44589</v>
      </c>
      <c r="B6" t="s">
        <v>4089</v>
      </c>
      <c r="C6" t="s">
        <v>4108</v>
      </c>
      <c r="D6" t="s">
        <v>3229</v>
      </c>
      <c r="E6" t="s">
        <v>4109</v>
      </c>
      <c r="F6" s="34">
        <v>3387915</v>
      </c>
      <c r="G6" s="35">
        <v>576623133</v>
      </c>
      <c r="H6" s="8">
        <v>5.1499999999999997E-2</v>
      </c>
    </row>
    <row r="7" spans="1:8" x14ac:dyDescent="0.25">
      <c r="A7" s="10">
        <v>44589</v>
      </c>
      <c r="B7" t="s">
        <v>4089</v>
      </c>
      <c r="C7" t="s">
        <v>4110</v>
      </c>
      <c r="D7" t="s">
        <v>3413</v>
      </c>
      <c r="E7" t="s">
        <v>4111</v>
      </c>
      <c r="F7" s="34">
        <v>7864600</v>
      </c>
      <c r="G7" s="35">
        <v>541949586</v>
      </c>
      <c r="H7" s="8">
        <v>4.8399999999999999E-2</v>
      </c>
    </row>
    <row r="8" spans="1:8" x14ac:dyDescent="0.25">
      <c r="A8" s="10">
        <v>44589</v>
      </c>
      <c r="B8" t="s">
        <v>4089</v>
      </c>
      <c r="C8" t="s">
        <v>4112</v>
      </c>
      <c r="D8" t="s">
        <v>3244</v>
      </c>
      <c r="E8" t="s">
        <v>4113</v>
      </c>
      <c r="F8" s="34">
        <v>5236903</v>
      </c>
      <c r="G8" s="35">
        <v>495934714.10000002</v>
      </c>
      <c r="H8" s="8">
        <v>4.4299999999999999E-2</v>
      </c>
    </row>
    <row r="9" spans="1:8" x14ac:dyDescent="0.25">
      <c r="A9" s="10">
        <v>44589</v>
      </c>
      <c r="B9" t="s">
        <v>4089</v>
      </c>
      <c r="C9" t="s">
        <v>4114</v>
      </c>
      <c r="D9" t="s">
        <v>4115</v>
      </c>
      <c r="E9" t="s">
        <v>4116</v>
      </c>
      <c r="F9" s="34">
        <v>2816149</v>
      </c>
      <c r="G9" s="35">
        <v>482462646.68000001</v>
      </c>
      <c r="H9" s="8">
        <v>4.3099999999999999E-2</v>
      </c>
    </row>
    <row r="10" spans="1:8" x14ac:dyDescent="0.25">
      <c r="A10" s="10">
        <v>44589</v>
      </c>
      <c r="B10" t="s">
        <v>4089</v>
      </c>
      <c r="C10" t="s">
        <v>4117</v>
      </c>
      <c r="D10" t="s">
        <v>3524</v>
      </c>
      <c r="E10" t="s">
        <v>4118</v>
      </c>
      <c r="F10" s="34">
        <v>5536047</v>
      </c>
      <c r="G10" s="35">
        <v>456170272.80000001</v>
      </c>
      <c r="H10" s="8">
        <v>4.07E-2</v>
      </c>
    </row>
    <row r="11" spans="1:8" x14ac:dyDescent="0.25">
      <c r="A11" s="10">
        <v>44589</v>
      </c>
      <c r="B11" t="s">
        <v>4089</v>
      </c>
      <c r="C11" t="s">
        <v>4119</v>
      </c>
      <c r="D11" t="s">
        <v>3324</v>
      </c>
      <c r="E11" t="s">
        <v>4120</v>
      </c>
      <c r="F11" s="34">
        <v>13846651</v>
      </c>
      <c r="G11" s="35">
        <v>454862485.35000002</v>
      </c>
      <c r="H11" s="8">
        <v>4.0599999999999997E-2</v>
      </c>
    </row>
    <row r="12" spans="1:8" x14ac:dyDescent="0.25">
      <c r="A12" s="10">
        <v>44589</v>
      </c>
      <c r="B12" t="s">
        <v>4089</v>
      </c>
      <c r="C12" t="s">
        <v>4121</v>
      </c>
      <c r="D12" t="s">
        <v>3240</v>
      </c>
      <c r="E12" t="s">
        <v>4122</v>
      </c>
      <c r="F12" s="34">
        <v>2551262</v>
      </c>
      <c r="G12" s="35">
        <v>450935558.5</v>
      </c>
      <c r="H12" s="8">
        <v>4.0300000000000002E-2</v>
      </c>
    </row>
    <row r="13" spans="1:8" x14ac:dyDescent="0.25">
      <c r="A13" s="10">
        <v>44589</v>
      </c>
      <c r="B13" t="s">
        <v>4089</v>
      </c>
      <c r="C13" t="s">
        <v>4123</v>
      </c>
      <c r="D13" t="s">
        <v>3227</v>
      </c>
      <c r="E13">
        <v>852234103</v>
      </c>
      <c r="F13" s="34">
        <v>3947732</v>
      </c>
      <c r="G13" s="35">
        <v>417038408.48000002</v>
      </c>
      <c r="H13" s="8">
        <v>3.7199999999999997E-2</v>
      </c>
    </row>
    <row r="14" spans="1:8" x14ac:dyDescent="0.25">
      <c r="A14" s="10">
        <v>44589</v>
      </c>
      <c r="B14" t="s">
        <v>4089</v>
      </c>
      <c r="C14" t="s">
        <v>4124</v>
      </c>
      <c r="D14" t="s">
        <v>3685</v>
      </c>
      <c r="E14" t="s">
        <v>4125</v>
      </c>
      <c r="F14" s="34">
        <v>5938841</v>
      </c>
      <c r="G14" s="35">
        <v>354489419.29000002</v>
      </c>
      <c r="H14" s="8">
        <v>3.1699999999999999E-2</v>
      </c>
    </row>
    <row r="15" spans="1:8" x14ac:dyDescent="0.25">
      <c r="A15" s="10">
        <v>44589</v>
      </c>
      <c r="B15" t="s">
        <v>4089</v>
      </c>
      <c r="C15" t="s">
        <v>4126</v>
      </c>
      <c r="D15" t="s">
        <v>3870</v>
      </c>
      <c r="E15" t="s">
        <v>4127</v>
      </c>
      <c r="F15" s="34">
        <v>6006663</v>
      </c>
      <c r="G15" s="35">
        <v>352951517.88</v>
      </c>
      <c r="H15" s="8">
        <v>3.15E-2</v>
      </c>
    </row>
    <row r="16" spans="1:8" x14ac:dyDescent="0.25">
      <c r="A16" s="10">
        <v>44589</v>
      </c>
      <c r="B16" t="s">
        <v>4089</v>
      </c>
      <c r="C16" t="s">
        <v>4128</v>
      </c>
      <c r="D16" t="s">
        <v>4129</v>
      </c>
      <c r="E16" t="s">
        <v>4130</v>
      </c>
      <c r="F16" s="34">
        <v>401794</v>
      </c>
      <c r="G16" s="35">
        <v>327767473.44</v>
      </c>
      <c r="H16" s="8">
        <v>2.93E-2</v>
      </c>
    </row>
    <row r="17" spans="1:9" x14ac:dyDescent="0.25">
      <c r="A17" s="10">
        <v>44589</v>
      </c>
      <c r="B17" t="s">
        <v>4089</v>
      </c>
      <c r="C17" t="s">
        <v>4131</v>
      </c>
      <c r="D17" t="s">
        <v>3255</v>
      </c>
      <c r="E17" t="s">
        <v>4132</v>
      </c>
      <c r="F17" s="34">
        <v>23984551</v>
      </c>
      <c r="G17" s="35">
        <v>294530286.27999997</v>
      </c>
      <c r="H17" s="8">
        <v>2.63E-2</v>
      </c>
    </row>
    <row r="18" spans="1:9" x14ac:dyDescent="0.25">
      <c r="A18" s="10">
        <v>44589</v>
      </c>
      <c r="B18" t="s">
        <v>4089</v>
      </c>
      <c r="C18" t="s">
        <v>4133</v>
      </c>
      <c r="D18" t="s">
        <v>3457</v>
      </c>
      <c r="E18" t="s">
        <v>4134</v>
      </c>
      <c r="F18" s="34">
        <v>13691783</v>
      </c>
      <c r="G18" s="35">
        <v>265483672.37</v>
      </c>
      <c r="H18" s="8">
        <v>2.3699999999999999E-2</v>
      </c>
    </row>
    <row r="19" spans="1:9" x14ac:dyDescent="0.25">
      <c r="A19" s="10">
        <v>44589</v>
      </c>
      <c r="B19" t="s">
        <v>4089</v>
      </c>
      <c r="C19" t="s">
        <v>4135</v>
      </c>
      <c r="D19" t="s">
        <v>611</v>
      </c>
      <c r="E19" t="s">
        <v>4136</v>
      </c>
      <c r="F19" s="34">
        <v>7273547</v>
      </c>
      <c r="G19" s="35">
        <v>246136830.47999999</v>
      </c>
      <c r="H19" s="8">
        <v>2.1999999999999999E-2</v>
      </c>
    </row>
    <row r="20" spans="1:9" x14ac:dyDescent="0.25">
      <c r="A20" s="10">
        <v>44589</v>
      </c>
      <c r="B20" t="s">
        <v>4089</v>
      </c>
      <c r="C20" t="s">
        <v>4137</v>
      </c>
      <c r="D20" t="s">
        <v>4138</v>
      </c>
      <c r="E20" t="s">
        <v>4139</v>
      </c>
      <c r="F20" s="34">
        <v>7153118</v>
      </c>
      <c r="G20" s="35">
        <v>216811006.58000001</v>
      </c>
      <c r="H20" s="8">
        <v>1.9400000000000001E-2</v>
      </c>
    </row>
    <row r="21" spans="1:9" x14ac:dyDescent="0.25">
      <c r="A21" s="10">
        <v>44589</v>
      </c>
      <c r="B21" t="s">
        <v>4089</v>
      </c>
      <c r="C21" t="s">
        <v>4140</v>
      </c>
      <c r="D21" t="s">
        <v>3672</v>
      </c>
      <c r="E21" t="s">
        <v>4141</v>
      </c>
      <c r="F21" s="34">
        <v>5827528</v>
      </c>
      <c r="G21" s="35">
        <v>208508951.84</v>
      </c>
      <c r="H21" s="8">
        <v>1.8599999999999998E-2</v>
      </c>
    </row>
    <row r="22" spans="1:9" x14ac:dyDescent="0.25">
      <c r="A22" s="10">
        <v>44589</v>
      </c>
      <c r="B22" t="s">
        <v>4089</v>
      </c>
      <c r="C22" t="s">
        <v>4142</v>
      </c>
      <c r="D22" t="s">
        <v>1673</v>
      </c>
      <c r="E22" t="s">
        <v>4143</v>
      </c>
      <c r="F22" s="34">
        <v>5234358</v>
      </c>
      <c r="G22" s="35">
        <v>178334577.06</v>
      </c>
      <c r="H22" s="8">
        <v>1.5900000000000001E-2</v>
      </c>
    </row>
    <row r="23" spans="1:9" x14ac:dyDescent="0.25">
      <c r="A23" s="10">
        <v>44589</v>
      </c>
      <c r="B23" t="s">
        <v>4089</v>
      </c>
      <c r="C23" t="s">
        <v>4144</v>
      </c>
      <c r="D23" t="s">
        <v>4145</v>
      </c>
      <c r="E23" t="s">
        <v>4146</v>
      </c>
      <c r="F23" s="34">
        <v>17067524</v>
      </c>
      <c r="G23" s="35">
        <v>165213632.31999999</v>
      </c>
      <c r="H23" s="8">
        <v>1.4800000000000001E-2</v>
      </c>
    </row>
    <row r="24" spans="1:9" x14ac:dyDescent="0.25">
      <c r="A24" s="10">
        <v>44589</v>
      </c>
      <c r="B24" t="s">
        <v>4089</v>
      </c>
      <c r="C24" t="s">
        <v>4147</v>
      </c>
      <c r="D24" t="s">
        <v>3419</v>
      </c>
      <c r="E24">
        <v>770700102</v>
      </c>
      <c r="F24" s="34">
        <v>14054058</v>
      </c>
      <c r="G24" s="35">
        <v>163167613.38</v>
      </c>
      <c r="H24" s="8">
        <v>1.46E-2</v>
      </c>
    </row>
    <row r="25" spans="1:9" x14ac:dyDescent="0.25">
      <c r="A25" s="10">
        <v>44589</v>
      </c>
      <c r="B25" t="s">
        <v>4089</v>
      </c>
      <c r="C25" t="s">
        <v>4148</v>
      </c>
      <c r="D25" t="s">
        <v>3406</v>
      </c>
      <c r="E25" t="s">
        <v>4149</v>
      </c>
      <c r="F25" s="34">
        <v>1885241</v>
      </c>
      <c r="G25" s="35">
        <v>161866792.25999999</v>
      </c>
      <c r="H25" s="8">
        <v>1.4500000000000001E-2</v>
      </c>
    </row>
    <row r="26" spans="1:9" x14ac:dyDescent="0.25">
      <c r="A26" s="10">
        <v>44589</v>
      </c>
      <c r="B26" t="s">
        <v>4089</v>
      </c>
      <c r="C26" t="s">
        <v>4150</v>
      </c>
      <c r="D26" t="s">
        <v>3451</v>
      </c>
      <c r="E26" t="s">
        <v>4151</v>
      </c>
      <c r="F26" s="34">
        <v>31096159</v>
      </c>
      <c r="G26" s="35">
        <v>144597139.34999999</v>
      </c>
      <c r="H26" s="8">
        <v>1.29E-2</v>
      </c>
    </row>
    <row r="27" spans="1:9" x14ac:dyDescent="0.25">
      <c r="A27" s="10">
        <v>44589</v>
      </c>
      <c r="B27" t="s">
        <v>4089</v>
      </c>
      <c r="C27" t="s">
        <v>4152</v>
      </c>
      <c r="D27" t="s">
        <v>437</v>
      </c>
      <c r="E27">
        <v>896239100</v>
      </c>
      <c r="F27" s="34">
        <v>2025249</v>
      </c>
      <c r="G27" s="35">
        <v>135954965.37</v>
      </c>
      <c r="H27" s="8">
        <v>1.21E-2</v>
      </c>
      <c r="I27" s="28"/>
    </row>
    <row r="28" spans="1:9" x14ac:dyDescent="0.25">
      <c r="A28" s="10">
        <v>44589</v>
      </c>
      <c r="B28" t="s">
        <v>4089</v>
      </c>
      <c r="C28" t="s">
        <v>4153</v>
      </c>
      <c r="D28" t="s">
        <v>4154</v>
      </c>
      <c r="E28" t="s">
        <v>4155</v>
      </c>
      <c r="F28" s="34">
        <v>10898982</v>
      </c>
      <c r="G28" s="35">
        <v>124466374.44</v>
      </c>
      <c r="H28" s="8">
        <v>1.11E-2</v>
      </c>
    </row>
    <row r="29" spans="1:9" x14ac:dyDescent="0.25">
      <c r="A29" s="10">
        <v>44589</v>
      </c>
      <c r="B29" t="s">
        <v>4089</v>
      </c>
      <c r="C29" t="s">
        <v>4156</v>
      </c>
      <c r="D29" t="s">
        <v>4157</v>
      </c>
      <c r="E29" t="s">
        <v>4158</v>
      </c>
      <c r="F29" s="34">
        <v>4627725</v>
      </c>
      <c r="G29" s="35">
        <v>118284651</v>
      </c>
      <c r="H29" s="8">
        <v>1.06E-2</v>
      </c>
    </row>
    <row r="30" spans="1:9" x14ac:dyDescent="0.25">
      <c r="A30" s="10">
        <v>44589</v>
      </c>
      <c r="B30" t="s">
        <v>4089</v>
      </c>
      <c r="C30" t="s">
        <v>4159</v>
      </c>
      <c r="D30" t="s">
        <v>4160</v>
      </c>
      <c r="E30" t="s">
        <v>4161</v>
      </c>
      <c r="F30" s="34">
        <v>11690101</v>
      </c>
      <c r="G30" s="35">
        <v>110120751.42</v>
      </c>
      <c r="H30" s="8">
        <v>9.7999999999999997E-3</v>
      </c>
    </row>
    <row r="31" spans="1:9" x14ac:dyDescent="0.25">
      <c r="A31" s="10">
        <v>44589</v>
      </c>
      <c r="B31" t="s">
        <v>4089</v>
      </c>
      <c r="C31" t="s">
        <v>4162</v>
      </c>
      <c r="D31" t="s">
        <v>3613</v>
      </c>
      <c r="E31" t="s">
        <v>4163</v>
      </c>
      <c r="F31" s="34">
        <v>6710680</v>
      </c>
      <c r="G31" s="35">
        <v>106766918.8</v>
      </c>
      <c r="H31" s="8">
        <v>9.4999999999999998E-3</v>
      </c>
    </row>
    <row r="32" spans="1:9" x14ac:dyDescent="0.25">
      <c r="A32" s="10">
        <v>44589</v>
      </c>
      <c r="B32" t="s">
        <v>4089</v>
      </c>
      <c r="C32" t="s">
        <v>4164</v>
      </c>
      <c r="D32" t="s">
        <v>3972</v>
      </c>
      <c r="E32" t="s">
        <v>4165</v>
      </c>
      <c r="F32" s="34">
        <v>4524651</v>
      </c>
      <c r="G32" s="35">
        <v>95334396.569999993</v>
      </c>
      <c r="H32" s="8">
        <v>8.5000000000000006E-3</v>
      </c>
    </row>
    <row r="33" spans="1:8" x14ac:dyDescent="0.25">
      <c r="A33" s="10">
        <v>44589</v>
      </c>
      <c r="B33" t="s">
        <v>4089</v>
      </c>
      <c r="C33" t="s">
        <v>4166</v>
      </c>
      <c r="D33" t="s">
        <v>4167</v>
      </c>
      <c r="E33" t="s">
        <v>4168</v>
      </c>
      <c r="F33" s="34">
        <v>1653135</v>
      </c>
      <c r="G33" s="35">
        <v>84871950.900000006</v>
      </c>
      <c r="H33" s="8">
        <v>7.6E-3</v>
      </c>
    </row>
    <row r="34" spans="1:8" x14ac:dyDescent="0.25">
      <c r="A34" s="10">
        <v>44589</v>
      </c>
      <c r="B34" t="s">
        <v>4089</v>
      </c>
      <c r="C34" t="s">
        <v>4169</v>
      </c>
      <c r="D34" t="s">
        <v>4170</v>
      </c>
      <c r="E34" t="s">
        <v>4171</v>
      </c>
      <c r="F34" s="34">
        <v>5603803</v>
      </c>
      <c r="G34" s="35">
        <v>75651340.5</v>
      </c>
      <c r="H34" s="8">
        <v>6.7999999999999996E-3</v>
      </c>
    </row>
    <row r="35" spans="1:8" x14ac:dyDescent="0.25">
      <c r="A35" s="10">
        <v>44589</v>
      </c>
      <c r="B35" t="s">
        <v>4089</v>
      </c>
      <c r="C35" t="s">
        <v>4172</v>
      </c>
      <c r="D35" t="s">
        <v>3231</v>
      </c>
      <c r="E35">
        <v>771049103</v>
      </c>
      <c r="F35" s="34">
        <v>1273784</v>
      </c>
      <c r="G35" s="35">
        <v>72682115.040000007</v>
      </c>
      <c r="H35" s="8">
        <v>6.4999999999999997E-3</v>
      </c>
    </row>
    <row r="36" spans="1:8" x14ac:dyDescent="0.25">
      <c r="A36" s="10">
        <v>44589</v>
      </c>
      <c r="B36" t="s">
        <v>4089</v>
      </c>
      <c r="C36" t="s">
        <v>4173</v>
      </c>
      <c r="D36" t="s">
        <v>4174</v>
      </c>
      <c r="E36" t="s">
        <v>4175</v>
      </c>
      <c r="F36" s="34">
        <v>3696791</v>
      </c>
      <c r="G36" s="35">
        <v>66431334.270000003</v>
      </c>
      <c r="H36" s="8">
        <v>5.8999999999999999E-3</v>
      </c>
    </row>
    <row r="37" spans="1:8" x14ac:dyDescent="0.25">
      <c r="A37" s="10">
        <v>44589</v>
      </c>
      <c r="B37" t="s">
        <v>4089</v>
      </c>
      <c r="C37" t="s">
        <v>4176</v>
      </c>
      <c r="D37" t="s">
        <v>4177</v>
      </c>
      <c r="E37" t="s">
        <v>4178</v>
      </c>
      <c r="F37" s="34">
        <v>11882879</v>
      </c>
      <c r="G37" s="35">
        <v>50621064.539999999</v>
      </c>
      <c r="H37" s="8">
        <v>4.4999999999999997E-3</v>
      </c>
    </row>
    <row r="38" spans="1:8" x14ac:dyDescent="0.25">
      <c r="A38" s="10">
        <v>44589</v>
      </c>
      <c r="B38" t="s">
        <v>4089</v>
      </c>
      <c r="C38" t="s">
        <v>4179</v>
      </c>
      <c r="D38" t="s">
        <v>4180</v>
      </c>
      <c r="E38">
        <v>157085101</v>
      </c>
      <c r="F38" s="34">
        <v>9717259</v>
      </c>
      <c r="G38" s="35">
        <v>46740015.789999999</v>
      </c>
      <c r="H38" s="8">
        <v>4.1999999999999997E-3</v>
      </c>
    </row>
    <row r="39" spans="1:8" x14ac:dyDescent="0.25">
      <c r="A39" s="10">
        <v>44589</v>
      </c>
      <c r="B39" t="s">
        <v>4089</v>
      </c>
      <c r="C39" t="s">
        <v>4181</v>
      </c>
      <c r="D39" t="s">
        <v>4182</v>
      </c>
      <c r="E39">
        <v>84310101</v>
      </c>
      <c r="F39" s="34">
        <v>4548563</v>
      </c>
      <c r="G39" s="35">
        <v>37298216.600000001</v>
      </c>
      <c r="H39" s="8">
        <v>3.3E-3</v>
      </c>
    </row>
    <row r="40" spans="1:8" x14ac:dyDescent="0.25">
      <c r="A40" s="10">
        <v>44589</v>
      </c>
      <c r="B40" t="s">
        <v>4089</v>
      </c>
      <c r="C40" t="s">
        <v>4183</v>
      </c>
      <c r="D40" t="s">
        <v>4184</v>
      </c>
      <c r="E40" t="s">
        <v>4185</v>
      </c>
      <c r="F40" s="34">
        <v>5568961</v>
      </c>
      <c r="G40" s="35">
        <v>18433260.91</v>
      </c>
      <c r="H40" s="8">
        <v>1.6000000000000001E-3</v>
      </c>
    </row>
    <row r="41" spans="1:8" x14ac:dyDescent="0.25">
      <c r="A41" s="10">
        <v>44589</v>
      </c>
      <c r="B41" t="s">
        <v>4089</v>
      </c>
      <c r="C41" t="s">
        <v>4186</v>
      </c>
      <c r="E41" t="s">
        <v>4187</v>
      </c>
      <c r="F41" s="34">
        <v>7778341</v>
      </c>
      <c r="G41" s="35">
        <v>7778340.5899999999</v>
      </c>
      <c r="H41" s="8">
        <v>6.9999999999999999E-4</v>
      </c>
    </row>
    <row r="42" spans="1:8" x14ac:dyDescent="0.25">
      <c r="A42" s="10">
        <v>44589</v>
      </c>
      <c r="B42" t="s">
        <v>4089</v>
      </c>
      <c r="C42" t="s">
        <v>4188</v>
      </c>
      <c r="D42" t="s">
        <v>2251</v>
      </c>
      <c r="E42" t="s">
        <v>4189</v>
      </c>
      <c r="F42" s="34">
        <v>386442</v>
      </c>
      <c r="G42" s="35">
        <v>6194665.2599999998</v>
      </c>
      <c r="H42" s="8">
        <v>5.9999999999999995E-4</v>
      </c>
    </row>
    <row r="43" spans="1:8" x14ac:dyDescent="0.25">
      <c r="A43" s="10">
        <v>44589</v>
      </c>
      <c r="B43" t="s">
        <v>4089</v>
      </c>
      <c r="C43" t="s">
        <v>4190</v>
      </c>
      <c r="D43" t="s">
        <v>4191</v>
      </c>
      <c r="E43" t="s">
        <v>4192</v>
      </c>
      <c r="F43" s="34">
        <v>147009</v>
      </c>
      <c r="G43" s="35">
        <v>2560896.7799999998</v>
      </c>
      <c r="H43" s="8">
        <v>2.0000000000000001E-4</v>
      </c>
    </row>
    <row r="44" spans="1:8" x14ac:dyDescent="0.25">
      <c r="A44" s="10">
        <v>44589</v>
      </c>
      <c r="B44" t="s">
        <v>4089</v>
      </c>
      <c r="C44" t="s">
        <v>4193</v>
      </c>
      <c r="D44" t="s">
        <v>4194</v>
      </c>
      <c r="E44">
        <v>462260100</v>
      </c>
      <c r="F44">
        <v>150</v>
      </c>
      <c r="G44" s="35">
        <v>2074.5</v>
      </c>
      <c r="H44" s="8">
        <v>0</v>
      </c>
    </row>
    <row r="45" spans="1:8" x14ac:dyDescent="0.25">
      <c r="A45"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4196</v>
      </c>
      <c r="C2" t="s">
        <v>4100</v>
      </c>
      <c r="D2" t="s">
        <v>317</v>
      </c>
      <c r="E2" t="s">
        <v>4101</v>
      </c>
      <c r="F2" s="34">
        <v>183267</v>
      </c>
      <c r="G2" s="35">
        <v>151946669.69999999</v>
      </c>
      <c r="H2" s="8">
        <v>9.9699999999999997E-2</v>
      </c>
    </row>
    <row r="3" spans="1:8" x14ac:dyDescent="0.25">
      <c r="A3" s="10">
        <v>44589</v>
      </c>
      <c r="B3" t="s">
        <v>4196</v>
      </c>
      <c r="C3" t="s">
        <v>4119</v>
      </c>
      <c r="D3" t="s">
        <v>3324</v>
      </c>
      <c r="E3" t="s">
        <v>4120</v>
      </c>
      <c r="F3" s="34">
        <v>3656696</v>
      </c>
      <c r="G3" s="35">
        <v>120122463.59999999</v>
      </c>
      <c r="H3" s="8">
        <v>7.8799999999999995E-2</v>
      </c>
    </row>
    <row r="4" spans="1:8" x14ac:dyDescent="0.25">
      <c r="A4" s="10">
        <v>44589</v>
      </c>
      <c r="B4" t="s">
        <v>4196</v>
      </c>
      <c r="C4" t="s">
        <v>4197</v>
      </c>
      <c r="D4" t="s">
        <v>4198</v>
      </c>
      <c r="E4" t="s">
        <v>4199</v>
      </c>
      <c r="F4" s="34">
        <v>7049075</v>
      </c>
      <c r="G4" s="35">
        <v>114124524.25</v>
      </c>
      <c r="H4" s="8">
        <v>7.4899999999999994E-2</v>
      </c>
    </row>
    <row r="5" spans="1:8" x14ac:dyDescent="0.25">
      <c r="A5" s="10">
        <v>44589</v>
      </c>
      <c r="B5" t="s">
        <v>4196</v>
      </c>
      <c r="C5" t="s">
        <v>4152</v>
      </c>
      <c r="D5" t="s">
        <v>437</v>
      </c>
      <c r="E5">
        <v>896239100</v>
      </c>
      <c r="F5" s="34">
        <v>1673076</v>
      </c>
      <c r="G5" s="35">
        <v>112313591.88</v>
      </c>
      <c r="H5" s="8">
        <v>7.3700000000000002E-2</v>
      </c>
    </row>
    <row r="6" spans="1:8" x14ac:dyDescent="0.25">
      <c r="A6" s="10">
        <v>44589</v>
      </c>
      <c r="B6" t="s">
        <v>4196</v>
      </c>
      <c r="C6" t="s">
        <v>4142</v>
      </c>
      <c r="D6" t="s">
        <v>1673</v>
      </c>
      <c r="E6" t="s">
        <v>4143</v>
      </c>
      <c r="F6" s="34">
        <v>2289571</v>
      </c>
      <c r="G6" s="35">
        <v>78005683.969999999</v>
      </c>
      <c r="H6" s="8">
        <v>5.1200000000000002E-2</v>
      </c>
    </row>
    <row r="7" spans="1:8" x14ac:dyDescent="0.25">
      <c r="A7" s="10">
        <v>44589</v>
      </c>
      <c r="B7" t="s">
        <v>4196</v>
      </c>
      <c r="C7" t="s">
        <v>4200</v>
      </c>
      <c r="D7" t="s">
        <v>4201</v>
      </c>
      <c r="E7">
        <v>500458401</v>
      </c>
      <c r="F7" s="34">
        <v>3035643</v>
      </c>
      <c r="G7" s="35">
        <v>73371491.310000002</v>
      </c>
      <c r="H7" s="8">
        <v>4.8099999999999997E-2</v>
      </c>
    </row>
    <row r="8" spans="1:8" x14ac:dyDescent="0.25">
      <c r="A8" s="10">
        <v>44589</v>
      </c>
      <c r="B8" t="s">
        <v>4196</v>
      </c>
      <c r="C8" t="s">
        <v>4202</v>
      </c>
      <c r="D8" t="s">
        <v>501</v>
      </c>
      <c r="E8">
        <v>244199105</v>
      </c>
      <c r="F8" s="34">
        <v>181934</v>
      </c>
      <c r="G8" s="35">
        <v>68399906.640000001</v>
      </c>
      <c r="H8" s="8">
        <v>4.4900000000000002E-2</v>
      </c>
    </row>
    <row r="9" spans="1:8" x14ac:dyDescent="0.25">
      <c r="A9" s="10">
        <v>44589</v>
      </c>
      <c r="B9" t="s">
        <v>4196</v>
      </c>
      <c r="C9" t="s">
        <v>4188</v>
      </c>
      <c r="D9" t="s">
        <v>2251</v>
      </c>
      <c r="E9" t="s">
        <v>4189</v>
      </c>
      <c r="F9" s="34">
        <v>3282503</v>
      </c>
      <c r="G9" s="35">
        <v>52618523.090000004</v>
      </c>
      <c r="H9" s="8">
        <v>3.4500000000000003E-2</v>
      </c>
    </row>
    <row r="10" spans="1:8" x14ac:dyDescent="0.25">
      <c r="A10" s="10">
        <v>44589</v>
      </c>
      <c r="B10" t="s">
        <v>4196</v>
      </c>
      <c r="C10" t="s">
        <v>4112</v>
      </c>
      <c r="D10" t="s">
        <v>3244</v>
      </c>
      <c r="E10" t="s">
        <v>4113</v>
      </c>
      <c r="F10" s="34">
        <v>512677</v>
      </c>
      <c r="G10" s="35">
        <v>48550511.899999999</v>
      </c>
      <c r="H10" s="8">
        <v>3.1899999999999998E-2</v>
      </c>
    </row>
    <row r="11" spans="1:8" x14ac:dyDescent="0.25">
      <c r="A11" s="10">
        <v>44589</v>
      </c>
      <c r="B11" t="s">
        <v>4196</v>
      </c>
      <c r="C11" t="s">
        <v>4203</v>
      </c>
      <c r="D11" t="s">
        <v>2603</v>
      </c>
      <c r="E11">
        <v>8073108</v>
      </c>
      <c r="F11" s="34">
        <v>827619</v>
      </c>
      <c r="G11" s="35">
        <v>44691426</v>
      </c>
      <c r="H11" s="8">
        <v>2.93E-2</v>
      </c>
    </row>
    <row r="12" spans="1:8" x14ac:dyDescent="0.25">
      <c r="A12" s="10">
        <v>44589</v>
      </c>
      <c r="B12" t="s">
        <v>4196</v>
      </c>
      <c r="C12" t="s">
        <v>4204</v>
      </c>
      <c r="D12" t="s">
        <v>358</v>
      </c>
      <c r="E12">
        <v>559222401</v>
      </c>
      <c r="F12" s="34">
        <v>551290</v>
      </c>
      <c r="G12" s="35">
        <v>43425113.299999997</v>
      </c>
      <c r="H12" s="8">
        <v>2.8500000000000001E-2</v>
      </c>
    </row>
    <row r="13" spans="1:8" x14ac:dyDescent="0.25">
      <c r="A13" s="10">
        <v>44589</v>
      </c>
      <c r="B13" t="s">
        <v>4196</v>
      </c>
      <c r="C13" t="s">
        <v>4205</v>
      </c>
      <c r="D13" t="s">
        <v>4206</v>
      </c>
      <c r="E13" t="s">
        <v>4207</v>
      </c>
      <c r="F13" s="34">
        <v>9579201</v>
      </c>
      <c r="G13" s="35">
        <v>40520020.229999997</v>
      </c>
      <c r="H13" s="8">
        <v>2.6599999999999999E-2</v>
      </c>
    </row>
    <row r="14" spans="1:8" x14ac:dyDescent="0.25">
      <c r="A14" s="10">
        <v>44589</v>
      </c>
      <c r="B14" t="s">
        <v>4196</v>
      </c>
      <c r="C14" t="s">
        <v>4208</v>
      </c>
      <c r="D14" t="s">
        <v>412</v>
      </c>
      <c r="E14" t="s">
        <v>4209</v>
      </c>
      <c r="F14" s="34">
        <v>2860024</v>
      </c>
      <c r="G14" s="35">
        <v>35321296.399999999</v>
      </c>
      <c r="H14" s="8">
        <v>2.3199999999999998E-2</v>
      </c>
    </row>
    <row r="15" spans="1:8" x14ac:dyDescent="0.25">
      <c r="A15" s="10">
        <v>44589</v>
      </c>
      <c r="B15" t="s">
        <v>4196</v>
      </c>
      <c r="C15" t="s">
        <v>4210</v>
      </c>
      <c r="D15" t="s">
        <v>4211</v>
      </c>
      <c r="E15">
        <v>92667104</v>
      </c>
      <c r="F15" s="34">
        <v>6131310</v>
      </c>
      <c r="G15" s="35">
        <v>34396649.100000001</v>
      </c>
      <c r="H15" s="8">
        <v>2.2599999999999999E-2</v>
      </c>
    </row>
    <row r="16" spans="1:8" x14ac:dyDescent="0.25">
      <c r="A16" s="10">
        <v>44589</v>
      </c>
      <c r="B16" t="s">
        <v>4196</v>
      </c>
      <c r="C16" t="s">
        <v>4131</v>
      </c>
      <c r="D16" t="s">
        <v>3255</v>
      </c>
      <c r="E16" t="s">
        <v>4132</v>
      </c>
      <c r="F16" s="34">
        <v>2765458</v>
      </c>
      <c r="G16" s="35">
        <v>33959824.240000002</v>
      </c>
      <c r="H16" s="8">
        <v>2.23E-2</v>
      </c>
    </row>
    <row r="17" spans="1:8" x14ac:dyDescent="0.25">
      <c r="A17" s="10">
        <v>44589</v>
      </c>
      <c r="B17" t="s">
        <v>4196</v>
      </c>
      <c r="C17" t="s">
        <v>4212</v>
      </c>
      <c r="D17" t="s">
        <v>14</v>
      </c>
      <c r="E17" t="s">
        <v>4213</v>
      </c>
      <c r="F17" s="34">
        <v>12707</v>
      </c>
      <c r="G17" s="35">
        <v>32814810.940000001</v>
      </c>
      <c r="H17" s="8">
        <v>2.1499999999999998E-2</v>
      </c>
    </row>
    <row r="18" spans="1:8" x14ac:dyDescent="0.25">
      <c r="A18" s="10">
        <v>44589</v>
      </c>
      <c r="B18" t="s">
        <v>4196</v>
      </c>
      <c r="C18" t="s">
        <v>4162</v>
      </c>
      <c r="D18" t="s">
        <v>3613</v>
      </c>
      <c r="E18" t="s">
        <v>4163</v>
      </c>
      <c r="F18" s="34">
        <v>1947569</v>
      </c>
      <c r="G18" s="35">
        <v>30985822.789999999</v>
      </c>
      <c r="H18" s="8">
        <v>2.0299999999999999E-2</v>
      </c>
    </row>
    <row r="19" spans="1:8" x14ac:dyDescent="0.25">
      <c r="A19" s="10">
        <v>44589</v>
      </c>
      <c r="B19" t="s">
        <v>4196</v>
      </c>
      <c r="C19" t="s">
        <v>4214</v>
      </c>
      <c r="D19" t="s">
        <v>4215</v>
      </c>
      <c r="E19" t="s">
        <v>4216</v>
      </c>
      <c r="F19" s="34">
        <v>5488356</v>
      </c>
      <c r="G19" s="35">
        <v>30844560.719999999</v>
      </c>
      <c r="H19" s="8">
        <v>2.0199999999999999E-2</v>
      </c>
    </row>
    <row r="20" spans="1:8" x14ac:dyDescent="0.25">
      <c r="A20" s="10">
        <v>44589</v>
      </c>
      <c r="B20" t="s">
        <v>4196</v>
      </c>
      <c r="C20" t="s">
        <v>4217</v>
      </c>
      <c r="D20" t="s">
        <v>4218</v>
      </c>
      <c r="E20" t="s">
        <v>4219</v>
      </c>
      <c r="F20" s="34">
        <v>183821</v>
      </c>
      <c r="G20" s="35">
        <v>29712826.440000001</v>
      </c>
      <c r="H20" s="8">
        <v>1.95E-2</v>
      </c>
    </row>
    <row r="21" spans="1:8" x14ac:dyDescent="0.25">
      <c r="A21" s="10">
        <v>44589</v>
      </c>
      <c r="B21" t="s">
        <v>4196</v>
      </c>
      <c r="C21" t="s">
        <v>4220</v>
      </c>
      <c r="D21" t="s">
        <v>36</v>
      </c>
      <c r="E21">
        <v>880770102</v>
      </c>
      <c r="F21" s="34">
        <v>259352</v>
      </c>
      <c r="G21" s="35">
        <v>28850316.48</v>
      </c>
      <c r="H21" s="8">
        <v>1.89E-2</v>
      </c>
    </row>
    <row r="22" spans="1:8" x14ac:dyDescent="0.25">
      <c r="A22" s="10">
        <v>44589</v>
      </c>
      <c r="B22" t="s">
        <v>4196</v>
      </c>
      <c r="C22" t="s">
        <v>4221</v>
      </c>
      <c r="D22" t="s">
        <v>33</v>
      </c>
      <c r="E22">
        <v>149123101</v>
      </c>
      <c r="F22" s="34">
        <v>128920</v>
      </c>
      <c r="G22" s="35">
        <v>27352956.399999999</v>
      </c>
      <c r="H22" s="8">
        <v>1.7899999999999999E-2</v>
      </c>
    </row>
    <row r="23" spans="1:8" x14ac:dyDescent="0.25">
      <c r="A23" s="10">
        <v>44589</v>
      </c>
      <c r="B23" t="s">
        <v>4196</v>
      </c>
      <c r="C23" t="s">
        <v>4222</v>
      </c>
      <c r="D23" t="s">
        <v>3187</v>
      </c>
      <c r="E23">
        <v>56752108</v>
      </c>
      <c r="F23" s="34">
        <v>183398</v>
      </c>
      <c r="G23" s="35">
        <v>26359794.539999999</v>
      </c>
      <c r="H23" s="8">
        <v>1.7299999999999999E-2</v>
      </c>
    </row>
    <row r="24" spans="1:8" x14ac:dyDescent="0.25">
      <c r="A24" s="10">
        <v>44589</v>
      </c>
      <c r="B24" t="s">
        <v>4196</v>
      </c>
      <c r="C24" t="s">
        <v>4223</v>
      </c>
      <c r="D24" t="s">
        <v>4224</v>
      </c>
      <c r="E24" t="s">
        <v>4225</v>
      </c>
      <c r="F24" s="34">
        <v>7827863</v>
      </c>
      <c r="G24" s="35">
        <v>25362276.120000001</v>
      </c>
      <c r="H24" s="8">
        <v>1.66E-2</v>
      </c>
    </row>
    <row r="25" spans="1:8" x14ac:dyDescent="0.25">
      <c r="A25" s="10">
        <v>44589</v>
      </c>
      <c r="B25" t="s">
        <v>4196</v>
      </c>
      <c r="C25" t="s">
        <v>4226</v>
      </c>
      <c r="D25" t="s">
        <v>4227</v>
      </c>
      <c r="E25" t="s">
        <v>4228</v>
      </c>
      <c r="F25" s="34">
        <v>8389348</v>
      </c>
      <c r="G25" s="35">
        <v>24077428.760000002</v>
      </c>
      <c r="H25" s="8">
        <v>1.5800000000000002E-2</v>
      </c>
    </row>
    <row r="26" spans="1:8" x14ac:dyDescent="0.25">
      <c r="A26" s="10">
        <v>44589</v>
      </c>
      <c r="B26" t="s">
        <v>4196</v>
      </c>
      <c r="C26" t="s">
        <v>4173</v>
      </c>
      <c r="D26" t="s">
        <v>4174</v>
      </c>
      <c r="E26" t="s">
        <v>4175</v>
      </c>
      <c r="F26" s="34">
        <v>1189227</v>
      </c>
      <c r="G26" s="35">
        <v>21370409.190000001</v>
      </c>
      <c r="H26" s="8">
        <v>1.4E-2</v>
      </c>
    </row>
    <row r="27" spans="1:8" x14ac:dyDescent="0.25">
      <c r="A27" s="10">
        <v>44589</v>
      </c>
      <c r="B27" t="s">
        <v>4196</v>
      </c>
      <c r="C27" t="s">
        <v>4229</v>
      </c>
      <c r="D27" t="s">
        <v>4230</v>
      </c>
      <c r="E27" t="s">
        <v>4231</v>
      </c>
      <c r="F27" s="34">
        <v>630533</v>
      </c>
      <c r="G27" s="35">
        <v>20561681.129999999</v>
      </c>
      <c r="H27" s="8">
        <v>1.35E-2</v>
      </c>
    </row>
    <row r="28" spans="1:8" x14ac:dyDescent="0.25">
      <c r="A28" s="10">
        <v>44589</v>
      </c>
      <c r="B28" t="s">
        <v>4196</v>
      </c>
      <c r="C28" t="s">
        <v>4232</v>
      </c>
      <c r="D28" t="s">
        <v>2638</v>
      </c>
      <c r="E28">
        <v>743713109</v>
      </c>
      <c r="F28" s="34">
        <v>434205</v>
      </c>
      <c r="G28" s="35">
        <v>20225268.899999999</v>
      </c>
      <c r="H28" s="8">
        <v>1.3299999999999999E-2</v>
      </c>
    </row>
    <row r="29" spans="1:8" x14ac:dyDescent="0.25">
      <c r="A29" s="10">
        <v>44589</v>
      </c>
      <c r="B29" t="s">
        <v>4196</v>
      </c>
      <c r="C29" t="s">
        <v>4233</v>
      </c>
      <c r="D29" t="s">
        <v>198</v>
      </c>
      <c r="E29">
        <v>879360105</v>
      </c>
      <c r="F29" s="34">
        <v>50576</v>
      </c>
      <c r="G29" s="35">
        <v>20099408.16</v>
      </c>
      <c r="H29" s="8">
        <v>1.32E-2</v>
      </c>
    </row>
    <row r="30" spans="1:8" x14ac:dyDescent="0.25">
      <c r="A30" s="10">
        <v>44589</v>
      </c>
      <c r="B30" t="s">
        <v>4196</v>
      </c>
      <c r="C30" t="s">
        <v>4164</v>
      </c>
      <c r="D30" t="s">
        <v>3972</v>
      </c>
      <c r="E30" t="s">
        <v>4165</v>
      </c>
      <c r="F30" s="34">
        <v>939116</v>
      </c>
      <c r="G30" s="35">
        <v>19787174.120000001</v>
      </c>
      <c r="H30" s="8">
        <v>1.2999999999999999E-2</v>
      </c>
    </row>
    <row r="31" spans="1:8" x14ac:dyDescent="0.25">
      <c r="A31" s="10">
        <v>44589</v>
      </c>
      <c r="B31" t="s">
        <v>4196</v>
      </c>
      <c r="C31" t="s">
        <v>4234</v>
      </c>
      <c r="D31" t="s">
        <v>40</v>
      </c>
      <c r="E31">
        <v>539830109</v>
      </c>
      <c r="F31" s="34">
        <v>48186</v>
      </c>
      <c r="G31" s="35">
        <v>18748208.879999999</v>
      </c>
      <c r="H31" s="8">
        <v>1.23E-2</v>
      </c>
    </row>
    <row r="32" spans="1:8" x14ac:dyDescent="0.25">
      <c r="A32" s="10">
        <v>44589</v>
      </c>
      <c r="B32" t="s">
        <v>4196</v>
      </c>
      <c r="C32" t="s">
        <v>4235</v>
      </c>
      <c r="D32" t="s">
        <v>90</v>
      </c>
      <c r="E32" t="s">
        <v>4236</v>
      </c>
      <c r="F32" s="34">
        <v>57316</v>
      </c>
      <c r="G32" s="35">
        <v>17746179.920000002</v>
      </c>
      <c r="H32" s="8">
        <v>1.1599999999999999E-2</v>
      </c>
    </row>
    <row r="33" spans="1:8" x14ac:dyDescent="0.25">
      <c r="A33" s="10">
        <v>44589</v>
      </c>
      <c r="B33" t="s">
        <v>4196</v>
      </c>
      <c r="C33" t="s">
        <v>4237</v>
      </c>
      <c r="D33" t="s">
        <v>4238</v>
      </c>
      <c r="E33" t="s">
        <v>4239</v>
      </c>
      <c r="F33" s="34">
        <v>276409</v>
      </c>
      <c r="G33" s="35">
        <v>16783554.48</v>
      </c>
      <c r="H33" s="8">
        <v>1.0999999999999999E-2</v>
      </c>
    </row>
    <row r="34" spans="1:8" x14ac:dyDescent="0.25">
      <c r="A34" s="10">
        <v>44589</v>
      </c>
      <c r="B34" t="s">
        <v>4196</v>
      </c>
      <c r="C34" t="s">
        <v>4240</v>
      </c>
      <c r="D34" t="s">
        <v>134</v>
      </c>
      <c r="E34">
        <v>871607107</v>
      </c>
      <c r="F34" s="34">
        <v>58431</v>
      </c>
      <c r="G34" s="35">
        <v>16673870.16</v>
      </c>
      <c r="H34" s="8">
        <v>1.09E-2</v>
      </c>
    </row>
    <row r="35" spans="1:8" x14ac:dyDescent="0.25">
      <c r="A35" s="10">
        <v>44589</v>
      </c>
      <c r="B35" t="s">
        <v>4196</v>
      </c>
      <c r="C35" t="s">
        <v>4241</v>
      </c>
      <c r="D35" t="s">
        <v>47</v>
      </c>
      <c r="E35" s="36" t="s">
        <v>4242</v>
      </c>
      <c r="F35" s="34">
        <v>60493</v>
      </c>
      <c r="G35" s="35">
        <v>15895745.609999999</v>
      </c>
      <c r="H35" s="8">
        <v>1.04E-2</v>
      </c>
    </row>
    <row r="36" spans="1:8" x14ac:dyDescent="0.25">
      <c r="A36" s="10">
        <v>44589</v>
      </c>
      <c r="B36" t="s">
        <v>4196</v>
      </c>
      <c r="C36" t="s">
        <v>4243</v>
      </c>
      <c r="D36" t="s">
        <v>4244</v>
      </c>
      <c r="E36" t="s">
        <v>4245</v>
      </c>
      <c r="F36" s="34">
        <v>2530587</v>
      </c>
      <c r="G36" s="35">
        <v>14297816.550000001</v>
      </c>
      <c r="H36" s="8">
        <v>9.4000000000000004E-3</v>
      </c>
    </row>
    <row r="37" spans="1:8" x14ac:dyDescent="0.25">
      <c r="A37" s="10">
        <v>44589</v>
      </c>
      <c r="B37" t="s">
        <v>4196</v>
      </c>
      <c r="C37" t="s">
        <v>4169</v>
      </c>
      <c r="D37" t="s">
        <v>4170</v>
      </c>
      <c r="E37" t="s">
        <v>4171</v>
      </c>
      <c r="F37" s="34">
        <v>734487</v>
      </c>
      <c r="G37" s="35">
        <v>9915574.5</v>
      </c>
      <c r="H37" s="8">
        <v>6.4999999999999997E-3</v>
      </c>
    </row>
    <row r="38" spans="1:8" x14ac:dyDescent="0.25">
      <c r="A38" s="10">
        <v>44589</v>
      </c>
      <c r="B38" t="s">
        <v>4196</v>
      </c>
      <c r="C38" t="s">
        <v>4186</v>
      </c>
      <c r="E38" t="s">
        <v>4187</v>
      </c>
      <c r="F38" s="34">
        <v>3673926</v>
      </c>
      <c r="G38" s="35">
        <v>3673925.61</v>
      </c>
      <c r="H38" s="8">
        <v>2.3999999999999998E-3</v>
      </c>
    </row>
    <row r="39" spans="1:8" x14ac:dyDescent="0.25">
      <c r="A39" s="10">
        <v>44589</v>
      </c>
      <c r="B39" t="s">
        <v>4196</v>
      </c>
      <c r="C39" t="s">
        <v>4246</v>
      </c>
      <c r="D39" t="s">
        <v>4247</v>
      </c>
      <c r="E39" t="s">
        <v>4248</v>
      </c>
      <c r="F39" s="34">
        <v>105342</v>
      </c>
      <c r="G39" s="35">
        <v>288637.08</v>
      </c>
      <c r="H39" s="8">
        <v>2.0000000000000001E-4</v>
      </c>
    </row>
    <row r="40" spans="1:8" x14ac:dyDescent="0.25">
      <c r="A40" s="10">
        <v>44589</v>
      </c>
      <c r="B40" t="s">
        <v>4196</v>
      </c>
      <c r="C40" t="s">
        <v>4249</v>
      </c>
      <c r="D40" t="s">
        <v>3167</v>
      </c>
      <c r="E40" t="s">
        <v>4250</v>
      </c>
      <c r="F40" s="34">
        <v>1273</v>
      </c>
      <c r="G40" s="35">
        <v>84883.64</v>
      </c>
      <c r="H40" s="8">
        <v>1E-4</v>
      </c>
    </row>
    <row r="41" spans="1:8" x14ac:dyDescent="0.25">
      <c r="A41" t="s">
        <v>4195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4251</v>
      </c>
      <c r="C2" t="s">
        <v>4100</v>
      </c>
      <c r="D2" t="s">
        <v>317</v>
      </c>
      <c r="E2" t="s">
        <v>4101</v>
      </c>
      <c r="F2" s="34">
        <v>212652</v>
      </c>
      <c r="G2" s="35">
        <v>176309773.19999999</v>
      </c>
      <c r="H2" s="8">
        <v>7.2700000000000001E-2</v>
      </c>
    </row>
    <row r="3" spans="1:8" x14ac:dyDescent="0.25">
      <c r="A3" s="10">
        <v>44589</v>
      </c>
      <c r="B3" t="s">
        <v>4251</v>
      </c>
      <c r="C3" t="s">
        <v>4108</v>
      </c>
      <c r="D3" t="s">
        <v>3229</v>
      </c>
      <c r="E3" t="s">
        <v>4109</v>
      </c>
      <c r="F3" s="34">
        <v>1015242</v>
      </c>
      <c r="G3" s="35">
        <v>172794188.40000001</v>
      </c>
      <c r="H3" s="8">
        <v>7.1199999999999999E-2</v>
      </c>
    </row>
    <row r="4" spans="1:8" x14ac:dyDescent="0.25">
      <c r="A4" s="10">
        <v>44589</v>
      </c>
      <c r="B4" t="s">
        <v>4251</v>
      </c>
      <c r="C4" t="s">
        <v>4252</v>
      </c>
      <c r="D4" t="s">
        <v>4253</v>
      </c>
      <c r="E4">
        <v>389637109</v>
      </c>
      <c r="F4" s="34">
        <v>6488681</v>
      </c>
      <c r="G4" s="35">
        <v>156442098.91</v>
      </c>
      <c r="H4" s="8">
        <v>6.4500000000000002E-2</v>
      </c>
    </row>
    <row r="5" spans="1:8" x14ac:dyDescent="0.25">
      <c r="A5" s="10">
        <v>44589</v>
      </c>
      <c r="B5" t="s">
        <v>4251</v>
      </c>
      <c r="C5" t="s">
        <v>4106</v>
      </c>
      <c r="D5" t="s">
        <v>3278</v>
      </c>
      <c r="E5" t="s">
        <v>4107</v>
      </c>
      <c r="F5" s="34">
        <v>973088</v>
      </c>
      <c r="G5" s="35">
        <v>143841868.16</v>
      </c>
      <c r="H5" s="8">
        <v>5.9299999999999999E-2</v>
      </c>
    </row>
    <row r="6" spans="1:8" x14ac:dyDescent="0.25">
      <c r="A6" s="10">
        <v>44589</v>
      </c>
      <c r="B6" t="s">
        <v>4251</v>
      </c>
      <c r="C6" t="s">
        <v>4102</v>
      </c>
      <c r="D6" t="s">
        <v>210</v>
      </c>
      <c r="E6" t="s">
        <v>4103</v>
      </c>
      <c r="F6" s="34">
        <v>1020237</v>
      </c>
      <c r="G6" s="35">
        <v>139578623.97</v>
      </c>
      <c r="H6" s="8">
        <v>5.7599999999999998E-2</v>
      </c>
    </row>
    <row r="7" spans="1:8" x14ac:dyDescent="0.25">
      <c r="A7" s="10">
        <v>44589</v>
      </c>
      <c r="B7" t="s">
        <v>4251</v>
      </c>
      <c r="C7" t="s">
        <v>4104</v>
      </c>
      <c r="D7" t="s">
        <v>3381</v>
      </c>
      <c r="E7" t="s">
        <v>4105</v>
      </c>
      <c r="F7" s="34">
        <v>1931705</v>
      </c>
      <c r="G7" s="35">
        <v>130274185.2</v>
      </c>
      <c r="H7" s="8">
        <v>5.3699999999999998E-2</v>
      </c>
    </row>
    <row r="8" spans="1:8" x14ac:dyDescent="0.25">
      <c r="A8" s="10">
        <v>44589</v>
      </c>
      <c r="B8" t="s">
        <v>4251</v>
      </c>
      <c r="C8" t="s">
        <v>4114</v>
      </c>
      <c r="D8" t="s">
        <v>4115</v>
      </c>
      <c r="E8" t="s">
        <v>4116</v>
      </c>
      <c r="F8" s="34">
        <v>709949</v>
      </c>
      <c r="G8" s="35">
        <v>121628462.68000001</v>
      </c>
      <c r="H8" s="8">
        <v>5.0099999999999999E-2</v>
      </c>
    </row>
    <row r="9" spans="1:8" x14ac:dyDescent="0.25">
      <c r="A9" s="10">
        <v>44589</v>
      </c>
      <c r="B9" t="s">
        <v>4251</v>
      </c>
      <c r="C9" t="s">
        <v>4135</v>
      </c>
      <c r="D9" t="s">
        <v>611</v>
      </c>
      <c r="E9" t="s">
        <v>4136</v>
      </c>
      <c r="F9" s="34">
        <v>3474724</v>
      </c>
      <c r="G9" s="35">
        <v>117584660.16</v>
      </c>
      <c r="H9" s="8">
        <v>4.8500000000000001E-2</v>
      </c>
    </row>
    <row r="10" spans="1:8" x14ac:dyDescent="0.25">
      <c r="A10" s="10">
        <v>44589</v>
      </c>
      <c r="B10" t="s">
        <v>4251</v>
      </c>
      <c r="C10" t="s">
        <v>4121</v>
      </c>
      <c r="D10" t="s">
        <v>3240</v>
      </c>
      <c r="E10" t="s">
        <v>4122</v>
      </c>
      <c r="F10" s="34">
        <v>618109</v>
      </c>
      <c r="G10" s="35">
        <v>109250765.75</v>
      </c>
      <c r="H10" s="8">
        <v>4.4999999999999998E-2</v>
      </c>
    </row>
    <row r="11" spans="1:8" x14ac:dyDescent="0.25">
      <c r="A11" s="10">
        <v>44589</v>
      </c>
      <c r="B11" t="s">
        <v>4251</v>
      </c>
      <c r="C11" t="s">
        <v>4128</v>
      </c>
      <c r="D11" t="s">
        <v>4129</v>
      </c>
      <c r="E11" t="s">
        <v>4130</v>
      </c>
      <c r="F11" s="34">
        <v>108863</v>
      </c>
      <c r="G11" s="35">
        <v>88806080.879999995</v>
      </c>
      <c r="H11" s="8">
        <v>3.6600000000000001E-2</v>
      </c>
    </row>
    <row r="12" spans="1:8" x14ac:dyDescent="0.25">
      <c r="A12" s="10">
        <v>44589</v>
      </c>
      <c r="B12" t="s">
        <v>4251</v>
      </c>
      <c r="C12" t="s">
        <v>4254</v>
      </c>
      <c r="D12" t="s">
        <v>3205</v>
      </c>
      <c r="E12">
        <v>848637104</v>
      </c>
      <c r="F12" s="34">
        <v>792012</v>
      </c>
      <c r="G12" s="35">
        <v>86527311</v>
      </c>
      <c r="H12" s="8">
        <v>3.5700000000000003E-2</v>
      </c>
    </row>
    <row r="13" spans="1:8" x14ac:dyDescent="0.25">
      <c r="A13" s="10">
        <v>44589</v>
      </c>
      <c r="B13" t="s">
        <v>4251</v>
      </c>
      <c r="C13" t="s">
        <v>4123</v>
      </c>
      <c r="D13" t="s">
        <v>3227</v>
      </c>
      <c r="E13">
        <v>852234103</v>
      </c>
      <c r="F13" s="34">
        <v>787211</v>
      </c>
      <c r="G13" s="35">
        <v>83160970.040000007</v>
      </c>
      <c r="H13" s="8">
        <v>3.4299999999999997E-2</v>
      </c>
    </row>
    <row r="14" spans="1:8" x14ac:dyDescent="0.25">
      <c r="A14" s="10">
        <v>44589</v>
      </c>
      <c r="B14" t="s">
        <v>4251</v>
      </c>
      <c r="C14" t="s">
        <v>4112</v>
      </c>
      <c r="D14" t="s">
        <v>3244</v>
      </c>
      <c r="E14" t="s">
        <v>4113</v>
      </c>
      <c r="F14" s="34">
        <v>865280</v>
      </c>
      <c r="G14" s="35">
        <v>81942016</v>
      </c>
      <c r="H14" s="8">
        <v>3.3799999999999997E-2</v>
      </c>
    </row>
    <row r="15" spans="1:8" x14ac:dyDescent="0.25">
      <c r="A15" s="10">
        <v>44589</v>
      </c>
      <c r="B15" t="s">
        <v>4251</v>
      </c>
      <c r="C15" t="s">
        <v>4133</v>
      </c>
      <c r="D15" t="s">
        <v>3457</v>
      </c>
      <c r="E15" t="s">
        <v>4134</v>
      </c>
      <c r="F15" s="34">
        <v>4038967</v>
      </c>
      <c r="G15" s="35">
        <v>78315570.129999995</v>
      </c>
      <c r="H15" s="8">
        <v>3.2300000000000002E-2</v>
      </c>
    </row>
    <row r="16" spans="1:8" x14ac:dyDescent="0.25">
      <c r="A16" s="10">
        <v>44589</v>
      </c>
      <c r="B16" t="s">
        <v>4251</v>
      </c>
      <c r="C16" t="s">
        <v>4119</v>
      </c>
      <c r="D16" t="s">
        <v>3324</v>
      </c>
      <c r="E16" t="s">
        <v>4120</v>
      </c>
      <c r="F16" s="34">
        <v>2332049</v>
      </c>
      <c r="G16" s="35">
        <v>76607809.650000006</v>
      </c>
      <c r="H16" s="8">
        <v>3.1600000000000003E-2</v>
      </c>
    </row>
    <row r="17" spans="1:8" x14ac:dyDescent="0.25">
      <c r="A17" s="10">
        <v>44589</v>
      </c>
      <c r="B17" t="s">
        <v>4251</v>
      </c>
      <c r="C17" t="s">
        <v>4172</v>
      </c>
      <c r="D17" t="s">
        <v>3231</v>
      </c>
      <c r="E17">
        <v>771049103</v>
      </c>
      <c r="F17" s="34">
        <v>1213351</v>
      </c>
      <c r="G17" s="35">
        <v>69233808.060000002</v>
      </c>
      <c r="H17" s="8">
        <v>2.8500000000000001E-2</v>
      </c>
    </row>
    <row r="18" spans="1:8" x14ac:dyDescent="0.25">
      <c r="A18" s="10">
        <v>44589</v>
      </c>
      <c r="B18" t="s">
        <v>4251</v>
      </c>
      <c r="C18" t="s">
        <v>4137</v>
      </c>
      <c r="D18" t="s">
        <v>4138</v>
      </c>
      <c r="E18" t="s">
        <v>4139</v>
      </c>
      <c r="F18" s="34">
        <v>1617400</v>
      </c>
      <c r="G18" s="35">
        <v>49023394</v>
      </c>
      <c r="H18" s="8">
        <v>2.0199999999999999E-2</v>
      </c>
    </row>
    <row r="19" spans="1:8" x14ac:dyDescent="0.25">
      <c r="A19" s="10">
        <v>44589</v>
      </c>
      <c r="B19" t="s">
        <v>4251</v>
      </c>
      <c r="C19" t="s">
        <v>4147</v>
      </c>
      <c r="D19" t="s">
        <v>3419</v>
      </c>
      <c r="E19">
        <v>770700102</v>
      </c>
      <c r="F19" s="34">
        <v>3693131</v>
      </c>
      <c r="G19" s="35">
        <v>42877250.909999996</v>
      </c>
      <c r="H19" s="8">
        <v>1.77E-2</v>
      </c>
    </row>
    <row r="20" spans="1:8" x14ac:dyDescent="0.25">
      <c r="A20" s="10">
        <v>44589</v>
      </c>
      <c r="B20" t="s">
        <v>4251</v>
      </c>
      <c r="C20" t="s">
        <v>4131</v>
      </c>
      <c r="D20" t="s">
        <v>3255</v>
      </c>
      <c r="E20" t="s">
        <v>4132</v>
      </c>
      <c r="F20" s="34">
        <v>3482830</v>
      </c>
      <c r="G20" s="35">
        <v>42769152.399999999</v>
      </c>
      <c r="H20" s="8">
        <v>1.7600000000000001E-2</v>
      </c>
    </row>
    <row r="21" spans="1:8" x14ac:dyDescent="0.25">
      <c r="A21" s="10">
        <v>44589</v>
      </c>
      <c r="B21" t="s">
        <v>4251</v>
      </c>
      <c r="C21" t="s">
        <v>4255</v>
      </c>
      <c r="D21" t="s">
        <v>4256</v>
      </c>
      <c r="E21" t="s">
        <v>4257</v>
      </c>
      <c r="F21" s="34">
        <v>322349</v>
      </c>
      <c r="G21" s="35">
        <v>41350929.719999999</v>
      </c>
      <c r="H21" s="8">
        <v>1.7000000000000001E-2</v>
      </c>
    </row>
    <row r="22" spans="1:8" x14ac:dyDescent="0.25">
      <c r="A22" s="10">
        <v>44589</v>
      </c>
      <c r="B22" t="s">
        <v>4251</v>
      </c>
      <c r="C22" t="s">
        <v>4258</v>
      </c>
      <c r="D22" t="s">
        <v>4259</v>
      </c>
      <c r="E22" t="s">
        <v>4260</v>
      </c>
      <c r="F22" s="34">
        <v>5622275</v>
      </c>
      <c r="G22" s="35">
        <v>32890308.75</v>
      </c>
      <c r="H22" s="8">
        <v>1.3599999999999999E-2</v>
      </c>
    </row>
    <row r="23" spans="1:8" x14ac:dyDescent="0.25">
      <c r="A23" s="10">
        <v>44589</v>
      </c>
      <c r="B23" t="s">
        <v>4251</v>
      </c>
      <c r="C23" t="s">
        <v>4261</v>
      </c>
      <c r="D23" t="s">
        <v>4262</v>
      </c>
      <c r="E23">
        <v>206071102</v>
      </c>
      <c r="F23" s="34">
        <v>3163538</v>
      </c>
      <c r="G23" s="35">
        <v>31445567.719999999</v>
      </c>
      <c r="H23" s="8">
        <v>1.2999999999999999E-2</v>
      </c>
    </row>
    <row r="24" spans="1:8" x14ac:dyDescent="0.25">
      <c r="A24" s="10">
        <v>44589</v>
      </c>
      <c r="B24" t="s">
        <v>4251</v>
      </c>
      <c r="C24" t="s">
        <v>4263</v>
      </c>
      <c r="D24" t="s">
        <v>3178</v>
      </c>
      <c r="E24" t="s">
        <v>4264</v>
      </c>
      <c r="F24" s="34">
        <v>31544</v>
      </c>
      <c r="G24" s="35">
        <v>31307420</v>
      </c>
      <c r="H24" s="8">
        <v>1.29E-2</v>
      </c>
    </row>
    <row r="25" spans="1:8" x14ac:dyDescent="0.25">
      <c r="A25" s="10">
        <v>44589</v>
      </c>
      <c r="B25" t="s">
        <v>4251</v>
      </c>
      <c r="C25" t="s">
        <v>4265</v>
      </c>
      <c r="D25" t="s">
        <v>3197</v>
      </c>
      <c r="E25">
        <v>679295105</v>
      </c>
      <c r="F25" s="34">
        <v>176477</v>
      </c>
      <c r="G25" s="35">
        <v>30989361.199999999</v>
      </c>
      <c r="H25" s="8">
        <v>1.2800000000000001E-2</v>
      </c>
    </row>
    <row r="26" spans="1:8" x14ac:dyDescent="0.25">
      <c r="A26" s="10">
        <v>44589</v>
      </c>
      <c r="B26" t="s">
        <v>4251</v>
      </c>
      <c r="C26" t="s">
        <v>4266</v>
      </c>
      <c r="D26" t="s">
        <v>289</v>
      </c>
      <c r="E26" t="s">
        <v>4267</v>
      </c>
      <c r="F26" s="34">
        <v>217870</v>
      </c>
      <c r="G26" s="35">
        <v>30401579.800000001</v>
      </c>
      <c r="H26" s="8">
        <v>1.2500000000000001E-2</v>
      </c>
    </row>
    <row r="27" spans="1:8" x14ac:dyDescent="0.25">
      <c r="A27" s="10">
        <v>44589</v>
      </c>
      <c r="B27" t="s">
        <v>4251</v>
      </c>
      <c r="C27" t="s">
        <v>4268</v>
      </c>
      <c r="D27" t="s">
        <v>3247</v>
      </c>
      <c r="E27" t="s">
        <v>4269</v>
      </c>
      <c r="F27" s="34">
        <v>350641</v>
      </c>
      <c r="G27" s="35">
        <v>28170497.940000001</v>
      </c>
      <c r="H27" s="8">
        <v>1.1599999999999999E-2</v>
      </c>
    </row>
    <row r="28" spans="1:8" x14ac:dyDescent="0.25">
      <c r="A28" s="10">
        <v>44589</v>
      </c>
      <c r="B28" t="s">
        <v>4251</v>
      </c>
      <c r="C28" t="s">
        <v>4156</v>
      </c>
      <c r="D28" t="s">
        <v>4157</v>
      </c>
      <c r="E28" t="s">
        <v>4158</v>
      </c>
      <c r="F28" s="34">
        <v>1071054</v>
      </c>
      <c r="G28" s="35">
        <v>27376140.239999998</v>
      </c>
      <c r="H28" s="8">
        <v>1.1299999999999999E-2</v>
      </c>
    </row>
    <row r="29" spans="1:8" x14ac:dyDescent="0.25">
      <c r="A29" s="10">
        <v>44589</v>
      </c>
      <c r="B29" t="s">
        <v>4251</v>
      </c>
      <c r="C29" t="s">
        <v>4270</v>
      </c>
      <c r="D29" t="s">
        <v>104</v>
      </c>
      <c r="E29">
        <v>254687106</v>
      </c>
      <c r="F29" s="34">
        <v>201354</v>
      </c>
      <c r="G29" s="35">
        <v>27267358.68</v>
      </c>
      <c r="H29" s="8">
        <v>1.12E-2</v>
      </c>
    </row>
    <row r="30" spans="1:8" x14ac:dyDescent="0.25">
      <c r="A30" s="10">
        <v>44589</v>
      </c>
      <c r="B30" t="s">
        <v>4251</v>
      </c>
      <c r="C30" t="s">
        <v>4223</v>
      </c>
      <c r="D30" t="s">
        <v>4224</v>
      </c>
      <c r="E30" t="s">
        <v>4225</v>
      </c>
      <c r="F30" s="34">
        <v>8251367</v>
      </c>
      <c r="G30" s="35">
        <v>26734429.079999998</v>
      </c>
      <c r="H30" s="8">
        <v>1.0999999999999999E-2</v>
      </c>
    </row>
    <row r="31" spans="1:8" x14ac:dyDescent="0.25">
      <c r="A31" s="10">
        <v>44589</v>
      </c>
      <c r="B31" t="s">
        <v>4251</v>
      </c>
      <c r="C31" t="s">
        <v>4243</v>
      </c>
      <c r="D31" t="s">
        <v>4244</v>
      </c>
      <c r="E31" t="s">
        <v>4245</v>
      </c>
      <c r="F31" s="34">
        <v>4522624</v>
      </c>
      <c r="G31" s="35">
        <v>25552825.600000001</v>
      </c>
      <c r="H31" s="8">
        <v>1.0500000000000001E-2</v>
      </c>
    </row>
    <row r="32" spans="1:8" x14ac:dyDescent="0.25">
      <c r="A32" s="10">
        <v>44589</v>
      </c>
      <c r="B32" t="s">
        <v>4251</v>
      </c>
      <c r="C32" t="s">
        <v>4271</v>
      </c>
      <c r="D32" t="s">
        <v>4272</v>
      </c>
      <c r="E32" t="s">
        <v>4273</v>
      </c>
      <c r="F32" s="34">
        <v>1233115</v>
      </c>
      <c r="G32" s="35">
        <v>23515503.050000001</v>
      </c>
      <c r="H32" s="8">
        <v>9.7000000000000003E-3</v>
      </c>
    </row>
    <row r="33" spans="1:8" x14ac:dyDescent="0.25">
      <c r="A33" s="10">
        <v>44589</v>
      </c>
      <c r="B33" t="s">
        <v>4251</v>
      </c>
      <c r="C33" t="s">
        <v>4274</v>
      </c>
      <c r="D33" t="s">
        <v>4275</v>
      </c>
      <c r="E33" t="s">
        <v>4276</v>
      </c>
      <c r="F33" s="34">
        <v>4373360</v>
      </c>
      <c r="G33" s="35">
        <v>22304136</v>
      </c>
      <c r="H33" s="8">
        <v>9.1999999999999998E-3</v>
      </c>
    </row>
    <row r="34" spans="1:8" x14ac:dyDescent="0.25">
      <c r="A34" s="10">
        <v>44589</v>
      </c>
      <c r="B34" t="s">
        <v>4251</v>
      </c>
      <c r="C34" t="s">
        <v>4176</v>
      </c>
      <c r="D34" t="s">
        <v>4177</v>
      </c>
      <c r="E34" t="s">
        <v>4178</v>
      </c>
      <c r="F34" s="34">
        <v>5111581</v>
      </c>
      <c r="G34" s="35">
        <v>21775335.059999999</v>
      </c>
      <c r="H34" s="8">
        <v>8.9999999999999993E-3</v>
      </c>
    </row>
    <row r="35" spans="1:8" x14ac:dyDescent="0.25">
      <c r="A35" s="10">
        <v>44589</v>
      </c>
      <c r="B35" t="s">
        <v>4251</v>
      </c>
      <c r="C35" t="s">
        <v>4169</v>
      </c>
      <c r="D35" t="s">
        <v>4170</v>
      </c>
      <c r="E35" t="s">
        <v>4171</v>
      </c>
      <c r="F35" s="34">
        <v>1246789</v>
      </c>
      <c r="G35" s="35">
        <v>16831651.5</v>
      </c>
      <c r="H35" s="8">
        <v>6.8999999999999999E-3</v>
      </c>
    </row>
    <row r="36" spans="1:8" x14ac:dyDescent="0.25">
      <c r="A36" s="10">
        <v>44589</v>
      </c>
      <c r="B36" t="s">
        <v>4251</v>
      </c>
      <c r="C36" t="s">
        <v>4277</v>
      </c>
      <c r="D36" t="s">
        <v>4278</v>
      </c>
      <c r="E36" t="s">
        <v>4279</v>
      </c>
      <c r="F36" s="34">
        <v>505393</v>
      </c>
      <c r="G36" s="35">
        <v>14974794.59</v>
      </c>
      <c r="H36" s="8">
        <v>6.1999999999999998E-3</v>
      </c>
    </row>
    <row r="37" spans="1:8" x14ac:dyDescent="0.25">
      <c r="A37" s="10">
        <v>44589</v>
      </c>
      <c r="B37" t="s">
        <v>4251</v>
      </c>
      <c r="C37" t="s">
        <v>4280</v>
      </c>
      <c r="D37" t="s">
        <v>4281</v>
      </c>
      <c r="E37" t="s">
        <v>4282</v>
      </c>
      <c r="F37" s="34">
        <v>1711478</v>
      </c>
      <c r="G37" s="35">
        <v>11792083.42</v>
      </c>
      <c r="H37" s="8">
        <v>4.8999999999999998E-3</v>
      </c>
    </row>
    <row r="38" spans="1:8" x14ac:dyDescent="0.25">
      <c r="A38" s="10">
        <v>44589</v>
      </c>
      <c r="B38" t="s">
        <v>4251</v>
      </c>
      <c r="C38" t="s">
        <v>4283</v>
      </c>
      <c r="D38" t="s">
        <v>4284</v>
      </c>
      <c r="E38" t="s">
        <v>4285</v>
      </c>
      <c r="F38" s="34">
        <v>61811</v>
      </c>
      <c r="G38" s="35">
        <v>11436271.220000001</v>
      </c>
      <c r="H38" s="8">
        <v>4.7000000000000002E-3</v>
      </c>
    </row>
    <row r="39" spans="1:8" x14ac:dyDescent="0.25">
      <c r="A39" s="10">
        <v>44589</v>
      </c>
      <c r="B39" t="s">
        <v>4251</v>
      </c>
      <c r="C39" t="s">
        <v>4186</v>
      </c>
      <c r="E39" t="s">
        <v>4187</v>
      </c>
      <c r="F39" s="34">
        <v>1893285</v>
      </c>
      <c r="G39" s="35">
        <v>1893285.3</v>
      </c>
      <c r="H39" s="8">
        <v>8.0000000000000004E-4</v>
      </c>
    </row>
    <row r="40" spans="1:8" x14ac:dyDescent="0.25">
      <c r="A40" s="10">
        <v>44589</v>
      </c>
      <c r="B40" t="s">
        <v>4251</v>
      </c>
      <c r="C40" t="s">
        <v>4286</v>
      </c>
      <c r="D40" t="s">
        <v>3207</v>
      </c>
      <c r="E40" t="s">
        <v>4287</v>
      </c>
      <c r="F40" s="34">
        <v>9188</v>
      </c>
      <c r="G40" s="35">
        <v>220236.36</v>
      </c>
      <c r="H40" s="8">
        <v>1E-4</v>
      </c>
    </row>
    <row r="41" spans="1:8" x14ac:dyDescent="0.25">
      <c r="A41" s="10">
        <v>44589</v>
      </c>
      <c r="B41" t="s">
        <v>4251</v>
      </c>
      <c r="C41" t="s">
        <v>4288</v>
      </c>
      <c r="D41" t="s">
        <v>3199</v>
      </c>
      <c r="E41">
        <v>256163106</v>
      </c>
      <c r="F41">
        <v>354</v>
      </c>
      <c r="G41" s="35">
        <v>39184.26</v>
      </c>
      <c r="H41" s="8">
        <v>0</v>
      </c>
    </row>
    <row r="42" spans="1:8" x14ac:dyDescent="0.25">
      <c r="A42" s="10">
        <v>44589</v>
      </c>
      <c r="B42" t="s">
        <v>4251</v>
      </c>
      <c r="C42" t="s">
        <v>4289</v>
      </c>
      <c r="D42" t="s">
        <v>2297</v>
      </c>
      <c r="E42">
        <v>538146101</v>
      </c>
      <c r="F42">
        <v>94</v>
      </c>
      <c r="G42" s="35">
        <v>2433.66</v>
      </c>
      <c r="H42" s="8">
        <v>0</v>
      </c>
    </row>
    <row r="43" spans="1:8" x14ac:dyDescent="0.25">
      <c r="A43" s="10">
        <v>44589</v>
      </c>
      <c r="B43" t="s">
        <v>4251</v>
      </c>
      <c r="C43" t="s">
        <v>4290</v>
      </c>
      <c r="D43" t="s">
        <v>3225</v>
      </c>
      <c r="E43" t="s">
        <v>4291</v>
      </c>
      <c r="F43" s="34">
        <v>1178</v>
      </c>
      <c r="G43" s="35">
        <v>33337.4</v>
      </c>
      <c r="H43" s="8">
        <v>0</v>
      </c>
    </row>
    <row r="44" spans="1:8" x14ac:dyDescent="0.25">
      <c r="A44" s="10">
        <v>44589</v>
      </c>
      <c r="B44" t="s">
        <v>4251</v>
      </c>
      <c r="C44" t="s">
        <v>4292</v>
      </c>
      <c r="D44" t="s">
        <v>3217</v>
      </c>
      <c r="E44">
        <v>833445109</v>
      </c>
      <c r="F44">
        <v>91</v>
      </c>
      <c r="G44" s="35">
        <v>22269.52</v>
      </c>
      <c r="H44" s="8">
        <v>0</v>
      </c>
    </row>
    <row r="45" spans="1:8" x14ac:dyDescent="0.25">
      <c r="A45" t="s">
        <v>4195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Main</vt:lpstr>
      <vt:lpstr>Useful_Notes</vt:lpstr>
      <vt:lpstr>Sources</vt:lpstr>
      <vt:lpstr>Market_Notes</vt:lpstr>
      <vt:lpstr>WatchList</vt:lpstr>
      <vt:lpstr>Already_Analyzed</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2022-12-17T18:52:31Z</dcterms:modified>
</cp:coreProperties>
</file>