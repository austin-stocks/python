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82CD1DA6-C972-4BC6-B596-65C92CB4DC4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hart-Quarterly" sheetId="42" r:id="rId1"/>
    <sheet name="Earnings-Quarterly" sheetId="44" r:id="rId2"/>
    <sheet name="Notes" sheetId="4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44" l="1"/>
  <c r="V4" i="44"/>
  <c r="V5" i="44"/>
  <c r="V6" i="44"/>
  <c r="V7" i="44"/>
  <c r="V8" i="44"/>
  <c r="V9" i="44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V80" i="44"/>
  <c r="V81" i="44"/>
  <c r="V82" i="44"/>
  <c r="V83" i="44"/>
  <c r="V84" i="44"/>
  <c r="V85" i="44"/>
  <c r="V86" i="44"/>
  <c r="V87" i="44"/>
  <c r="V88" i="44"/>
  <c r="V89" i="44"/>
  <c r="V90" i="44"/>
  <c r="V91" i="44"/>
  <c r="V92" i="44"/>
  <c r="V93" i="44"/>
  <c r="V94" i="44"/>
  <c r="V95" i="44"/>
  <c r="V96" i="44"/>
  <c r="V97" i="44"/>
  <c r="V98" i="44"/>
  <c r="V99" i="44"/>
  <c r="V100" i="44"/>
  <c r="V101" i="44"/>
  <c r="V102" i="44"/>
  <c r="V103" i="44"/>
  <c r="V104" i="44"/>
  <c r="V105" i="44"/>
  <c r="V106" i="44"/>
  <c r="V107" i="44"/>
  <c r="V108" i="44"/>
  <c r="V109" i="44"/>
  <c r="V110" i="44"/>
  <c r="V111" i="44"/>
  <c r="V112" i="44"/>
  <c r="V113" i="44"/>
  <c r="V114" i="44"/>
  <c r="V115" i="44"/>
  <c r="V116" i="44"/>
  <c r="V117" i="44"/>
  <c r="V118" i="44"/>
  <c r="V119" i="44"/>
  <c r="V120" i="44"/>
  <c r="V121" i="44"/>
  <c r="V122" i="44"/>
  <c r="V123" i="44"/>
  <c r="V124" i="44"/>
  <c r="V125" i="44"/>
  <c r="V126" i="44"/>
  <c r="V127" i="44"/>
  <c r="V128" i="44"/>
  <c r="V129" i="44"/>
  <c r="V130" i="44"/>
  <c r="V131" i="44"/>
  <c r="V132" i="44"/>
  <c r="V133" i="44"/>
  <c r="V134" i="44"/>
  <c r="V135" i="44"/>
  <c r="V136" i="44"/>
  <c r="V137" i="44"/>
  <c r="V138" i="44"/>
  <c r="V139" i="44"/>
  <c r="V140" i="44"/>
  <c r="V141" i="44"/>
  <c r="V142" i="44"/>
  <c r="V2" i="44"/>
  <c r="W3" i="44"/>
  <c r="W4" i="44"/>
  <c r="W5" i="44"/>
  <c r="W6" i="44"/>
  <c r="W7" i="44"/>
  <c r="W8" i="44"/>
  <c r="W9" i="44"/>
  <c r="W10" i="44"/>
  <c r="W11" i="44"/>
  <c r="W12" i="44"/>
  <c r="W13" i="44"/>
  <c r="W14" i="44"/>
  <c r="W15" i="44"/>
  <c r="W16" i="44"/>
  <c r="W17" i="44"/>
  <c r="W18" i="44"/>
  <c r="W19" i="44"/>
  <c r="W20" i="44"/>
  <c r="W21" i="44"/>
  <c r="W22" i="44"/>
  <c r="W23" i="44"/>
  <c r="W24" i="44"/>
  <c r="W25" i="44"/>
  <c r="W26" i="44"/>
  <c r="W27" i="44"/>
  <c r="W28" i="44"/>
  <c r="W29" i="44"/>
  <c r="W30" i="44"/>
  <c r="W31" i="44"/>
  <c r="W32" i="44"/>
  <c r="W33" i="44"/>
  <c r="W34" i="44"/>
  <c r="W35" i="44"/>
  <c r="W36" i="44"/>
  <c r="W37" i="44"/>
  <c r="W38" i="44"/>
  <c r="W39" i="44"/>
  <c r="W40" i="44"/>
  <c r="W41" i="44"/>
  <c r="W42" i="44"/>
  <c r="W43" i="44"/>
  <c r="W44" i="44"/>
  <c r="W45" i="44"/>
  <c r="W46" i="44"/>
  <c r="W47" i="44"/>
  <c r="W48" i="44"/>
  <c r="W49" i="44"/>
  <c r="W50" i="44"/>
  <c r="W51" i="44"/>
  <c r="W52" i="44"/>
  <c r="W53" i="44"/>
  <c r="W54" i="44"/>
  <c r="W55" i="44"/>
  <c r="W56" i="44"/>
  <c r="W57" i="44"/>
  <c r="W58" i="44"/>
  <c r="W59" i="44"/>
  <c r="W60" i="44"/>
  <c r="W61" i="44"/>
  <c r="W62" i="44"/>
  <c r="W63" i="44"/>
  <c r="W64" i="44"/>
  <c r="W65" i="44"/>
  <c r="W66" i="44"/>
  <c r="W67" i="44"/>
  <c r="W68" i="44"/>
  <c r="W69" i="44"/>
  <c r="W70" i="44"/>
  <c r="W71" i="44"/>
  <c r="W72" i="44"/>
  <c r="W73" i="44"/>
  <c r="W74" i="44"/>
  <c r="W75" i="44"/>
  <c r="W76" i="44"/>
  <c r="W77" i="44"/>
  <c r="W78" i="44"/>
  <c r="W79" i="44"/>
  <c r="W80" i="44"/>
  <c r="W81" i="44"/>
  <c r="W82" i="44"/>
  <c r="W83" i="44"/>
  <c r="W84" i="44"/>
  <c r="W85" i="44"/>
  <c r="W86" i="44"/>
  <c r="W87" i="44"/>
  <c r="W88" i="44"/>
  <c r="W89" i="44"/>
  <c r="W90" i="44"/>
  <c r="W91" i="44"/>
  <c r="W92" i="44"/>
  <c r="W93" i="44"/>
  <c r="W94" i="44"/>
  <c r="W95" i="44"/>
  <c r="W96" i="44"/>
  <c r="W97" i="44"/>
  <c r="W98" i="44"/>
  <c r="W99" i="44"/>
  <c r="W100" i="44"/>
  <c r="W101" i="44"/>
  <c r="W102" i="44"/>
  <c r="W103" i="44"/>
  <c r="W104" i="44"/>
  <c r="W105" i="44"/>
  <c r="W106" i="44"/>
  <c r="W107" i="44"/>
  <c r="W108" i="44"/>
  <c r="W109" i="44"/>
  <c r="W110" i="44"/>
  <c r="W111" i="44"/>
  <c r="W112" i="44"/>
  <c r="W113" i="44"/>
  <c r="W114" i="44"/>
  <c r="W115" i="44"/>
  <c r="W116" i="44"/>
  <c r="W117" i="44"/>
  <c r="W118" i="44"/>
  <c r="W119" i="44"/>
  <c r="W120" i="44"/>
  <c r="W121" i="44"/>
  <c r="W122" i="44"/>
  <c r="W123" i="44"/>
  <c r="W124" i="44"/>
  <c r="W125" i="44"/>
  <c r="W126" i="44"/>
  <c r="W127" i="44"/>
  <c r="W128" i="44"/>
  <c r="W129" i="44"/>
  <c r="W130" i="44"/>
  <c r="W131" i="44"/>
  <c r="W132" i="44"/>
  <c r="W133" i="44"/>
  <c r="W134" i="44"/>
  <c r="W135" i="44"/>
  <c r="W136" i="44"/>
  <c r="W137" i="44"/>
  <c r="W138" i="44"/>
  <c r="W139" i="44"/>
  <c r="W140" i="44"/>
  <c r="W141" i="44"/>
  <c r="W142" i="44"/>
  <c r="W2" i="44"/>
  <c r="L6" i="44"/>
  <c r="Z6" i="44" s="1"/>
  <c r="K6" i="44"/>
  <c r="M6" i="44" s="1"/>
  <c r="L5" i="44"/>
  <c r="AB5" i="44" s="1"/>
  <c r="K5" i="44"/>
  <c r="T5" i="44" s="1"/>
  <c r="L4" i="44"/>
  <c r="AB4" i="44" s="1"/>
  <c r="K4" i="44"/>
  <c r="T4" i="44" s="1"/>
  <c r="L3" i="44"/>
  <c r="AB3" i="44" s="1"/>
  <c r="K3" i="44"/>
  <c r="M3" i="44" s="1"/>
  <c r="L2" i="44"/>
  <c r="Z2" i="44" s="1"/>
  <c r="K2" i="44"/>
  <c r="M2" i="44" s="1"/>
  <c r="L8" i="44"/>
  <c r="N8" i="44" s="1"/>
  <c r="L9" i="44"/>
  <c r="Y9" i="44" s="1"/>
  <c r="L10" i="44"/>
  <c r="Y10" i="44" s="1"/>
  <c r="L11" i="44"/>
  <c r="AB11" i="44" s="1"/>
  <c r="L12" i="44"/>
  <c r="AB12" i="44" s="1"/>
  <c r="L13" i="44"/>
  <c r="AB13" i="44" s="1"/>
  <c r="L14" i="44"/>
  <c r="Z14" i="44" s="1"/>
  <c r="L15" i="44"/>
  <c r="Z15" i="44" s="1"/>
  <c r="L16" i="44"/>
  <c r="N16" i="44" s="1"/>
  <c r="L17" i="44"/>
  <c r="Y17" i="44" s="1"/>
  <c r="L18" i="44"/>
  <c r="Y18" i="44" s="1"/>
  <c r="L19" i="44"/>
  <c r="AB19" i="44" s="1"/>
  <c r="L20" i="44"/>
  <c r="AB20" i="44" s="1"/>
  <c r="L21" i="44"/>
  <c r="AB21" i="44" s="1"/>
  <c r="L22" i="44"/>
  <c r="Z22" i="44" s="1"/>
  <c r="L23" i="44"/>
  <c r="Z23" i="44" s="1"/>
  <c r="L24" i="44"/>
  <c r="N24" i="44" s="1"/>
  <c r="L25" i="44"/>
  <c r="Y25" i="44" s="1"/>
  <c r="L26" i="44"/>
  <c r="Y26" i="44" s="1"/>
  <c r="L27" i="44"/>
  <c r="AB27" i="44" s="1"/>
  <c r="L28" i="44"/>
  <c r="N28" i="44" s="1"/>
  <c r="L29" i="44"/>
  <c r="AB29" i="44" s="1"/>
  <c r="L30" i="44"/>
  <c r="Z30" i="44" s="1"/>
  <c r="L31" i="44"/>
  <c r="Z31" i="44" s="1"/>
  <c r="L32" i="44"/>
  <c r="Z32" i="44" s="1"/>
  <c r="L33" i="44"/>
  <c r="Y33" i="44" s="1"/>
  <c r="L34" i="44"/>
  <c r="Y34" i="44" s="1"/>
  <c r="L35" i="44"/>
  <c r="AB35" i="44" s="1"/>
  <c r="L36" i="44"/>
  <c r="N36" i="44" s="1"/>
  <c r="L37" i="44"/>
  <c r="AB37" i="44" s="1"/>
  <c r="L38" i="44"/>
  <c r="Z38" i="44" s="1"/>
  <c r="L39" i="44"/>
  <c r="Z39" i="44" s="1"/>
  <c r="L40" i="44"/>
  <c r="Z40" i="44" s="1"/>
  <c r="L41" i="44"/>
  <c r="Y41" i="44" s="1"/>
  <c r="L42" i="44"/>
  <c r="Y42" i="44" s="1"/>
  <c r="L43" i="44"/>
  <c r="AB43" i="44" s="1"/>
  <c r="L44" i="44"/>
  <c r="N44" i="44" s="1"/>
  <c r="L45" i="44"/>
  <c r="AB45" i="44" s="1"/>
  <c r="L46" i="44"/>
  <c r="Z46" i="44" s="1"/>
  <c r="L47" i="44"/>
  <c r="Z47" i="44" s="1"/>
  <c r="L48" i="44"/>
  <c r="Z48" i="44" s="1"/>
  <c r="L49" i="44"/>
  <c r="Y49" i="44" s="1"/>
  <c r="L50" i="44"/>
  <c r="Y50" i="44" s="1"/>
  <c r="L51" i="44"/>
  <c r="AB51" i="44" s="1"/>
  <c r="L52" i="44"/>
  <c r="N52" i="44" s="1"/>
  <c r="L53" i="44"/>
  <c r="AB53" i="44" s="1"/>
  <c r="L54" i="44"/>
  <c r="Z54" i="44" s="1"/>
  <c r="L55" i="44"/>
  <c r="Z55" i="44" s="1"/>
  <c r="L56" i="44"/>
  <c r="Z56" i="44" s="1"/>
  <c r="L57" i="44"/>
  <c r="Y57" i="44" s="1"/>
  <c r="L58" i="44"/>
  <c r="Y58" i="44" s="1"/>
  <c r="L59" i="44"/>
  <c r="AB59" i="44" s="1"/>
  <c r="L60" i="44"/>
  <c r="N60" i="44" s="1"/>
  <c r="L61" i="44"/>
  <c r="AB61" i="44" s="1"/>
  <c r="L62" i="44"/>
  <c r="Z62" i="44" s="1"/>
  <c r="L63" i="44"/>
  <c r="Z63" i="44" s="1"/>
  <c r="L64" i="44"/>
  <c r="Z64" i="44" s="1"/>
  <c r="L65" i="44"/>
  <c r="Y65" i="44" s="1"/>
  <c r="L66" i="44"/>
  <c r="Y66" i="44" s="1"/>
  <c r="L67" i="44"/>
  <c r="AB67" i="44" s="1"/>
  <c r="L68" i="44"/>
  <c r="N68" i="44" s="1"/>
  <c r="L69" i="44"/>
  <c r="AB69" i="44" s="1"/>
  <c r="L70" i="44"/>
  <c r="Z70" i="44" s="1"/>
  <c r="L71" i="44"/>
  <c r="Z71" i="44" s="1"/>
  <c r="L72" i="44"/>
  <c r="Z72" i="44" s="1"/>
  <c r="L73" i="44"/>
  <c r="Y73" i="44" s="1"/>
  <c r="L74" i="44"/>
  <c r="Y74" i="44" s="1"/>
  <c r="L75" i="44"/>
  <c r="AB75" i="44" s="1"/>
  <c r="L76" i="44"/>
  <c r="N76" i="44" s="1"/>
  <c r="L77" i="44"/>
  <c r="AB77" i="44" s="1"/>
  <c r="L78" i="44"/>
  <c r="Z78" i="44" s="1"/>
  <c r="L79" i="44"/>
  <c r="Z79" i="44" s="1"/>
  <c r="L80" i="44"/>
  <c r="Z80" i="44" s="1"/>
  <c r="L81" i="44"/>
  <c r="Y81" i="44" s="1"/>
  <c r="L82" i="44"/>
  <c r="Y82" i="44" s="1"/>
  <c r="L83" i="44"/>
  <c r="AB83" i="44" s="1"/>
  <c r="L84" i="44"/>
  <c r="N84" i="44" s="1"/>
  <c r="L85" i="44"/>
  <c r="AB85" i="44" s="1"/>
  <c r="L86" i="44"/>
  <c r="Z86" i="44" s="1"/>
  <c r="L87" i="44"/>
  <c r="Z87" i="44" s="1"/>
  <c r="L88" i="44"/>
  <c r="Z88" i="44" s="1"/>
  <c r="L89" i="44"/>
  <c r="Y89" i="44" s="1"/>
  <c r="L90" i="44"/>
  <c r="Y90" i="44" s="1"/>
  <c r="L91" i="44"/>
  <c r="AB91" i="44" s="1"/>
  <c r="L92" i="44"/>
  <c r="N92" i="44" s="1"/>
  <c r="L93" i="44"/>
  <c r="AB93" i="44" s="1"/>
  <c r="L94" i="44"/>
  <c r="Z94" i="44" s="1"/>
  <c r="L95" i="44"/>
  <c r="Z95" i="44" s="1"/>
  <c r="L96" i="44"/>
  <c r="Z96" i="44" s="1"/>
  <c r="L97" i="44"/>
  <c r="Y97" i="44" s="1"/>
  <c r="L98" i="44"/>
  <c r="Y98" i="44" s="1"/>
  <c r="L99" i="44"/>
  <c r="AB99" i="44" s="1"/>
  <c r="L100" i="44"/>
  <c r="N100" i="44" s="1"/>
  <c r="L101" i="44"/>
  <c r="AB101" i="44" s="1"/>
  <c r="L102" i="44"/>
  <c r="Z102" i="44" s="1"/>
  <c r="L103" i="44"/>
  <c r="Z103" i="44" s="1"/>
  <c r="L104" i="44"/>
  <c r="Z104" i="44" s="1"/>
  <c r="L105" i="44"/>
  <c r="Y105" i="44" s="1"/>
  <c r="L106" i="44"/>
  <c r="Y106" i="44" s="1"/>
  <c r="L107" i="44"/>
  <c r="AB107" i="44" s="1"/>
  <c r="L108" i="44"/>
  <c r="N108" i="44" s="1"/>
  <c r="L109" i="44"/>
  <c r="AB109" i="44" s="1"/>
  <c r="L110" i="44"/>
  <c r="Z110" i="44" s="1"/>
  <c r="L111" i="44"/>
  <c r="Z111" i="44" s="1"/>
  <c r="L112" i="44"/>
  <c r="Z112" i="44" s="1"/>
  <c r="L113" i="44"/>
  <c r="Y113" i="44" s="1"/>
  <c r="L114" i="44"/>
  <c r="Y114" i="44" s="1"/>
  <c r="L115" i="44"/>
  <c r="AB115" i="44" s="1"/>
  <c r="L116" i="44"/>
  <c r="N116" i="44" s="1"/>
  <c r="L117" i="44"/>
  <c r="AB117" i="44" s="1"/>
  <c r="L118" i="44"/>
  <c r="Z118" i="44" s="1"/>
  <c r="L119" i="44"/>
  <c r="Z119" i="44" s="1"/>
  <c r="L120" i="44"/>
  <c r="Z120" i="44" s="1"/>
  <c r="L121" i="44"/>
  <c r="Y121" i="44" s="1"/>
  <c r="L122" i="44"/>
  <c r="Y122" i="44" s="1"/>
  <c r="L123" i="44"/>
  <c r="AB123" i="44" s="1"/>
  <c r="L124" i="44"/>
  <c r="N124" i="44" s="1"/>
  <c r="L125" i="44"/>
  <c r="AB125" i="44" s="1"/>
  <c r="L126" i="44"/>
  <c r="Z126" i="44" s="1"/>
  <c r="L127" i="44"/>
  <c r="Z127" i="44" s="1"/>
  <c r="L128" i="44"/>
  <c r="Z128" i="44" s="1"/>
  <c r="L129" i="44"/>
  <c r="Y129" i="44" s="1"/>
  <c r="L130" i="44"/>
  <c r="Y130" i="44" s="1"/>
  <c r="L131" i="44"/>
  <c r="AB131" i="44" s="1"/>
  <c r="L132" i="44"/>
  <c r="N132" i="44" s="1"/>
  <c r="L133" i="44"/>
  <c r="AB133" i="44" s="1"/>
  <c r="L134" i="44"/>
  <c r="Z134" i="44" s="1"/>
  <c r="L135" i="44"/>
  <c r="Z135" i="44" s="1"/>
  <c r="L136" i="44"/>
  <c r="Z136" i="44" s="1"/>
  <c r="L137" i="44"/>
  <c r="Y137" i="44" s="1"/>
  <c r="L138" i="44"/>
  <c r="Y138" i="44" s="1"/>
  <c r="L139" i="44"/>
  <c r="AB139" i="44" s="1"/>
  <c r="L140" i="44"/>
  <c r="N140" i="44" s="1"/>
  <c r="L141" i="44"/>
  <c r="AB141" i="44" s="1"/>
  <c r="L142" i="44"/>
  <c r="Z142" i="44" s="1"/>
  <c r="K8" i="44"/>
  <c r="K9" i="44"/>
  <c r="T9" i="44" s="1"/>
  <c r="K10" i="44"/>
  <c r="T10" i="44" s="1"/>
  <c r="K11" i="44"/>
  <c r="M11" i="44" s="1"/>
  <c r="K12" i="44"/>
  <c r="M12" i="44" s="1"/>
  <c r="K13" i="44"/>
  <c r="M13" i="44" s="1"/>
  <c r="K14" i="44"/>
  <c r="M14" i="44" s="1"/>
  <c r="K15" i="44"/>
  <c r="M15" i="44" s="1"/>
  <c r="K16" i="44"/>
  <c r="K17" i="44"/>
  <c r="T17" i="44" s="1"/>
  <c r="K18" i="44"/>
  <c r="K19" i="44"/>
  <c r="M19" i="44" s="1"/>
  <c r="K20" i="44"/>
  <c r="M20" i="44" s="1"/>
  <c r="K21" i="44"/>
  <c r="M21" i="44" s="1"/>
  <c r="K22" i="44"/>
  <c r="M22" i="44" s="1"/>
  <c r="K23" i="44"/>
  <c r="M23" i="44" s="1"/>
  <c r="K24" i="44"/>
  <c r="T24" i="44" s="1"/>
  <c r="K25" i="44"/>
  <c r="T25" i="44" s="1"/>
  <c r="K26" i="44"/>
  <c r="K27" i="44"/>
  <c r="M27" i="44" s="1"/>
  <c r="K28" i="44"/>
  <c r="M28" i="44" s="1"/>
  <c r="K29" i="44"/>
  <c r="Q29" i="44" s="1"/>
  <c r="K30" i="44"/>
  <c r="M30" i="44" s="1"/>
  <c r="K31" i="44"/>
  <c r="M31" i="44" s="1"/>
  <c r="K32" i="44"/>
  <c r="T32" i="44" s="1"/>
  <c r="K33" i="44"/>
  <c r="T33" i="44" s="1"/>
  <c r="K34" i="44"/>
  <c r="T34" i="44" s="1"/>
  <c r="K35" i="44"/>
  <c r="R35" i="44" s="1"/>
  <c r="K36" i="44"/>
  <c r="M36" i="44" s="1"/>
  <c r="K37" i="44"/>
  <c r="M37" i="44" s="1"/>
  <c r="K38" i="44"/>
  <c r="M38" i="44" s="1"/>
  <c r="K39" i="44"/>
  <c r="M39" i="44" s="1"/>
  <c r="K40" i="44"/>
  <c r="K41" i="44"/>
  <c r="T41" i="44" s="1"/>
  <c r="K42" i="44"/>
  <c r="T42" i="44" s="1"/>
  <c r="K43" i="44"/>
  <c r="M43" i="44" s="1"/>
  <c r="K44" i="44"/>
  <c r="M44" i="44" s="1"/>
  <c r="K45" i="44"/>
  <c r="M45" i="44" s="1"/>
  <c r="K46" i="44"/>
  <c r="M46" i="44" s="1"/>
  <c r="K47" i="44"/>
  <c r="M47" i="44" s="1"/>
  <c r="K48" i="44"/>
  <c r="K49" i="44"/>
  <c r="T49" i="44" s="1"/>
  <c r="K50" i="44"/>
  <c r="K51" i="44"/>
  <c r="M51" i="44" s="1"/>
  <c r="K52" i="44"/>
  <c r="M52" i="44" s="1"/>
  <c r="K53" i="44"/>
  <c r="M53" i="44" s="1"/>
  <c r="K54" i="44"/>
  <c r="M54" i="44" s="1"/>
  <c r="K55" i="44"/>
  <c r="M55" i="44" s="1"/>
  <c r="K56" i="44"/>
  <c r="K57" i="44"/>
  <c r="T57" i="44" s="1"/>
  <c r="K58" i="44"/>
  <c r="S58" i="44" s="1"/>
  <c r="K59" i="44"/>
  <c r="R59" i="44" s="1"/>
  <c r="K60" i="44"/>
  <c r="M60" i="44" s="1"/>
  <c r="K61" i="44"/>
  <c r="Q61" i="44" s="1"/>
  <c r="K62" i="44"/>
  <c r="M62" i="44" s="1"/>
  <c r="K63" i="44"/>
  <c r="M63" i="44" s="1"/>
  <c r="K64" i="44"/>
  <c r="T64" i="44" s="1"/>
  <c r="K65" i="44"/>
  <c r="T65" i="44" s="1"/>
  <c r="K66" i="44"/>
  <c r="T66" i="44" s="1"/>
  <c r="K67" i="44"/>
  <c r="M67" i="44" s="1"/>
  <c r="K68" i="44"/>
  <c r="M68" i="44" s="1"/>
  <c r="K69" i="44"/>
  <c r="M69" i="44" s="1"/>
  <c r="K70" i="44"/>
  <c r="M70" i="44" s="1"/>
  <c r="K71" i="44"/>
  <c r="M71" i="44" s="1"/>
  <c r="K72" i="44"/>
  <c r="K73" i="44"/>
  <c r="T73" i="44" s="1"/>
  <c r="K74" i="44"/>
  <c r="T74" i="44" s="1"/>
  <c r="K75" i="44"/>
  <c r="R75" i="44" s="1"/>
  <c r="K76" i="44"/>
  <c r="Q76" i="44" s="1"/>
  <c r="K77" i="44"/>
  <c r="M77" i="44" s="1"/>
  <c r="K78" i="44"/>
  <c r="M78" i="44" s="1"/>
  <c r="K79" i="44"/>
  <c r="M79" i="44" s="1"/>
  <c r="K80" i="44"/>
  <c r="K81" i="44"/>
  <c r="T81" i="44" s="1"/>
  <c r="K82" i="44"/>
  <c r="K83" i="44"/>
  <c r="M83" i="44" s="1"/>
  <c r="K84" i="44"/>
  <c r="M84" i="44" s="1"/>
  <c r="K85" i="44"/>
  <c r="M85" i="44" s="1"/>
  <c r="K86" i="44"/>
  <c r="M86" i="44" s="1"/>
  <c r="K87" i="44"/>
  <c r="M87" i="44" s="1"/>
  <c r="K88" i="44"/>
  <c r="P88" i="44" s="1"/>
  <c r="K89" i="44"/>
  <c r="T89" i="44" s="1"/>
  <c r="K90" i="44"/>
  <c r="K91" i="44"/>
  <c r="M91" i="44" s="1"/>
  <c r="K92" i="44"/>
  <c r="M92" i="44" s="1"/>
  <c r="K93" i="44"/>
  <c r="Q93" i="44" s="1"/>
  <c r="K94" i="44"/>
  <c r="M94" i="44" s="1"/>
  <c r="K95" i="44"/>
  <c r="M95" i="44" s="1"/>
  <c r="K96" i="44"/>
  <c r="R96" i="44" s="1"/>
  <c r="K97" i="44"/>
  <c r="T97" i="44" s="1"/>
  <c r="K98" i="44"/>
  <c r="T98" i="44" s="1"/>
  <c r="K99" i="44"/>
  <c r="M99" i="44" s="1"/>
  <c r="K100" i="44"/>
  <c r="M100" i="44" s="1"/>
  <c r="K101" i="44"/>
  <c r="M101" i="44" s="1"/>
  <c r="K102" i="44"/>
  <c r="M102" i="44" s="1"/>
  <c r="K103" i="44"/>
  <c r="M103" i="44" s="1"/>
  <c r="K104" i="44"/>
  <c r="R104" i="44" s="1"/>
  <c r="K105" i="44"/>
  <c r="T105" i="44" s="1"/>
  <c r="K106" i="44"/>
  <c r="T106" i="44" s="1"/>
  <c r="K107" i="44"/>
  <c r="R107" i="44" s="1"/>
  <c r="K108" i="44"/>
  <c r="M108" i="44" s="1"/>
  <c r="K109" i="44"/>
  <c r="M109" i="44" s="1"/>
  <c r="K110" i="44"/>
  <c r="M110" i="44" s="1"/>
  <c r="K111" i="44"/>
  <c r="M111" i="44" s="1"/>
  <c r="K112" i="44"/>
  <c r="K113" i="44"/>
  <c r="T113" i="44" s="1"/>
  <c r="K114" i="44"/>
  <c r="K115" i="44"/>
  <c r="M115" i="44" s="1"/>
  <c r="K116" i="44"/>
  <c r="M116" i="44" s="1"/>
  <c r="K117" i="44"/>
  <c r="Q117" i="44" s="1"/>
  <c r="K118" i="44"/>
  <c r="M118" i="44" s="1"/>
  <c r="K119" i="44"/>
  <c r="M119" i="44" s="1"/>
  <c r="K120" i="44"/>
  <c r="K121" i="44"/>
  <c r="T121" i="44" s="1"/>
  <c r="K122" i="44"/>
  <c r="K123" i="44"/>
  <c r="R123" i="44" s="1"/>
  <c r="K124" i="44"/>
  <c r="M124" i="44" s="1"/>
  <c r="K125" i="44"/>
  <c r="Q125" i="44" s="1"/>
  <c r="K126" i="44"/>
  <c r="M126" i="44" s="1"/>
  <c r="K127" i="44"/>
  <c r="M127" i="44" s="1"/>
  <c r="K128" i="44"/>
  <c r="T128" i="44" s="1"/>
  <c r="K129" i="44"/>
  <c r="T129" i="44" s="1"/>
  <c r="K130" i="44"/>
  <c r="T130" i="44" s="1"/>
  <c r="K131" i="44"/>
  <c r="M131" i="44" s="1"/>
  <c r="K132" i="44"/>
  <c r="M132" i="44" s="1"/>
  <c r="K133" i="44"/>
  <c r="M133" i="44" s="1"/>
  <c r="K134" i="44"/>
  <c r="M134" i="44" s="1"/>
  <c r="K135" i="44"/>
  <c r="M135" i="44" s="1"/>
  <c r="K136" i="44"/>
  <c r="K137" i="44"/>
  <c r="T137" i="44" s="1"/>
  <c r="K138" i="44"/>
  <c r="T138" i="44" s="1"/>
  <c r="K139" i="44"/>
  <c r="M139" i="44" s="1"/>
  <c r="K140" i="44"/>
  <c r="M140" i="44" s="1"/>
  <c r="K141" i="44"/>
  <c r="Q141" i="44" s="1"/>
  <c r="K142" i="44"/>
  <c r="S142" i="44" s="1"/>
  <c r="L7" i="44"/>
  <c r="Z7" i="44" s="1"/>
  <c r="K7" i="44"/>
  <c r="T7" i="44" s="1"/>
  <c r="T90" i="44" l="1"/>
  <c r="U66" i="44"/>
  <c r="U18" i="44"/>
  <c r="U10" i="44"/>
  <c r="U130" i="44"/>
  <c r="S28" i="44"/>
  <c r="U82" i="44"/>
  <c r="T122" i="44"/>
  <c r="U74" i="44"/>
  <c r="T58" i="44"/>
  <c r="U122" i="44"/>
  <c r="U58" i="44"/>
  <c r="T26" i="44"/>
  <c r="U114" i="44"/>
  <c r="U50" i="44"/>
  <c r="P62" i="44"/>
  <c r="U106" i="44"/>
  <c r="U42" i="44"/>
  <c r="P30" i="44"/>
  <c r="U98" i="44"/>
  <c r="U34" i="44"/>
  <c r="S53" i="44"/>
  <c r="U90" i="44"/>
  <c r="U26" i="44"/>
  <c r="U138" i="44"/>
  <c r="U9" i="44"/>
  <c r="Q13" i="44"/>
  <c r="S12" i="44"/>
  <c r="T114" i="44"/>
  <c r="T82" i="44"/>
  <c r="T50" i="44"/>
  <c r="T18" i="44"/>
  <c r="U136" i="44"/>
  <c r="U128" i="44"/>
  <c r="U120" i="44"/>
  <c r="U112" i="44"/>
  <c r="U104" i="44"/>
  <c r="U96" i="44"/>
  <c r="U88" i="44"/>
  <c r="U80" i="44"/>
  <c r="U72" i="44"/>
  <c r="U64" i="44"/>
  <c r="U56" i="44"/>
  <c r="U48" i="44"/>
  <c r="U40" i="44"/>
  <c r="U32" i="44"/>
  <c r="U24" i="44"/>
  <c r="U16" i="44"/>
  <c r="U8" i="44"/>
  <c r="T120" i="44"/>
  <c r="U137" i="44"/>
  <c r="U113" i="44"/>
  <c r="U89" i="44"/>
  <c r="U57" i="44"/>
  <c r="U17" i="44"/>
  <c r="S132" i="44"/>
  <c r="S3" i="44"/>
  <c r="T112" i="44"/>
  <c r="T80" i="44"/>
  <c r="T48" i="44"/>
  <c r="T16" i="44"/>
  <c r="U2" i="44"/>
  <c r="U135" i="44"/>
  <c r="U127" i="44"/>
  <c r="U119" i="44"/>
  <c r="U111" i="44"/>
  <c r="U103" i="44"/>
  <c r="U95" i="44"/>
  <c r="U87" i="44"/>
  <c r="U79" i="44"/>
  <c r="U71" i="44"/>
  <c r="U63" i="44"/>
  <c r="U55" i="44"/>
  <c r="U47" i="44"/>
  <c r="U39" i="44"/>
  <c r="U31" i="44"/>
  <c r="U23" i="44"/>
  <c r="U15" i="44"/>
  <c r="U7" i="44"/>
  <c r="T56" i="44"/>
  <c r="U129" i="44"/>
  <c r="U105" i="44"/>
  <c r="U81" i="44"/>
  <c r="U65" i="44"/>
  <c r="U25" i="44"/>
  <c r="S116" i="44"/>
  <c r="U142" i="44"/>
  <c r="U134" i="44"/>
  <c r="U126" i="44"/>
  <c r="U118" i="44"/>
  <c r="U110" i="44"/>
  <c r="U102" i="44"/>
  <c r="U94" i="44"/>
  <c r="U86" i="44"/>
  <c r="U78" i="44"/>
  <c r="U70" i="44"/>
  <c r="U62" i="44"/>
  <c r="U54" i="44"/>
  <c r="U46" i="44"/>
  <c r="U38" i="44"/>
  <c r="U30" i="44"/>
  <c r="U22" i="44"/>
  <c r="U14" i="44"/>
  <c r="U6" i="44"/>
  <c r="T88" i="44"/>
  <c r="U121" i="44"/>
  <c r="U97" i="44"/>
  <c r="U73" i="44"/>
  <c r="U33" i="44"/>
  <c r="AA118" i="44"/>
  <c r="S109" i="44"/>
  <c r="T136" i="44"/>
  <c r="T104" i="44"/>
  <c r="T72" i="44"/>
  <c r="T40" i="44"/>
  <c r="T8" i="44"/>
  <c r="U141" i="44"/>
  <c r="U133" i="44"/>
  <c r="U125" i="44"/>
  <c r="U117" i="44"/>
  <c r="U109" i="44"/>
  <c r="U101" i="44"/>
  <c r="U93" i="44"/>
  <c r="U85" i="44"/>
  <c r="U77" i="44"/>
  <c r="U69" i="44"/>
  <c r="U61" i="44"/>
  <c r="U53" i="44"/>
  <c r="U45" i="44"/>
  <c r="U37" i="44"/>
  <c r="U29" i="44"/>
  <c r="U21" i="44"/>
  <c r="U13" i="44"/>
  <c r="U5" i="44"/>
  <c r="U49" i="44"/>
  <c r="AA70" i="44"/>
  <c r="S93" i="44"/>
  <c r="U140" i="44"/>
  <c r="U132" i="44"/>
  <c r="U124" i="44"/>
  <c r="U116" i="44"/>
  <c r="U108" i="44"/>
  <c r="U100" i="44"/>
  <c r="U92" i="44"/>
  <c r="U84" i="44"/>
  <c r="U76" i="44"/>
  <c r="U68" i="44"/>
  <c r="U60" i="44"/>
  <c r="U52" i="44"/>
  <c r="U44" i="44"/>
  <c r="U36" i="44"/>
  <c r="U28" i="44"/>
  <c r="U20" i="44"/>
  <c r="U12" i="44"/>
  <c r="U4" i="44"/>
  <c r="U41" i="44"/>
  <c r="AA14" i="44"/>
  <c r="S68" i="44"/>
  <c r="T96" i="44"/>
  <c r="U139" i="44"/>
  <c r="U131" i="44"/>
  <c r="U123" i="44"/>
  <c r="U115" i="44"/>
  <c r="U107" i="44"/>
  <c r="U99" i="44"/>
  <c r="U91" i="44"/>
  <c r="U83" i="44"/>
  <c r="U75" i="44"/>
  <c r="U67" i="44"/>
  <c r="U59" i="44"/>
  <c r="U51" i="44"/>
  <c r="U43" i="44"/>
  <c r="U35" i="44"/>
  <c r="U27" i="44"/>
  <c r="U19" i="44"/>
  <c r="U11" i="44"/>
  <c r="U3" i="44"/>
  <c r="S51" i="44"/>
  <c r="AA6" i="44"/>
  <c r="P22" i="44"/>
  <c r="Q11" i="44"/>
  <c r="S131" i="44"/>
  <c r="S108" i="44"/>
  <c r="S85" i="44"/>
  <c r="S67" i="44"/>
  <c r="S45" i="44"/>
  <c r="S27" i="44"/>
  <c r="T2" i="44"/>
  <c r="T135" i="44"/>
  <c r="T127" i="44"/>
  <c r="T119" i="44"/>
  <c r="T111" i="44"/>
  <c r="T103" i="44"/>
  <c r="T95" i="44"/>
  <c r="T87" i="44"/>
  <c r="T79" i="44"/>
  <c r="T71" i="44"/>
  <c r="T63" i="44"/>
  <c r="T55" i="44"/>
  <c r="T47" i="44"/>
  <c r="T39" i="44"/>
  <c r="T31" i="44"/>
  <c r="T23" i="44"/>
  <c r="T15" i="44"/>
  <c r="S91" i="44"/>
  <c r="P126" i="44"/>
  <c r="Q131" i="44"/>
  <c r="Q3" i="44"/>
  <c r="S125" i="44"/>
  <c r="S107" i="44"/>
  <c r="S84" i="44"/>
  <c r="S61" i="44"/>
  <c r="S44" i="44"/>
  <c r="S21" i="44"/>
  <c r="T142" i="44"/>
  <c r="T134" i="44"/>
  <c r="T126" i="44"/>
  <c r="T118" i="44"/>
  <c r="T110" i="44"/>
  <c r="T102" i="44"/>
  <c r="T94" i="44"/>
  <c r="T86" i="44"/>
  <c r="T78" i="44"/>
  <c r="T70" i="44"/>
  <c r="T62" i="44"/>
  <c r="T54" i="44"/>
  <c r="T46" i="44"/>
  <c r="T38" i="44"/>
  <c r="T30" i="44"/>
  <c r="T22" i="44"/>
  <c r="T14" i="44"/>
  <c r="T6" i="44"/>
  <c r="P118" i="44"/>
  <c r="Q123" i="44"/>
  <c r="S2" i="44"/>
  <c r="S124" i="44"/>
  <c r="S101" i="44"/>
  <c r="S83" i="44"/>
  <c r="S60" i="44"/>
  <c r="S43" i="44"/>
  <c r="S20" i="44"/>
  <c r="T141" i="44"/>
  <c r="T133" i="44"/>
  <c r="T125" i="44"/>
  <c r="T117" i="44"/>
  <c r="T109" i="44"/>
  <c r="T101" i="44"/>
  <c r="T93" i="44"/>
  <c r="T85" i="44"/>
  <c r="T77" i="44"/>
  <c r="T69" i="44"/>
  <c r="T61" i="44"/>
  <c r="T53" i="44"/>
  <c r="T45" i="44"/>
  <c r="T37" i="44"/>
  <c r="T29" i="44"/>
  <c r="T21" i="44"/>
  <c r="T13" i="44"/>
  <c r="P94" i="44"/>
  <c r="Q115" i="44"/>
  <c r="S141" i="44"/>
  <c r="S123" i="44"/>
  <c r="S100" i="44"/>
  <c r="S77" i="44"/>
  <c r="S59" i="44"/>
  <c r="S37" i="44"/>
  <c r="S19" i="44"/>
  <c r="T140" i="44"/>
  <c r="T132" i="44"/>
  <c r="T124" i="44"/>
  <c r="T116" i="44"/>
  <c r="T108" i="44"/>
  <c r="T100" i="44"/>
  <c r="T92" i="44"/>
  <c r="T84" i="44"/>
  <c r="T76" i="44"/>
  <c r="T68" i="44"/>
  <c r="T60" i="44"/>
  <c r="T52" i="44"/>
  <c r="T44" i="44"/>
  <c r="T36" i="44"/>
  <c r="T28" i="44"/>
  <c r="T20" i="44"/>
  <c r="T12" i="44"/>
  <c r="P86" i="44"/>
  <c r="Q67" i="44"/>
  <c r="S140" i="44"/>
  <c r="S117" i="44"/>
  <c r="S99" i="44"/>
  <c r="S76" i="44"/>
  <c r="S36" i="44"/>
  <c r="S13" i="44"/>
  <c r="T139" i="44"/>
  <c r="T131" i="44"/>
  <c r="T123" i="44"/>
  <c r="T115" i="44"/>
  <c r="T107" i="44"/>
  <c r="T99" i="44"/>
  <c r="T91" i="44"/>
  <c r="T83" i="44"/>
  <c r="T75" i="44"/>
  <c r="T67" i="44"/>
  <c r="T59" i="44"/>
  <c r="T51" i="44"/>
  <c r="T43" i="44"/>
  <c r="T35" i="44"/>
  <c r="T27" i="44"/>
  <c r="T19" i="44"/>
  <c r="T11" i="44"/>
  <c r="T3" i="44"/>
  <c r="Q59" i="44"/>
  <c r="S139" i="44"/>
  <c r="S75" i="44"/>
  <c r="S35" i="44"/>
  <c r="AA54" i="44"/>
  <c r="P54" i="44"/>
  <c r="Q51" i="44"/>
  <c r="S133" i="44"/>
  <c r="S115" i="44"/>
  <c r="S92" i="44"/>
  <c r="S69" i="44"/>
  <c r="S52" i="44"/>
  <c r="S29" i="44"/>
  <c r="S11" i="44"/>
  <c r="M138" i="44"/>
  <c r="S138" i="44"/>
  <c r="M130" i="44"/>
  <c r="S130" i="44"/>
  <c r="M122" i="44"/>
  <c r="S122" i="44"/>
  <c r="M114" i="44"/>
  <c r="S114" i="44"/>
  <c r="M106" i="44"/>
  <c r="S106" i="44"/>
  <c r="M98" i="44"/>
  <c r="S98" i="44"/>
  <c r="M90" i="44"/>
  <c r="S90" i="44"/>
  <c r="M82" i="44"/>
  <c r="S82" i="44"/>
  <c r="M74" i="44"/>
  <c r="S74" i="44"/>
  <c r="M66" i="44"/>
  <c r="S66" i="44"/>
  <c r="M58" i="44"/>
  <c r="M50" i="44"/>
  <c r="S50" i="44"/>
  <c r="M42" i="44"/>
  <c r="S42" i="44"/>
  <c r="M34" i="44"/>
  <c r="S34" i="44"/>
  <c r="M26" i="44"/>
  <c r="S26" i="44"/>
  <c r="M18" i="44"/>
  <c r="S18" i="44"/>
  <c r="M10" i="44"/>
  <c r="S10" i="44"/>
  <c r="M4" i="44"/>
  <c r="M137" i="44"/>
  <c r="S137" i="44"/>
  <c r="M129" i="44"/>
  <c r="S129" i="44"/>
  <c r="M121" i="44"/>
  <c r="S121" i="44"/>
  <c r="M113" i="44"/>
  <c r="S113" i="44"/>
  <c r="M105" i="44"/>
  <c r="S105" i="44"/>
  <c r="M97" i="44"/>
  <c r="S97" i="44"/>
  <c r="M89" i="44"/>
  <c r="S89" i="44"/>
  <c r="M81" i="44"/>
  <c r="S81" i="44"/>
  <c r="M73" i="44"/>
  <c r="S73" i="44"/>
  <c r="M65" i="44"/>
  <c r="S65" i="44"/>
  <c r="M57" i="44"/>
  <c r="S57" i="44"/>
  <c r="M49" i="44"/>
  <c r="S49" i="44"/>
  <c r="M41" i="44"/>
  <c r="S41" i="44"/>
  <c r="M33" i="44"/>
  <c r="S33" i="44"/>
  <c r="M25" i="44"/>
  <c r="S25" i="44"/>
  <c r="M17" i="44"/>
  <c r="S17" i="44"/>
  <c r="M9" i="44"/>
  <c r="S9" i="44"/>
  <c r="S4" i="44"/>
  <c r="M7" i="44"/>
  <c r="S7" i="44"/>
  <c r="M136" i="44"/>
  <c r="P136" i="44"/>
  <c r="S136" i="44"/>
  <c r="R136" i="44"/>
  <c r="M128" i="44"/>
  <c r="P128" i="44"/>
  <c r="R128" i="44"/>
  <c r="S128" i="44"/>
  <c r="M120" i="44"/>
  <c r="R120" i="44"/>
  <c r="S120" i="44"/>
  <c r="M112" i="44"/>
  <c r="R112" i="44"/>
  <c r="P112" i="44"/>
  <c r="S112" i="44"/>
  <c r="M104" i="44"/>
  <c r="P104" i="44"/>
  <c r="S104" i="44"/>
  <c r="M96" i="44"/>
  <c r="P96" i="44"/>
  <c r="S96" i="44"/>
  <c r="M88" i="44"/>
  <c r="R88" i="44"/>
  <c r="S88" i="44"/>
  <c r="M80" i="44"/>
  <c r="S80" i="44"/>
  <c r="R80" i="44"/>
  <c r="P80" i="44"/>
  <c r="M72" i="44"/>
  <c r="P72" i="44"/>
  <c r="S72" i="44"/>
  <c r="R72" i="44"/>
  <c r="M64" i="44"/>
  <c r="P64" i="44"/>
  <c r="R64" i="44"/>
  <c r="S64" i="44"/>
  <c r="M56" i="44"/>
  <c r="R56" i="44"/>
  <c r="S56" i="44"/>
  <c r="M48" i="44"/>
  <c r="R48" i="44"/>
  <c r="P48" i="44"/>
  <c r="S48" i="44"/>
  <c r="M40" i="44"/>
  <c r="P40" i="44"/>
  <c r="S40" i="44"/>
  <c r="M32" i="44"/>
  <c r="P32" i="44"/>
  <c r="S32" i="44"/>
  <c r="M24" i="44"/>
  <c r="S24" i="44"/>
  <c r="R24" i="44"/>
  <c r="M16" i="44"/>
  <c r="R16" i="44"/>
  <c r="S16" i="44"/>
  <c r="P16" i="44"/>
  <c r="M5" i="44"/>
  <c r="S5" i="44"/>
  <c r="Q5" i="44"/>
  <c r="P56" i="44"/>
  <c r="R40" i="44"/>
  <c r="R32" i="44"/>
  <c r="M8" i="44"/>
  <c r="P8" i="44"/>
  <c r="S8" i="44"/>
  <c r="R8" i="44"/>
  <c r="P120" i="44"/>
  <c r="P24" i="44"/>
  <c r="Q43" i="44"/>
  <c r="P142" i="44"/>
  <c r="P110" i="44"/>
  <c r="P78" i="44"/>
  <c r="P46" i="44"/>
  <c r="P14" i="44"/>
  <c r="Q99" i="44"/>
  <c r="Q35" i="44"/>
  <c r="Q107" i="44"/>
  <c r="Q91" i="44"/>
  <c r="Q27" i="44"/>
  <c r="S135" i="44"/>
  <c r="S127" i="44"/>
  <c r="S119" i="44"/>
  <c r="S111" i="44"/>
  <c r="S103" i="44"/>
  <c r="S95" i="44"/>
  <c r="S87" i="44"/>
  <c r="S79" i="44"/>
  <c r="S71" i="44"/>
  <c r="S63" i="44"/>
  <c r="S55" i="44"/>
  <c r="S47" i="44"/>
  <c r="S39" i="44"/>
  <c r="S31" i="44"/>
  <c r="S23" i="44"/>
  <c r="S15" i="44"/>
  <c r="AA134" i="44"/>
  <c r="P134" i="44"/>
  <c r="P102" i="44"/>
  <c r="P70" i="44"/>
  <c r="P38" i="44"/>
  <c r="P6" i="44"/>
  <c r="Q83" i="44"/>
  <c r="Q21" i="44"/>
  <c r="S134" i="44"/>
  <c r="S126" i="44"/>
  <c r="S118" i="44"/>
  <c r="S110" i="44"/>
  <c r="S102" i="44"/>
  <c r="S94" i="44"/>
  <c r="S86" i="44"/>
  <c r="S78" i="44"/>
  <c r="S70" i="44"/>
  <c r="S62" i="44"/>
  <c r="S54" i="44"/>
  <c r="S46" i="44"/>
  <c r="S38" i="44"/>
  <c r="S30" i="44"/>
  <c r="S22" i="44"/>
  <c r="S14" i="44"/>
  <c r="S6" i="44"/>
  <c r="Q139" i="44"/>
  <c r="Q75" i="44"/>
  <c r="Q19" i="44"/>
  <c r="AA110" i="44"/>
  <c r="AA46" i="44"/>
  <c r="P141" i="44"/>
  <c r="P133" i="44"/>
  <c r="P125" i="44"/>
  <c r="P117" i="44"/>
  <c r="P109" i="44"/>
  <c r="P101" i="44"/>
  <c r="P93" i="44"/>
  <c r="P85" i="44"/>
  <c r="P77" i="44"/>
  <c r="P69" i="44"/>
  <c r="P61" i="44"/>
  <c r="P53" i="44"/>
  <c r="P45" i="44"/>
  <c r="P37" i="44"/>
  <c r="P29" i="44"/>
  <c r="P21" i="44"/>
  <c r="P13" i="44"/>
  <c r="P5" i="44"/>
  <c r="Q138" i="44"/>
  <c r="Q130" i="44"/>
  <c r="Q122" i="44"/>
  <c r="Q114" i="44"/>
  <c r="Q106" i="44"/>
  <c r="Q98" i="44"/>
  <c r="Q90" i="44"/>
  <c r="Q82" i="44"/>
  <c r="Q74" i="44"/>
  <c r="Q66" i="44"/>
  <c r="Q58" i="44"/>
  <c r="Q50" i="44"/>
  <c r="Q42" i="44"/>
  <c r="Q34" i="44"/>
  <c r="Q26" i="44"/>
  <c r="Q18" i="44"/>
  <c r="Q10" i="44"/>
  <c r="R2" i="44"/>
  <c r="R135" i="44"/>
  <c r="R127" i="44"/>
  <c r="R119" i="44"/>
  <c r="R111" i="44"/>
  <c r="R103" i="44"/>
  <c r="R95" i="44"/>
  <c r="R87" i="44"/>
  <c r="R79" i="44"/>
  <c r="R71" i="44"/>
  <c r="R63" i="44"/>
  <c r="R55" i="44"/>
  <c r="R47" i="44"/>
  <c r="R39" i="44"/>
  <c r="R31" i="44"/>
  <c r="R23" i="44"/>
  <c r="R15" i="44"/>
  <c r="R7" i="44"/>
  <c r="AA102" i="44"/>
  <c r="AA38" i="44"/>
  <c r="P140" i="44"/>
  <c r="P132" i="44"/>
  <c r="P124" i="44"/>
  <c r="P116" i="44"/>
  <c r="P108" i="44"/>
  <c r="P100" i="44"/>
  <c r="P92" i="44"/>
  <c r="P84" i="44"/>
  <c r="P76" i="44"/>
  <c r="P68" i="44"/>
  <c r="P60" i="44"/>
  <c r="P52" i="44"/>
  <c r="P44" i="44"/>
  <c r="P36" i="44"/>
  <c r="P28" i="44"/>
  <c r="P20" i="44"/>
  <c r="P12" i="44"/>
  <c r="P4" i="44"/>
  <c r="Q137" i="44"/>
  <c r="Q129" i="44"/>
  <c r="Q121" i="44"/>
  <c r="Q113" i="44"/>
  <c r="Q105" i="44"/>
  <c r="Q97" i="44"/>
  <c r="Q89" i="44"/>
  <c r="Q81" i="44"/>
  <c r="Q73" i="44"/>
  <c r="Q65" i="44"/>
  <c r="Q57" i="44"/>
  <c r="Q49" i="44"/>
  <c r="Q41" i="44"/>
  <c r="Q33" i="44"/>
  <c r="Q25" i="44"/>
  <c r="Q17" i="44"/>
  <c r="Q9" i="44"/>
  <c r="R142" i="44"/>
  <c r="R134" i="44"/>
  <c r="R126" i="44"/>
  <c r="R118" i="44"/>
  <c r="R110" i="44"/>
  <c r="R102" i="44"/>
  <c r="R94" i="44"/>
  <c r="R86" i="44"/>
  <c r="R78" i="44"/>
  <c r="R70" i="44"/>
  <c r="R62" i="44"/>
  <c r="R54" i="44"/>
  <c r="R46" i="44"/>
  <c r="R38" i="44"/>
  <c r="R30" i="44"/>
  <c r="R22" i="44"/>
  <c r="R14" i="44"/>
  <c r="R6" i="44"/>
  <c r="AA94" i="44"/>
  <c r="AA30" i="44"/>
  <c r="P139" i="44"/>
  <c r="P131" i="44"/>
  <c r="P123" i="44"/>
  <c r="P115" i="44"/>
  <c r="P107" i="44"/>
  <c r="P99" i="44"/>
  <c r="P91" i="44"/>
  <c r="P83" i="44"/>
  <c r="P75" i="44"/>
  <c r="P67" i="44"/>
  <c r="P59" i="44"/>
  <c r="P51" i="44"/>
  <c r="P43" i="44"/>
  <c r="P35" i="44"/>
  <c r="P27" i="44"/>
  <c r="P19" i="44"/>
  <c r="P11" i="44"/>
  <c r="P3" i="44"/>
  <c r="Q136" i="44"/>
  <c r="Q128" i="44"/>
  <c r="Q120" i="44"/>
  <c r="Q112" i="44"/>
  <c r="Q104" i="44"/>
  <c r="Q96" i="44"/>
  <c r="Q88" i="44"/>
  <c r="Q80" i="44"/>
  <c r="Q72" i="44"/>
  <c r="Q64" i="44"/>
  <c r="Q56" i="44"/>
  <c r="Q48" i="44"/>
  <c r="Q40" i="44"/>
  <c r="Q32" i="44"/>
  <c r="Q24" i="44"/>
  <c r="Q16" i="44"/>
  <c r="Q8" i="44"/>
  <c r="R141" i="44"/>
  <c r="R133" i="44"/>
  <c r="R125" i="44"/>
  <c r="R117" i="44"/>
  <c r="R109" i="44"/>
  <c r="R101" i="44"/>
  <c r="R93" i="44"/>
  <c r="R85" i="44"/>
  <c r="R77" i="44"/>
  <c r="R69" i="44"/>
  <c r="R61" i="44"/>
  <c r="R53" i="44"/>
  <c r="R45" i="44"/>
  <c r="R37" i="44"/>
  <c r="R29" i="44"/>
  <c r="R21" i="44"/>
  <c r="R13" i="44"/>
  <c r="R5" i="44"/>
  <c r="AA86" i="44"/>
  <c r="AA22" i="44"/>
  <c r="P138" i="44"/>
  <c r="P130" i="44"/>
  <c r="P122" i="44"/>
  <c r="P114" i="44"/>
  <c r="P106" i="44"/>
  <c r="P98" i="44"/>
  <c r="P90" i="44"/>
  <c r="P82" i="44"/>
  <c r="P74" i="44"/>
  <c r="P66" i="44"/>
  <c r="P58" i="44"/>
  <c r="P50" i="44"/>
  <c r="P42" i="44"/>
  <c r="P34" i="44"/>
  <c r="P26" i="44"/>
  <c r="P18" i="44"/>
  <c r="P10" i="44"/>
  <c r="Q2" i="44"/>
  <c r="Q135" i="44"/>
  <c r="Q127" i="44"/>
  <c r="Q119" i="44"/>
  <c r="Q111" i="44"/>
  <c r="Q103" i="44"/>
  <c r="Q95" i="44"/>
  <c r="Q87" i="44"/>
  <c r="Q79" i="44"/>
  <c r="Q71" i="44"/>
  <c r="Q63" i="44"/>
  <c r="Q55" i="44"/>
  <c r="Q47" i="44"/>
  <c r="Q39" i="44"/>
  <c r="Q31" i="44"/>
  <c r="Q23" i="44"/>
  <c r="Q15" i="44"/>
  <c r="Q7" i="44"/>
  <c r="R140" i="44"/>
  <c r="R132" i="44"/>
  <c r="R124" i="44"/>
  <c r="R116" i="44"/>
  <c r="R108" i="44"/>
  <c r="R100" i="44"/>
  <c r="R92" i="44"/>
  <c r="R84" i="44"/>
  <c r="R76" i="44"/>
  <c r="R68" i="44"/>
  <c r="R60" i="44"/>
  <c r="R52" i="44"/>
  <c r="R44" i="44"/>
  <c r="R36" i="44"/>
  <c r="R28" i="44"/>
  <c r="R20" i="44"/>
  <c r="R12" i="44"/>
  <c r="R4" i="44"/>
  <c r="AA142" i="44"/>
  <c r="AA78" i="44"/>
  <c r="P137" i="44"/>
  <c r="P129" i="44"/>
  <c r="P121" i="44"/>
  <c r="P113" i="44"/>
  <c r="P105" i="44"/>
  <c r="P97" i="44"/>
  <c r="P89" i="44"/>
  <c r="P81" i="44"/>
  <c r="P73" i="44"/>
  <c r="P65" i="44"/>
  <c r="P57" i="44"/>
  <c r="P49" i="44"/>
  <c r="P41" i="44"/>
  <c r="P33" i="44"/>
  <c r="P25" i="44"/>
  <c r="P17" i="44"/>
  <c r="P9" i="44"/>
  <c r="Q142" i="44"/>
  <c r="Q134" i="44"/>
  <c r="Q126" i="44"/>
  <c r="Q118" i="44"/>
  <c r="Q110" i="44"/>
  <c r="Q102" i="44"/>
  <c r="Q94" i="44"/>
  <c r="Q86" i="44"/>
  <c r="Q78" i="44"/>
  <c r="Q70" i="44"/>
  <c r="Q62" i="44"/>
  <c r="Q54" i="44"/>
  <c r="Q46" i="44"/>
  <c r="Q38" i="44"/>
  <c r="Q30" i="44"/>
  <c r="Q22" i="44"/>
  <c r="Q14" i="44"/>
  <c r="Q6" i="44"/>
  <c r="R139" i="44"/>
  <c r="R131" i="44"/>
  <c r="R115" i="44"/>
  <c r="R99" i="44"/>
  <c r="R91" i="44"/>
  <c r="R83" i="44"/>
  <c r="R67" i="44"/>
  <c r="R51" i="44"/>
  <c r="R43" i="44"/>
  <c r="R27" i="44"/>
  <c r="R19" i="44"/>
  <c r="R11" i="44"/>
  <c r="R3" i="44"/>
  <c r="Q133" i="44"/>
  <c r="Q109" i="44"/>
  <c r="Q101" i="44"/>
  <c r="Q85" i="44"/>
  <c r="Q77" i="44"/>
  <c r="Q69" i="44"/>
  <c r="Q53" i="44"/>
  <c r="Q45" i="44"/>
  <c r="Q37" i="44"/>
  <c r="R138" i="44"/>
  <c r="R130" i="44"/>
  <c r="R122" i="44"/>
  <c r="R114" i="44"/>
  <c r="R106" i="44"/>
  <c r="R98" i="44"/>
  <c r="R90" i="44"/>
  <c r="R82" i="44"/>
  <c r="R74" i="44"/>
  <c r="R66" i="44"/>
  <c r="R58" i="44"/>
  <c r="R50" i="44"/>
  <c r="R42" i="44"/>
  <c r="R34" i="44"/>
  <c r="R26" i="44"/>
  <c r="R18" i="44"/>
  <c r="R10" i="44"/>
  <c r="AA126" i="44"/>
  <c r="AA62" i="44"/>
  <c r="P2" i="44"/>
  <c r="P135" i="44"/>
  <c r="P127" i="44"/>
  <c r="P119" i="44"/>
  <c r="P111" i="44"/>
  <c r="P103" i="44"/>
  <c r="P95" i="44"/>
  <c r="P87" i="44"/>
  <c r="P79" i="44"/>
  <c r="P71" i="44"/>
  <c r="P63" i="44"/>
  <c r="P55" i="44"/>
  <c r="P47" i="44"/>
  <c r="P39" i="44"/>
  <c r="P31" i="44"/>
  <c r="P23" i="44"/>
  <c r="P15" i="44"/>
  <c r="P7" i="44"/>
  <c r="Q140" i="44"/>
  <c r="Q132" i="44"/>
  <c r="Q124" i="44"/>
  <c r="Q116" i="44"/>
  <c r="Q108" i="44"/>
  <c r="Q100" i="44"/>
  <c r="Q92" i="44"/>
  <c r="Q84" i="44"/>
  <c r="Q68" i="44"/>
  <c r="Q60" i="44"/>
  <c r="Q52" i="44"/>
  <c r="Q44" i="44"/>
  <c r="Q36" i="44"/>
  <c r="Q28" i="44"/>
  <c r="Q20" i="44"/>
  <c r="Q12" i="44"/>
  <c r="Q4" i="44"/>
  <c r="R137" i="44"/>
  <c r="R129" i="44"/>
  <c r="R121" i="44"/>
  <c r="R113" i="44"/>
  <c r="R105" i="44"/>
  <c r="R97" i="44"/>
  <c r="R89" i="44"/>
  <c r="R81" i="44"/>
  <c r="R73" i="44"/>
  <c r="R65" i="44"/>
  <c r="R57" i="44"/>
  <c r="R49" i="44"/>
  <c r="R41" i="44"/>
  <c r="R33" i="44"/>
  <c r="R25" i="44"/>
  <c r="R17" i="44"/>
  <c r="R9" i="44"/>
  <c r="AA141" i="44"/>
  <c r="AA133" i="44"/>
  <c r="AA125" i="44"/>
  <c r="AA117" i="44"/>
  <c r="AA109" i="44"/>
  <c r="AA101" i="44"/>
  <c r="AA93" i="44"/>
  <c r="AA85" i="44"/>
  <c r="AA77" i="44"/>
  <c r="AA69" i="44"/>
  <c r="AA61" i="44"/>
  <c r="AA53" i="44"/>
  <c r="AA45" i="44"/>
  <c r="AA37" i="44"/>
  <c r="AA29" i="44"/>
  <c r="AA21" i="44"/>
  <c r="AA13" i="44"/>
  <c r="AA5" i="44"/>
  <c r="AA140" i="44"/>
  <c r="AA132" i="44"/>
  <c r="AA124" i="44"/>
  <c r="AA116" i="44"/>
  <c r="AA108" i="44"/>
  <c r="AA100" i="44"/>
  <c r="AA92" i="44"/>
  <c r="AA84" i="44"/>
  <c r="AA76" i="44"/>
  <c r="AA68" i="44"/>
  <c r="AA60" i="44"/>
  <c r="AA52" i="44"/>
  <c r="AA44" i="44"/>
  <c r="AA36" i="44"/>
  <c r="AA28" i="44"/>
  <c r="AA20" i="44"/>
  <c r="AA12" i="44"/>
  <c r="AA4" i="44"/>
  <c r="AA139" i="44"/>
  <c r="AA131" i="44"/>
  <c r="AA123" i="44"/>
  <c r="AA115" i="44"/>
  <c r="AA107" i="44"/>
  <c r="AA99" i="44"/>
  <c r="AA91" i="44"/>
  <c r="AA83" i="44"/>
  <c r="AA75" i="44"/>
  <c r="AA67" i="44"/>
  <c r="AA59" i="44"/>
  <c r="AA51" i="44"/>
  <c r="AA43" i="44"/>
  <c r="AA35" i="44"/>
  <c r="AA27" i="44"/>
  <c r="AA19" i="44"/>
  <c r="AA11" i="44"/>
  <c r="AA3" i="44"/>
  <c r="AA138" i="44"/>
  <c r="AA130" i="44"/>
  <c r="AA122" i="44"/>
  <c r="AA114" i="44"/>
  <c r="AA106" i="44"/>
  <c r="AA98" i="44"/>
  <c r="AA90" i="44"/>
  <c r="AA82" i="44"/>
  <c r="AA74" i="44"/>
  <c r="AA66" i="44"/>
  <c r="AA58" i="44"/>
  <c r="AA50" i="44"/>
  <c r="AA42" i="44"/>
  <c r="AA34" i="44"/>
  <c r="AA26" i="44"/>
  <c r="AA18" i="44"/>
  <c r="AA10" i="44"/>
  <c r="AA137" i="44"/>
  <c r="AA129" i="44"/>
  <c r="AA121" i="44"/>
  <c r="AA113" i="44"/>
  <c r="AA105" i="44"/>
  <c r="AA97" i="44"/>
  <c r="AA89" i="44"/>
  <c r="AA81" i="44"/>
  <c r="AA73" i="44"/>
  <c r="AA65" i="44"/>
  <c r="AA57" i="44"/>
  <c r="AA49" i="44"/>
  <c r="AA41" i="44"/>
  <c r="AA33" i="44"/>
  <c r="AA25" i="44"/>
  <c r="AA17" i="44"/>
  <c r="AA9" i="44"/>
  <c r="AA136" i="44"/>
  <c r="AA128" i="44"/>
  <c r="AA120" i="44"/>
  <c r="AA112" i="44"/>
  <c r="AA104" i="44"/>
  <c r="AA96" i="44"/>
  <c r="AA88" i="44"/>
  <c r="AA80" i="44"/>
  <c r="AA72" i="44"/>
  <c r="AA64" i="44"/>
  <c r="AA56" i="44"/>
  <c r="AA48" i="44"/>
  <c r="AA40" i="44"/>
  <c r="AA32" i="44"/>
  <c r="AA24" i="44"/>
  <c r="AA16" i="44"/>
  <c r="AA8" i="44"/>
  <c r="AA2" i="44"/>
  <c r="AA135" i="44"/>
  <c r="AA127" i="44"/>
  <c r="AA119" i="44"/>
  <c r="AA111" i="44"/>
  <c r="AA103" i="44"/>
  <c r="AA95" i="44"/>
  <c r="AA87" i="44"/>
  <c r="AA79" i="44"/>
  <c r="AA71" i="44"/>
  <c r="AA63" i="44"/>
  <c r="AA55" i="44"/>
  <c r="AA47" i="44"/>
  <c r="AA39" i="44"/>
  <c r="AA31" i="44"/>
  <c r="AA23" i="44"/>
  <c r="AA15" i="44"/>
  <c r="AA7" i="44"/>
  <c r="M125" i="44"/>
  <c r="M76" i="44"/>
  <c r="M35" i="44"/>
  <c r="N20" i="44"/>
  <c r="N141" i="44"/>
  <c r="N109" i="44"/>
  <c r="N77" i="44"/>
  <c r="N45" i="44"/>
  <c r="Y132" i="44"/>
  <c r="Y100" i="44"/>
  <c r="Y68" i="44"/>
  <c r="Y36" i="44"/>
  <c r="Y4" i="44"/>
  <c r="Z81" i="44"/>
  <c r="Z17" i="44"/>
  <c r="AB94" i="44"/>
  <c r="AB30" i="44"/>
  <c r="M123" i="44"/>
  <c r="M75" i="44"/>
  <c r="M29" i="44"/>
  <c r="N19" i="44"/>
  <c r="N135" i="44"/>
  <c r="N103" i="44"/>
  <c r="N71" i="44"/>
  <c r="N39" i="44"/>
  <c r="Y125" i="44"/>
  <c r="Y93" i="44"/>
  <c r="Y61" i="44"/>
  <c r="Y29" i="44"/>
  <c r="Z137" i="44"/>
  <c r="Z73" i="44"/>
  <c r="Z9" i="44"/>
  <c r="AB86" i="44"/>
  <c r="AB22" i="44"/>
  <c r="M117" i="44"/>
  <c r="M61" i="44"/>
  <c r="N18" i="44"/>
  <c r="N133" i="44"/>
  <c r="N101" i="44"/>
  <c r="N69" i="44"/>
  <c r="N37" i="44"/>
  <c r="Y124" i="44"/>
  <c r="Y92" i="44"/>
  <c r="Y60" i="44"/>
  <c r="Y28" i="44"/>
  <c r="Z129" i="44"/>
  <c r="Z65" i="44"/>
  <c r="AB142" i="44"/>
  <c r="AB78" i="44"/>
  <c r="AB14" i="44"/>
  <c r="M107" i="44"/>
  <c r="M59" i="44"/>
  <c r="N12" i="44"/>
  <c r="N127" i="44"/>
  <c r="N95" i="44"/>
  <c r="N63" i="44"/>
  <c r="N31" i="44"/>
  <c r="Y117" i="44"/>
  <c r="Y85" i="44"/>
  <c r="Y53" i="44"/>
  <c r="Y21" i="44"/>
  <c r="Z121" i="44"/>
  <c r="Z57" i="44"/>
  <c r="AB134" i="44"/>
  <c r="AB70" i="44"/>
  <c r="N11" i="44"/>
  <c r="N125" i="44"/>
  <c r="N93" i="44"/>
  <c r="N61" i="44"/>
  <c r="N29" i="44"/>
  <c r="Y116" i="44"/>
  <c r="Y84" i="44"/>
  <c r="Y52" i="44"/>
  <c r="Y20" i="44"/>
  <c r="Z113" i="44"/>
  <c r="Z49" i="44"/>
  <c r="AB126" i="44"/>
  <c r="AB62" i="44"/>
  <c r="M141" i="44"/>
  <c r="M142" i="44"/>
  <c r="N10" i="44"/>
  <c r="N119" i="44"/>
  <c r="N87" i="44"/>
  <c r="N55" i="44"/>
  <c r="Y141" i="44"/>
  <c r="Y109" i="44"/>
  <c r="Y77" i="44"/>
  <c r="Y45" i="44"/>
  <c r="Y13" i="44"/>
  <c r="Z105" i="44"/>
  <c r="Z41" i="44"/>
  <c r="AB118" i="44"/>
  <c r="AB54" i="44"/>
  <c r="M93" i="44"/>
  <c r="N2" i="44"/>
  <c r="N4" i="44"/>
  <c r="N117" i="44"/>
  <c r="N85" i="44"/>
  <c r="N53" i="44"/>
  <c r="Y140" i="44"/>
  <c r="Y108" i="44"/>
  <c r="Y76" i="44"/>
  <c r="Y44" i="44"/>
  <c r="Y12" i="44"/>
  <c r="Z97" i="44"/>
  <c r="Z33" i="44"/>
  <c r="AB110" i="44"/>
  <c r="AB46" i="44"/>
  <c r="N26" i="44"/>
  <c r="N3" i="44"/>
  <c r="N111" i="44"/>
  <c r="N79" i="44"/>
  <c r="N47" i="44"/>
  <c r="Y133" i="44"/>
  <c r="Y101" i="44"/>
  <c r="Y69" i="44"/>
  <c r="Y37" i="44"/>
  <c r="Y5" i="44"/>
  <c r="Z89" i="44"/>
  <c r="Z25" i="44"/>
  <c r="AB102" i="44"/>
  <c r="AB38" i="44"/>
  <c r="N23" i="44"/>
  <c r="N15" i="44"/>
  <c r="N7" i="44"/>
  <c r="N139" i="44"/>
  <c r="N131" i="44"/>
  <c r="N123" i="44"/>
  <c r="N115" i="44"/>
  <c r="N107" i="44"/>
  <c r="N99" i="44"/>
  <c r="N91" i="44"/>
  <c r="N83" i="44"/>
  <c r="N75" i="44"/>
  <c r="N67" i="44"/>
  <c r="N59" i="44"/>
  <c r="N51" i="44"/>
  <c r="N43" i="44"/>
  <c r="N35" i="44"/>
  <c r="N27" i="44"/>
  <c r="Y136" i="44"/>
  <c r="Y128" i="44"/>
  <c r="Y120" i="44"/>
  <c r="Y112" i="44"/>
  <c r="Y104" i="44"/>
  <c r="Y96" i="44"/>
  <c r="Y88" i="44"/>
  <c r="Y80" i="44"/>
  <c r="Y72" i="44"/>
  <c r="Y64" i="44"/>
  <c r="Y56" i="44"/>
  <c r="Y48" i="44"/>
  <c r="Y40" i="44"/>
  <c r="Y32" i="44"/>
  <c r="Y24" i="44"/>
  <c r="Y16" i="44"/>
  <c r="Y8" i="44"/>
  <c r="Z141" i="44"/>
  <c r="Z133" i="44"/>
  <c r="Z125" i="44"/>
  <c r="Z117" i="44"/>
  <c r="Z109" i="44"/>
  <c r="Z101" i="44"/>
  <c r="Z93" i="44"/>
  <c r="Z85" i="44"/>
  <c r="Z77" i="44"/>
  <c r="Z69" i="44"/>
  <c r="Z61" i="44"/>
  <c r="Z53" i="44"/>
  <c r="Z45" i="44"/>
  <c r="Z37" i="44"/>
  <c r="Z29" i="44"/>
  <c r="Z21" i="44"/>
  <c r="Z13" i="44"/>
  <c r="Z5" i="44"/>
  <c r="AB138" i="44"/>
  <c r="AB130" i="44"/>
  <c r="AB122" i="44"/>
  <c r="AB114" i="44"/>
  <c r="AB106" i="44"/>
  <c r="AB98" i="44"/>
  <c r="AB90" i="44"/>
  <c r="AB82" i="44"/>
  <c r="AB74" i="44"/>
  <c r="AB66" i="44"/>
  <c r="AB58" i="44"/>
  <c r="AB50" i="44"/>
  <c r="AB42" i="44"/>
  <c r="AB34" i="44"/>
  <c r="AB26" i="44"/>
  <c r="AB18" i="44"/>
  <c r="AB10" i="44"/>
  <c r="N22" i="44"/>
  <c r="N14" i="44"/>
  <c r="N6" i="44"/>
  <c r="N138" i="44"/>
  <c r="N130" i="44"/>
  <c r="N122" i="44"/>
  <c r="N114" i="44"/>
  <c r="N106" i="44"/>
  <c r="N98" i="44"/>
  <c r="N90" i="44"/>
  <c r="N82" i="44"/>
  <c r="N74" i="44"/>
  <c r="N66" i="44"/>
  <c r="N58" i="44"/>
  <c r="N50" i="44"/>
  <c r="N42" i="44"/>
  <c r="N34" i="44"/>
  <c r="Y2" i="44"/>
  <c r="Y135" i="44"/>
  <c r="Y127" i="44"/>
  <c r="Y119" i="44"/>
  <c r="Y111" i="44"/>
  <c r="Y103" i="44"/>
  <c r="Y95" i="44"/>
  <c r="Y87" i="44"/>
  <c r="Y79" i="44"/>
  <c r="Y71" i="44"/>
  <c r="Y63" i="44"/>
  <c r="Y55" i="44"/>
  <c r="Y47" i="44"/>
  <c r="Y39" i="44"/>
  <c r="Y31" i="44"/>
  <c r="Y23" i="44"/>
  <c r="Y15" i="44"/>
  <c r="Y7" i="44"/>
  <c r="Z140" i="44"/>
  <c r="Z132" i="44"/>
  <c r="Z124" i="44"/>
  <c r="Z116" i="44"/>
  <c r="Z108" i="44"/>
  <c r="Z100" i="44"/>
  <c r="Z92" i="44"/>
  <c r="Z84" i="44"/>
  <c r="Z76" i="44"/>
  <c r="Z68" i="44"/>
  <c r="Z60" i="44"/>
  <c r="Z52" i="44"/>
  <c r="Z44" i="44"/>
  <c r="Z36" i="44"/>
  <c r="Z28" i="44"/>
  <c r="Z20" i="44"/>
  <c r="Z12" i="44"/>
  <c r="Z4" i="44"/>
  <c r="AB137" i="44"/>
  <c r="AB129" i="44"/>
  <c r="AB121" i="44"/>
  <c r="AB113" i="44"/>
  <c r="AB105" i="44"/>
  <c r="AB97" i="44"/>
  <c r="AB89" i="44"/>
  <c r="AB81" i="44"/>
  <c r="AB73" i="44"/>
  <c r="AB65" i="44"/>
  <c r="AB57" i="44"/>
  <c r="AB49" i="44"/>
  <c r="AB41" i="44"/>
  <c r="AB33" i="44"/>
  <c r="AB25" i="44"/>
  <c r="AB17" i="44"/>
  <c r="AB9" i="44"/>
  <c r="N21" i="44"/>
  <c r="N13" i="44"/>
  <c r="N5" i="44"/>
  <c r="N137" i="44"/>
  <c r="N129" i="44"/>
  <c r="N121" i="44"/>
  <c r="N113" i="44"/>
  <c r="N105" i="44"/>
  <c r="N97" i="44"/>
  <c r="N89" i="44"/>
  <c r="N81" i="44"/>
  <c r="N73" i="44"/>
  <c r="N65" i="44"/>
  <c r="N57" i="44"/>
  <c r="N49" i="44"/>
  <c r="N41" i="44"/>
  <c r="N33" i="44"/>
  <c r="Y142" i="44"/>
  <c r="Y134" i="44"/>
  <c r="Y126" i="44"/>
  <c r="Y118" i="44"/>
  <c r="Y110" i="44"/>
  <c r="Y102" i="44"/>
  <c r="Y94" i="44"/>
  <c r="Y86" i="44"/>
  <c r="Y78" i="44"/>
  <c r="Y70" i="44"/>
  <c r="Y62" i="44"/>
  <c r="Y54" i="44"/>
  <c r="Y46" i="44"/>
  <c r="Y38" i="44"/>
  <c r="Y30" i="44"/>
  <c r="Y22" i="44"/>
  <c r="Y14" i="44"/>
  <c r="Y6" i="44"/>
  <c r="Z139" i="44"/>
  <c r="Z131" i="44"/>
  <c r="Z123" i="44"/>
  <c r="Z115" i="44"/>
  <c r="Z107" i="44"/>
  <c r="Z99" i="44"/>
  <c r="Z91" i="44"/>
  <c r="Z83" i="44"/>
  <c r="Z75" i="44"/>
  <c r="Z67" i="44"/>
  <c r="Z59" i="44"/>
  <c r="Z51" i="44"/>
  <c r="Z43" i="44"/>
  <c r="Z35" i="44"/>
  <c r="Z27" i="44"/>
  <c r="Z19" i="44"/>
  <c r="Z11" i="44"/>
  <c r="Z3" i="44"/>
  <c r="AB136" i="44"/>
  <c r="AB128" i="44"/>
  <c r="AB120" i="44"/>
  <c r="AB112" i="44"/>
  <c r="AB104" i="44"/>
  <c r="AB96" i="44"/>
  <c r="AB88" i="44"/>
  <c r="AB80" i="44"/>
  <c r="AB72" i="44"/>
  <c r="AB64" i="44"/>
  <c r="AB56" i="44"/>
  <c r="AB48" i="44"/>
  <c r="AB40" i="44"/>
  <c r="AB32" i="44"/>
  <c r="AB24" i="44"/>
  <c r="AB16" i="44"/>
  <c r="AB8" i="44"/>
  <c r="N136" i="44"/>
  <c r="N128" i="44"/>
  <c r="N120" i="44"/>
  <c r="N112" i="44"/>
  <c r="N104" i="44"/>
  <c r="N96" i="44"/>
  <c r="N88" i="44"/>
  <c r="N80" i="44"/>
  <c r="N72" i="44"/>
  <c r="N64" i="44"/>
  <c r="N56" i="44"/>
  <c r="N48" i="44"/>
  <c r="N40" i="44"/>
  <c r="N32" i="44"/>
  <c r="Z138" i="44"/>
  <c r="Z130" i="44"/>
  <c r="Z122" i="44"/>
  <c r="Z114" i="44"/>
  <c r="Z106" i="44"/>
  <c r="Z98" i="44"/>
  <c r="Z90" i="44"/>
  <c r="Z82" i="44"/>
  <c r="Z74" i="44"/>
  <c r="Z66" i="44"/>
  <c r="Z58" i="44"/>
  <c r="Z50" i="44"/>
  <c r="Z42" i="44"/>
  <c r="Z34" i="44"/>
  <c r="Z26" i="44"/>
  <c r="Z18" i="44"/>
  <c r="Z10" i="44"/>
  <c r="AB2" i="44"/>
  <c r="AB135" i="44"/>
  <c r="AB127" i="44"/>
  <c r="AB119" i="44"/>
  <c r="AB111" i="44"/>
  <c r="AB103" i="44"/>
  <c r="AB95" i="44"/>
  <c r="AB87" i="44"/>
  <c r="AB79" i="44"/>
  <c r="AB71" i="44"/>
  <c r="AB63" i="44"/>
  <c r="AB55" i="44"/>
  <c r="AB47" i="44"/>
  <c r="AB39" i="44"/>
  <c r="AB31" i="44"/>
  <c r="AB23" i="44"/>
  <c r="AB15" i="44"/>
  <c r="AB7" i="44"/>
  <c r="AB6" i="44"/>
  <c r="N142" i="44"/>
  <c r="N134" i="44"/>
  <c r="N126" i="44"/>
  <c r="N118" i="44"/>
  <c r="N110" i="44"/>
  <c r="N102" i="44"/>
  <c r="N94" i="44"/>
  <c r="N86" i="44"/>
  <c r="N78" i="44"/>
  <c r="N70" i="44"/>
  <c r="N62" i="44"/>
  <c r="N54" i="44"/>
  <c r="N46" i="44"/>
  <c r="N38" i="44"/>
  <c r="N30" i="44"/>
  <c r="Y139" i="44"/>
  <c r="Y131" i="44"/>
  <c r="Y123" i="44"/>
  <c r="Y115" i="44"/>
  <c r="Y107" i="44"/>
  <c r="Y99" i="44"/>
  <c r="Y91" i="44"/>
  <c r="Y83" i="44"/>
  <c r="Y75" i="44"/>
  <c r="Y67" i="44"/>
  <c r="Y59" i="44"/>
  <c r="Y51" i="44"/>
  <c r="Y43" i="44"/>
  <c r="Y35" i="44"/>
  <c r="Y27" i="44"/>
  <c r="Y19" i="44"/>
  <c r="Y11" i="44"/>
  <c r="Y3" i="44"/>
  <c r="Z24" i="44"/>
  <c r="Z16" i="44"/>
  <c r="Z8" i="44"/>
  <c r="N25" i="44"/>
  <c r="N17" i="44"/>
  <c r="N9" i="44"/>
  <c r="AB140" i="44"/>
  <c r="AB132" i="44"/>
  <c r="AB124" i="44"/>
  <c r="AB116" i="44"/>
  <c r="AB108" i="44"/>
  <c r="AB100" i="44"/>
  <c r="AB92" i="44"/>
  <c r="AB84" i="44"/>
  <c r="AB76" i="44"/>
  <c r="AB68" i="44"/>
  <c r="AB60" i="44"/>
  <c r="AB52" i="44"/>
  <c r="AB44" i="44"/>
  <c r="AB36" i="44"/>
  <c r="AB28" i="44"/>
</calcChain>
</file>

<file path=xl/sharedStrings.xml><?xml version="1.0" encoding="utf-8"?>
<sst xmlns="http://schemas.openxmlformats.org/spreadsheetml/2006/main" count="26" uniqueCount="26">
  <si>
    <t>QUARTER END</t>
  </si>
  <si>
    <t>OPERATING EARNINGS PER SHR</t>
  </si>
  <si>
    <t>AS REPORTED EARNINGS PER SHR</t>
  </si>
  <si>
    <t>CASH DIVIDENS PER SHR</t>
  </si>
  <si>
    <t>SALES PER SHARE</t>
  </si>
  <si>
    <t>BOOK VAL PER SHARE</t>
  </si>
  <si>
    <t>PRICE</t>
  </si>
  <si>
    <t>DIVISOR</t>
  </si>
  <si>
    <t>CAPITAL EXPENDITURE PER SHARE</t>
  </si>
  <si>
    <t>TOTAL REPORTED EARNINGS PER SHR</t>
  </si>
  <si>
    <t>TOTAL REPORTED EARNINGS PER SHR PLUS DIVIDENDS</t>
  </si>
  <si>
    <t>AS REPORTED EARNINGS P/E</t>
  </si>
  <si>
    <t>AS REPORTED EARNINGS PLUS DIVIDEND P/E</t>
  </si>
  <si>
    <t>TOTAL REPORTED EARNINGS *16</t>
  </si>
  <si>
    <t>TOTAL REPORTED EARNINGS *15</t>
  </si>
  <si>
    <t>12 PE</t>
  </si>
  <si>
    <t>14 PE</t>
  </si>
  <si>
    <t>12 PE Ex Div</t>
  </si>
  <si>
    <t>14 PE Ex Div</t>
  </si>
  <si>
    <t>15 PE Ex Div</t>
  </si>
  <si>
    <t>16 PE Ex Div</t>
  </si>
  <si>
    <t>18 PE Ex Div</t>
  </si>
  <si>
    <t>21 PE Ex Div</t>
  </si>
  <si>
    <t>24 PE Ex Div</t>
  </si>
  <si>
    <t>27 PE Ex Div</t>
  </si>
  <si>
    <t>1. Search google - "sp-500-eps-est". This automatically downloads the xlsx (NEED TO FIND OUT WHAT IS THE ACTUAL LINK)
(https://www.spglobal.com/spdji/en/documents/additional-material/sp-500-eps-est.xlsx)
If you want to get it from their website, then go to 
https://www.spglobal.com/spdji/en/indices/equity/sp-500/#overview
From there click on "Additional Info" (it is a dropdown). From the drop down select "Index Earnings"
2. Go to "QUARTERLY DATA"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</si>
</sst>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[$-409]mmm\-yy;@"/>
    <numFmt numFmtId="166" formatCode="&quot;$&quot;#,##0.00"/>
    <numFmt numFmtId="167" formatCode="&quot;$&quot;#,##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2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2" fillId="0" borderId="0" applyNumberFormat="0" applyFill="0" applyBorder="0" applyAlignment="0" applyProtection="0"/>
    <xf numFmtId="165" fontId="2" fillId="0" borderId="0"/>
    <xf numFmtId="165" fontId="2" fillId="0" borderId="0"/>
  </cellStyleXfs>
  <cellXfs count="48">
    <xf numFmtId="0" fontId="0" fillId="0" borderId="0" xfId="0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14" fontId="2" fillId="0" borderId="0" xfId="5" applyNumberFormat="1" applyAlignment="1">
      <alignment horizontal="left"/>
    </xf>
    <xf numFmtId="4" fontId="2" fillId="0" borderId="0" xfId="5" applyNumberFormat="1" applyAlignment="1">
      <alignment horizontal="right"/>
    </xf>
    <xf numFmtId="165" fontId="2" fillId="0" borderId="0" xfId="5" applyAlignment="1">
      <alignment horizontal="right"/>
    </xf>
    <xf numFmtId="165" fontId="5" fillId="0" borderId="0" xfId="5" applyFont="1" applyAlignment="1">
      <alignment horizontal="right"/>
    </xf>
    <xf numFmtId="165" fontId="0" fillId="0" borderId="0" xfId="5" applyFont="1" applyAlignment="1">
      <alignment horizontal="right"/>
    </xf>
    <xf numFmtId="0" fontId="3" fillId="2" borderId="2" xfId="0" applyFont="1" applyFill="1" applyBorder="1" applyAlignment="1">
      <alignment wrapText="1"/>
    </xf>
    <xf numFmtId="10" fontId="2" fillId="2" borderId="3" xfId="5" applyNumberFormat="1" applyFill="1" applyBorder="1" applyAlignment="1">
      <alignment horizontal="right"/>
    </xf>
    <xf numFmtId="10" fontId="5" fillId="2" borderId="3" xfId="5" applyNumberFormat="1" applyFont="1" applyFill="1" applyBorder="1" applyAlignment="1">
      <alignment horizontal="right"/>
    </xf>
    <xf numFmtId="2" fontId="2" fillId="2" borderId="3" xfId="5" applyNumberFormat="1" applyFill="1" applyBorder="1" applyAlignment="1">
      <alignment horizontal="right"/>
    </xf>
    <xf numFmtId="166" fontId="2" fillId="2" borderId="3" xfId="5" applyNumberFormat="1" applyFill="1" applyBorder="1" applyAlignment="1">
      <alignment horizontal="right"/>
    </xf>
    <xf numFmtId="2" fontId="5" fillId="2" borderId="3" xfId="5" applyNumberFormat="1" applyFont="1" applyFill="1" applyBorder="1" applyAlignment="1">
      <alignment horizontal="right"/>
    </xf>
    <xf numFmtId="0" fontId="0" fillId="2" borderId="3" xfId="0" applyFill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0" fontId="3" fillId="0" borderId="4" xfId="0" applyFont="1" applyBorder="1" applyAlignment="1">
      <alignment horizontal="left" wrapText="1"/>
    </xf>
    <xf numFmtId="2" fontId="2" fillId="0" borderId="0" xfId="5" applyNumberFormat="1" applyAlignment="1">
      <alignment horizontal="left"/>
    </xf>
    <xf numFmtId="166" fontId="2" fillId="0" borderId="0" xfId="5" applyNumberFormat="1" applyAlignment="1">
      <alignment horizontal="left"/>
    </xf>
    <xf numFmtId="4" fontId="2" fillId="0" borderId="0" xfId="5" applyNumberFormat="1" applyAlignment="1">
      <alignment horizontal="left"/>
    </xf>
    <xf numFmtId="166" fontId="0" fillId="0" borderId="0" xfId="0" applyNumberFormat="1" applyAlignment="1">
      <alignment horizontal="left"/>
    </xf>
    <xf numFmtId="166" fontId="2" fillId="0" borderId="0" xfId="5" applyNumberFormat="1" applyBorder="1" applyAlignment="1">
      <alignment horizontal="left"/>
    </xf>
    <xf numFmtId="166" fontId="0" fillId="0" borderId="0" xfId="5" applyNumberFormat="1" applyFont="1" applyAlignment="1">
      <alignment horizontal="left"/>
    </xf>
    <xf numFmtId="4" fontId="0" fillId="0" borderId="0" xfId="5" applyNumberFormat="1" applyFont="1" applyAlignment="1">
      <alignment horizontal="left"/>
    </xf>
    <xf numFmtId="166" fontId="0" fillId="0" borderId="0" xfId="4" applyNumberFormat="1" applyFont="1" applyBorder="1" applyAlignment="1">
      <alignment horizontal="left"/>
    </xf>
    <xf numFmtId="166" fontId="2" fillId="0" borderId="0" xfId="6" applyNumberFormat="1" applyAlignment="1">
      <alignment horizontal="left"/>
    </xf>
    <xf numFmtId="4" fontId="2" fillId="0" borderId="0" xfId="6" applyNumberFormat="1" applyAlignment="1">
      <alignment horizontal="left"/>
    </xf>
    <xf numFmtId="166" fontId="2" fillId="0" borderId="0" xfId="7" applyNumberFormat="1" applyAlignment="1">
      <alignment horizontal="left"/>
    </xf>
    <xf numFmtId="166" fontId="2" fillId="0" borderId="0" xfId="4" applyNumberFormat="1" applyFont="1" applyBorder="1" applyAlignment="1">
      <alignment horizontal="left"/>
    </xf>
    <xf numFmtId="166" fontId="4" fillId="0" borderId="0" xfId="4" applyNumberFormat="1" applyBorder="1" applyAlignment="1">
      <alignment horizontal="left"/>
    </xf>
    <xf numFmtId="2" fontId="0" fillId="0" borderId="0" xfId="5" applyNumberFormat="1" applyFont="1" applyAlignment="1">
      <alignment horizontal="left"/>
    </xf>
    <xf numFmtId="166" fontId="2" fillId="0" borderId="0" xfId="5" applyNumberFormat="1" applyAlignment="1">
      <alignment horizontal="left" vertical="center"/>
    </xf>
    <xf numFmtId="4" fontId="2" fillId="0" borderId="0" xfId="5" applyNumberFormat="1" applyAlignment="1">
      <alignment horizontal="left" vertical="center"/>
    </xf>
    <xf numFmtId="0" fontId="0" fillId="0" borderId="0" xfId="0" applyAlignment="1">
      <alignment horizontal="left"/>
    </xf>
    <xf numFmtId="0" fontId="3" fillId="0" borderId="5" xfId="0" applyFont="1" applyBorder="1" applyAlignment="1">
      <alignment horizontal="left" wrapText="1"/>
    </xf>
    <xf numFmtId="44" fontId="2" fillId="0" borderId="0" xfId="3" applyFont="1" applyAlignment="1">
      <alignment horizontal="left"/>
    </xf>
    <xf numFmtId="167" fontId="5" fillId="0" borderId="0" xfId="5" applyNumberFormat="1" applyFont="1" applyAlignment="1">
      <alignment horizontal="left"/>
    </xf>
    <xf numFmtId="0" fontId="3" fillId="0" borderId="0" xfId="0" applyFont="1" applyAlignment="1">
      <alignment horizontal="left" wrapText="1"/>
    </xf>
    <xf numFmtId="14" fontId="2" fillId="3" borderId="0" xfId="5" applyNumberFormat="1" applyFill="1" applyAlignment="1">
      <alignment horizontal="left"/>
    </xf>
    <xf numFmtId="166" fontId="2" fillId="3" borderId="0" xfId="5" applyNumberFormat="1" applyFill="1" applyAlignment="1">
      <alignment horizontal="left"/>
    </xf>
    <xf numFmtId="4" fontId="2" fillId="3" borderId="0" xfId="5" applyNumberFormat="1" applyFill="1" applyAlignment="1">
      <alignment horizontal="left"/>
    </xf>
    <xf numFmtId="2" fontId="2" fillId="3" borderId="0" xfId="5" applyNumberFormat="1" applyFill="1" applyAlignment="1">
      <alignment horizontal="left"/>
    </xf>
    <xf numFmtId="10" fontId="5" fillId="3" borderId="3" xfId="5" applyNumberFormat="1" applyFont="1" applyFill="1" applyBorder="1" applyAlignment="1">
      <alignment horizontal="right"/>
    </xf>
    <xf numFmtId="44" fontId="2" fillId="3" borderId="0" xfId="3" applyFont="1" applyFill="1" applyAlignment="1">
      <alignment horizontal="left"/>
    </xf>
    <xf numFmtId="165" fontId="5" fillId="3" borderId="0" xfId="5" applyFont="1" applyFill="1" applyAlignment="1">
      <alignment horizontal="right"/>
    </xf>
    <xf numFmtId="4" fontId="2" fillId="3" borderId="0" xfId="5" applyNumberFormat="1" applyFill="1" applyAlignment="1">
      <alignment horizontal="right"/>
    </xf>
    <xf numFmtId="4" fontId="2" fillId="4" borderId="0" xfId="5" applyNumberFormat="1" applyFill="1" applyAlignment="1">
      <alignment horizontal="left"/>
    </xf>
  </cellXfs>
  <cellStyles count="8">
    <cellStyle name="_x000a_bidires=100_x000d_" xfId="5" xr:uid="{ED9CF37E-8591-4B4C-8926-C2D865DB5038}"/>
    <cellStyle name="Comma" xfId="4" builtinId="3"/>
    <cellStyle name="Currency" xfId="3" builtinId="4"/>
    <cellStyle name="Normal" xfId="0" builtinId="0"/>
    <cellStyle name="Normal 2" xfId="1" xr:uid="{00000000-0005-0000-0000-000002000000}"/>
    <cellStyle name="Normal 3" xfId="2" xr:uid="{00000000-0005-0000-0000-000003000000}"/>
    <cellStyle name="Normal_ESTIMATES&amp;PEs" xfId="7" xr:uid="{7947C7E3-8BC4-4E25-BAE2-387CC860C696}"/>
    <cellStyle name="Normal_SP500" xfId="6" xr:uid="{96350247-1B6B-46F0-B476-E26BE8D5EA00}"/>
  </cellStyles>
  <dxfs count="0"/>
  <tableStyles count="0" defaultTableStyle="TableStyleMedium2" defaultPivotStyle="PivotStyleLight16"/>
  <colors>
    <mruColors>
      <color rgb="FFFF66CC"/>
      <color rgb="FFCC00FF"/>
      <color rgb="FFFF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S&amp;P Chart</a:t>
            </a:r>
          </a:p>
        </c:rich>
      </c:tx>
      <c:layout>
        <c:manualLayout>
          <c:xMode val="edge"/>
          <c:yMode val="edge"/>
          <c:x val="0.47818703879550817"/>
          <c:y val="3.4148238554656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984150768626099E-2"/>
          <c:y val="2.031820194002084E-2"/>
          <c:w val="0.93877336876843209"/>
          <c:h val="0.88327755624742876"/>
        </c:manualLayout>
      </c:layout>
      <c:lineChart>
        <c:grouping val="standard"/>
        <c:varyColors val="0"/>
        <c:ser>
          <c:idx val="0"/>
          <c:order val="0"/>
          <c:tx>
            <c:strRef>
              <c:f>'Earnings-Quarterly'!$H$1</c:f>
              <c:strCache>
                <c:ptCount val="1"/>
                <c:pt idx="0">
                  <c:v>PRICE</c:v>
                </c:pt>
              </c:strCache>
            </c:strRef>
          </c:tx>
          <c:spPr>
            <a:ln w="444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 w="12700" cap="sq">
                <a:solidFill>
                  <a:schemeClr val="bg2">
                    <a:lumMod val="25000"/>
                  </a:schemeClr>
                </a:solidFill>
                <a:bevel/>
              </a:ln>
              <a:effectLst/>
            </c:spPr>
          </c:marker>
          <c:cat>
            <c:numRef>
              <c:f>'Earnings-Quarterly'!$A$2:$A$145</c:f>
              <c:numCache>
                <c:formatCode>m/d/yyyy</c:formatCode>
                <c:ptCount val="144"/>
                <c:pt idx="0">
                  <c:v>45291</c:v>
                </c:pt>
                <c:pt idx="1">
                  <c:v>45199</c:v>
                </c:pt>
                <c:pt idx="2">
                  <c:v>45107</c:v>
                </c:pt>
                <c:pt idx="3">
                  <c:v>45016</c:v>
                </c:pt>
                <c:pt idx="4">
                  <c:v>44926</c:v>
                </c:pt>
                <c:pt idx="5">
                  <c:v>44834</c:v>
                </c:pt>
                <c:pt idx="6">
                  <c:v>44742</c:v>
                </c:pt>
                <c:pt idx="7">
                  <c:v>44651</c:v>
                </c:pt>
                <c:pt idx="8">
                  <c:v>44561</c:v>
                </c:pt>
                <c:pt idx="9">
                  <c:v>44469</c:v>
                </c:pt>
                <c:pt idx="10">
                  <c:v>44377</c:v>
                </c:pt>
                <c:pt idx="11">
                  <c:v>44286</c:v>
                </c:pt>
                <c:pt idx="12">
                  <c:v>44196</c:v>
                </c:pt>
                <c:pt idx="13">
                  <c:v>44104</c:v>
                </c:pt>
                <c:pt idx="14">
                  <c:v>44012</c:v>
                </c:pt>
                <c:pt idx="15">
                  <c:v>43921</c:v>
                </c:pt>
                <c:pt idx="16">
                  <c:v>43830</c:v>
                </c:pt>
                <c:pt idx="17">
                  <c:v>43738</c:v>
                </c:pt>
                <c:pt idx="18">
                  <c:v>43644</c:v>
                </c:pt>
                <c:pt idx="19">
                  <c:v>43553</c:v>
                </c:pt>
                <c:pt idx="20">
                  <c:v>43465</c:v>
                </c:pt>
                <c:pt idx="21">
                  <c:v>43371</c:v>
                </c:pt>
                <c:pt idx="22">
                  <c:v>43280</c:v>
                </c:pt>
                <c:pt idx="23">
                  <c:v>43188</c:v>
                </c:pt>
                <c:pt idx="24">
                  <c:v>43098</c:v>
                </c:pt>
                <c:pt idx="25">
                  <c:v>43008</c:v>
                </c:pt>
                <c:pt idx="26">
                  <c:v>42916</c:v>
                </c:pt>
                <c:pt idx="27">
                  <c:v>42825</c:v>
                </c:pt>
                <c:pt idx="28">
                  <c:v>42735</c:v>
                </c:pt>
                <c:pt idx="29">
                  <c:v>42643</c:v>
                </c:pt>
                <c:pt idx="30">
                  <c:v>42551</c:v>
                </c:pt>
                <c:pt idx="31">
                  <c:v>42460</c:v>
                </c:pt>
                <c:pt idx="32">
                  <c:v>42369</c:v>
                </c:pt>
                <c:pt idx="33">
                  <c:v>42277</c:v>
                </c:pt>
                <c:pt idx="34">
                  <c:v>42185</c:v>
                </c:pt>
                <c:pt idx="35">
                  <c:v>42094</c:v>
                </c:pt>
                <c:pt idx="36">
                  <c:v>42004</c:v>
                </c:pt>
                <c:pt idx="37">
                  <c:v>41912</c:v>
                </c:pt>
                <c:pt idx="38">
                  <c:v>41820</c:v>
                </c:pt>
                <c:pt idx="39">
                  <c:v>41729</c:v>
                </c:pt>
                <c:pt idx="40">
                  <c:v>41639</c:v>
                </c:pt>
                <c:pt idx="41">
                  <c:v>41547</c:v>
                </c:pt>
                <c:pt idx="42">
                  <c:v>41455</c:v>
                </c:pt>
                <c:pt idx="43">
                  <c:v>41364</c:v>
                </c:pt>
                <c:pt idx="44">
                  <c:v>41274</c:v>
                </c:pt>
                <c:pt idx="45">
                  <c:v>41182</c:v>
                </c:pt>
                <c:pt idx="46">
                  <c:v>41090</c:v>
                </c:pt>
                <c:pt idx="47">
                  <c:v>40999</c:v>
                </c:pt>
                <c:pt idx="48">
                  <c:v>40908</c:v>
                </c:pt>
                <c:pt idx="49">
                  <c:v>40816</c:v>
                </c:pt>
                <c:pt idx="50">
                  <c:v>40724</c:v>
                </c:pt>
                <c:pt idx="51">
                  <c:v>40633</c:v>
                </c:pt>
                <c:pt idx="52">
                  <c:v>40543</c:v>
                </c:pt>
                <c:pt idx="53">
                  <c:v>40451</c:v>
                </c:pt>
                <c:pt idx="54">
                  <c:v>40359</c:v>
                </c:pt>
                <c:pt idx="55">
                  <c:v>40268</c:v>
                </c:pt>
                <c:pt idx="56">
                  <c:v>40178</c:v>
                </c:pt>
                <c:pt idx="57">
                  <c:v>40086</c:v>
                </c:pt>
                <c:pt idx="58">
                  <c:v>39994</c:v>
                </c:pt>
                <c:pt idx="59">
                  <c:v>39903</c:v>
                </c:pt>
                <c:pt idx="60">
                  <c:v>39813</c:v>
                </c:pt>
                <c:pt idx="61">
                  <c:v>39721</c:v>
                </c:pt>
                <c:pt idx="62">
                  <c:v>39629</c:v>
                </c:pt>
                <c:pt idx="63">
                  <c:v>39538</c:v>
                </c:pt>
                <c:pt idx="64">
                  <c:v>39447</c:v>
                </c:pt>
                <c:pt idx="65">
                  <c:v>39355</c:v>
                </c:pt>
                <c:pt idx="66">
                  <c:v>39263</c:v>
                </c:pt>
                <c:pt idx="67">
                  <c:v>39172</c:v>
                </c:pt>
                <c:pt idx="68">
                  <c:v>39082</c:v>
                </c:pt>
                <c:pt idx="69">
                  <c:v>38990</c:v>
                </c:pt>
                <c:pt idx="70">
                  <c:v>38898</c:v>
                </c:pt>
                <c:pt idx="71">
                  <c:v>38807</c:v>
                </c:pt>
                <c:pt idx="72">
                  <c:v>38717</c:v>
                </c:pt>
                <c:pt idx="73">
                  <c:v>38625</c:v>
                </c:pt>
                <c:pt idx="74">
                  <c:v>38533</c:v>
                </c:pt>
                <c:pt idx="75">
                  <c:v>38442</c:v>
                </c:pt>
                <c:pt idx="76">
                  <c:v>38352</c:v>
                </c:pt>
                <c:pt idx="77">
                  <c:v>38260</c:v>
                </c:pt>
                <c:pt idx="78">
                  <c:v>38168</c:v>
                </c:pt>
                <c:pt idx="79">
                  <c:v>38077</c:v>
                </c:pt>
                <c:pt idx="80">
                  <c:v>37986</c:v>
                </c:pt>
                <c:pt idx="81">
                  <c:v>37894</c:v>
                </c:pt>
                <c:pt idx="82">
                  <c:v>37802</c:v>
                </c:pt>
                <c:pt idx="83">
                  <c:v>37711</c:v>
                </c:pt>
                <c:pt idx="84">
                  <c:v>37621</c:v>
                </c:pt>
                <c:pt idx="85">
                  <c:v>37529</c:v>
                </c:pt>
                <c:pt idx="86">
                  <c:v>37437</c:v>
                </c:pt>
                <c:pt idx="87">
                  <c:v>37346</c:v>
                </c:pt>
                <c:pt idx="88">
                  <c:v>37256</c:v>
                </c:pt>
                <c:pt idx="89">
                  <c:v>37164</c:v>
                </c:pt>
                <c:pt idx="90">
                  <c:v>37072</c:v>
                </c:pt>
                <c:pt idx="91">
                  <c:v>36981</c:v>
                </c:pt>
                <c:pt idx="92">
                  <c:v>36891</c:v>
                </c:pt>
                <c:pt idx="93">
                  <c:v>36799</c:v>
                </c:pt>
                <c:pt idx="94">
                  <c:v>36707</c:v>
                </c:pt>
                <c:pt idx="95">
                  <c:v>36616</c:v>
                </c:pt>
                <c:pt idx="96">
                  <c:v>36525</c:v>
                </c:pt>
                <c:pt idx="97">
                  <c:v>36433</c:v>
                </c:pt>
                <c:pt idx="98">
                  <c:v>36341</c:v>
                </c:pt>
                <c:pt idx="99">
                  <c:v>36250</c:v>
                </c:pt>
                <c:pt idx="100">
                  <c:v>36160</c:v>
                </c:pt>
                <c:pt idx="101">
                  <c:v>36068</c:v>
                </c:pt>
                <c:pt idx="102">
                  <c:v>35976</c:v>
                </c:pt>
                <c:pt idx="103">
                  <c:v>35885</c:v>
                </c:pt>
                <c:pt idx="104">
                  <c:v>35795</c:v>
                </c:pt>
                <c:pt idx="105">
                  <c:v>35703</c:v>
                </c:pt>
                <c:pt idx="106">
                  <c:v>35611</c:v>
                </c:pt>
                <c:pt idx="107">
                  <c:v>35520</c:v>
                </c:pt>
                <c:pt idx="108">
                  <c:v>35430</c:v>
                </c:pt>
                <c:pt idx="109">
                  <c:v>35338</c:v>
                </c:pt>
                <c:pt idx="110">
                  <c:v>35246</c:v>
                </c:pt>
                <c:pt idx="111">
                  <c:v>35155</c:v>
                </c:pt>
                <c:pt idx="112">
                  <c:v>35064</c:v>
                </c:pt>
                <c:pt idx="113">
                  <c:v>34972</c:v>
                </c:pt>
                <c:pt idx="114">
                  <c:v>34880</c:v>
                </c:pt>
                <c:pt idx="115">
                  <c:v>34789</c:v>
                </c:pt>
                <c:pt idx="116">
                  <c:v>34699</c:v>
                </c:pt>
                <c:pt idx="117">
                  <c:v>34607</c:v>
                </c:pt>
                <c:pt idx="118">
                  <c:v>34515</c:v>
                </c:pt>
                <c:pt idx="119">
                  <c:v>34424</c:v>
                </c:pt>
                <c:pt idx="120">
                  <c:v>34334</c:v>
                </c:pt>
                <c:pt idx="121">
                  <c:v>34242</c:v>
                </c:pt>
                <c:pt idx="122">
                  <c:v>34150</c:v>
                </c:pt>
                <c:pt idx="123">
                  <c:v>34059</c:v>
                </c:pt>
                <c:pt idx="124">
                  <c:v>33969</c:v>
                </c:pt>
                <c:pt idx="125">
                  <c:v>33877</c:v>
                </c:pt>
                <c:pt idx="126">
                  <c:v>33785</c:v>
                </c:pt>
                <c:pt idx="127">
                  <c:v>33694</c:v>
                </c:pt>
                <c:pt idx="128">
                  <c:v>33603</c:v>
                </c:pt>
                <c:pt idx="129">
                  <c:v>33511</c:v>
                </c:pt>
                <c:pt idx="130">
                  <c:v>33419</c:v>
                </c:pt>
                <c:pt idx="131">
                  <c:v>33328</c:v>
                </c:pt>
                <c:pt idx="132">
                  <c:v>33238</c:v>
                </c:pt>
                <c:pt idx="133">
                  <c:v>33146</c:v>
                </c:pt>
                <c:pt idx="134">
                  <c:v>33054</c:v>
                </c:pt>
                <c:pt idx="135">
                  <c:v>32963</c:v>
                </c:pt>
                <c:pt idx="136">
                  <c:v>32873</c:v>
                </c:pt>
                <c:pt idx="137">
                  <c:v>32781</c:v>
                </c:pt>
                <c:pt idx="138">
                  <c:v>32689</c:v>
                </c:pt>
                <c:pt idx="139">
                  <c:v>32598</c:v>
                </c:pt>
                <c:pt idx="140">
                  <c:v>32508</c:v>
                </c:pt>
                <c:pt idx="141">
                  <c:v>32416</c:v>
                </c:pt>
                <c:pt idx="142">
                  <c:v>32324</c:v>
                </c:pt>
                <c:pt idx="143">
                  <c:v>32233</c:v>
                </c:pt>
              </c:numCache>
            </c:numRef>
          </c:cat>
          <c:val>
            <c:numRef>
              <c:f>'Earnings-Quarterly'!$H$2:$H$145</c:f>
              <c:numCache>
                <c:formatCode>#,##0.00</c:formatCode>
                <c:ptCount val="144"/>
                <c:pt idx="4">
                  <c:v>3700</c:v>
                </c:pt>
                <c:pt idx="5">
                  <c:v>3585.6241035486701</c:v>
                </c:pt>
                <c:pt idx="6">
                  <c:v>3785.3848459311298</c:v>
                </c:pt>
                <c:pt idx="7">
                  <c:v>4530.4134516834702</c:v>
                </c:pt>
                <c:pt idx="8">
                  <c:v>4766.1829724282998</c:v>
                </c:pt>
                <c:pt idx="9">
                  <c:v>4307.5387507897103</c:v>
                </c:pt>
                <c:pt idx="10">
                  <c:v>4297.4966318818697</c:v>
                </c:pt>
                <c:pt idx="11">
                  <c:v>3972.8922084302499</c:v>
                </c:pt>
                <c:pt idx="12">
                  <c:v>3756.0714689572001</c:v>
                </c:pt>
                <c:pt idx="13">
                  <c:v>3362.9989876496502</c:v>
                </c:pt>
                <c:pt idx="14">
                  <c:v>3100.2851286595301</c:v>
                </c:pt>
                <c:pt idx="15">
                  <c:v>2584.5907599343</c:v>
                </c:pt>
                <c:pt idx="16">
                  <c:v>3230.7819500904302</c:v>
                </c:pt>
                <c:pt idx="17">
                  <c:v>2976.73727174433</c:v>
                </c:pt>
                <c:pt idx="18">
                  <c:v>2941.76</c:v>
                </c:pt>
                <c:pt idx="19">
                  <c:v>2834.4</c:v>
                </c:pt>
                <c:pt idx="20">
                  <c:v>2506.8471826272198</c:v>
                </c:pt>
                <c:pt idx="21">
                  <c:v>2913.97813988603</c:v>
                </c:pt>
                <c:pt idx="22">
                  <c:v>2718.37</c:v>
                </c:pt>
                <c:pt idx="23">
                  <c:v>2640.8659903292901</c:v>
                </c:pt>
                <c:pt idx="24">
                  <c:v>2673.6105231517399</c:v>
                </c:pt>
                <c:pt idx="25">
                  <c:v>2519.3596719060702</c:v>
                </c:pt>
                <c:pt idx="26">
                  <c:v>2423.4088910629698</c:v>
                </c:pt>
                <c:pt idx="27">
                  <c:v>2362.7182203972902</c:v>
                </c:pt>
                <c:pt idx="28">
                  <c:v>2238.82668170754</c:v>
                </c:pt>
                <c:pt idx="29">
                  <c:v>2168.2720896372798</c:v>
                </c:pt>
                <c:pt idx="30">
                  <c:v>2098.8552265056101</c:v>
                </c:pt>
                <c:pt idx="31">
                  <c:v>2059.7411766011501</c:v>
                </c:pt>
                <c:pt idx="32">
                  <c:v>2043.9368626607099</c:v>
                </c:pt>
                <c:pt idx="33">
                  <c:v>1920.0265516397001</c:v>
                </c:pt>
                <c:pt idx="34">
                  <c:v>2063.1118322236698</c:v>
                </c:pt>
                <c:pt idx="35">
                  <c:v>2067.88724075851</c:v>
                </c:pt>
                <c:pt idx="36">
                  <c:v>2058.9023788568802</c:v>
                </c:pt>
                <c:pt idx="37">
                  <c:v>1972.28514504996</c:v>
                </c:pt>
                <c:pt idx="38">
                  <c:v>1960.23124036383</c:v>
                </c:pt>
                <c:pt idx="39">
                  <c:v>1872.33517921728</c:v>
                </c:pt>
                <c:pt idx="40">
                  <c:v>1848.3565209419301</c:v>
                </c:pt>
                <c:pt idx="41">
                  <c:v>1681.54666211214</c:v>
                </c:pt>
                <c:pt idx="42">
                  <c:v>1606.27760773726</c:v>
                </c:pt>
                <c:pt idx="43">
                  <c:v>1569.18587246845</c:v>
                </c:pt>
                <c:pt idx="44">
                  <c:v>1426.18797808055</c:v>
                </c:pt>
                <c:pt idx="45">
                  <c:v>1440.67450263613</c:v>
                </c:pt>
                <c:pt idx="46">
                  <c:v>1362.1587454406599</c:v>
                </c:pt>
                <c:pt idx="47">
                  <c:v>1408.46786041941</c:v>
                </c:pt>
                <c:pt idx="48">
                  <c:v>1257.60480453436</c:v>
                </c:pt>
                <c:pt idx="49">
                  <c:v>1131.42036008329</c:v>
                </c:pt>
                <c:pt idx="50">
                  <c:v>1320.63904926284</c:v>
                </c:pt>
                <c:pt idx="51">
                  <c:v>1325.82671751112</c:v>
                </c:pt>
                <c:pt idx="52">
                  <c:v>1257.63598797798</c:v>
                </c:pt>
                <c:pt idx="53">
                  <c:v>1141.20115690593</c:v>
                </c:pt>
                <c:pt idx="54">
                  <c:v>1030.71008330308</c:v>
                </c:pt>
                <c:pt idx="55">
                  <c:v>1169.43119269817</c:v>
                </c:pt>
                <c:pt idx="56">
                  <c:v>1115.0999999999999</c:v>
                </c:pt>
                <c:pt idx="57">
                  <c:v>1057.0786000000001</c:v>
                </c:pt>
                <c:pt idx="58">
                  <c:v>919.32</c:v>
                </c:pt>
                <c:pt idx="59">
                  <c:v>797.86699999999996</c:v>
                </c:pt>
                <c:pt idx="60">
                  <c:v>903.25</c:v>
                </c:pt>
                <c:pt idx="61">
                  <c:v>1166.361418</c:v>
                </c:pt>
                <c:pt idx="62">
                  <c:v>1280.001</c:v>
                </c:pt>
                <c:pt idx="63">
                  <c:v>1322.703</c:v>
                </c:pt>
                <c:pt idx="64">
                  <c:v>1468.3552</c:v>
                </c:pt>
                <c:pt idx="65">
                  <c:v>1526.7470000000001</c:v>
                </c:pt>
                <c:pt idx="66">
                  <c:v>1503.3486</c:v>
                </c:pt>
                <c:pt idx="67">
                  <c:v>1420.864</c:v>
                </c:pt>
                <c:pt idx="68">
                  <c:v>1418.3005000000001</c:v>
                </c:pt>
                <c:pt idx="69">
                  <c:v>1335.847</c:v>
                </c:pt>
                <c:pt idx="70">
                  <c:v>1270.2</c:v>
                </c:pt>
                <c:pt idx="71">
                  <c:v>1294.83</c:v>
                </c:pt>
                <c:pt idx="72">
                  <c:v>1248.29</c:v>
                </c:pt>
                <c:pt idx="73">
                  <c:v>1228.81</c:v>
                </c:pt>
                <c:pt idx="74">
                  <c:v>1191.33</c:v>
                </c:pt>
                <c:pt idx="75">
                  <c:v>1180.5899999999999</c:v>
                </c:pt>
                <c:pt idx="76">
                  <c:v>1211.92</c:v>
                </c:pt>
                <c:pt idx="77">
                  <c:v>1114.58</c:v>
                </c:pt>
                <c:pt idx="78">
                  <c:v>1140.8399999999999</c:v>
                </c:pt>
                <c:pt idx="79">
                  <c:v>1126.21</c:v>
                </c:pt>
                <c:pt idx="80">
                  <c:v>1111.92</c:v>
                </c:pt>
                <c:pt idx="81">
                  <c:v>995.97</c:v>
                </c:pt>
                <c:pt idx="82">
                  <c:v>974.5</c:v>
                </c:pt>
                <c:pt idx="83">
                  <c:v>848.18</c:v>
                </c:pt>
                <c:pt idx="84">
                  <c:v>879.82</c:v>
                </c:pt>
                <c:pt idx="85">
                  <c:v>815.28</c:v>
                </c:pt>
                <c:pt idx="86">
                  <c:v>989.81</c:v>
                </c:pt>
                <c:pt idx="87">
                  <c:v>1147.3900000000001</c:v>
                </c:pt>
                <c:pt idx="88">
                  <c:v>1148.08</c:v>
                </c:pt>
                <c:pt idx="89">
                  <c:v>1040.94</c:v>
                </c:pt>
                <c:pt idx="90">
                  <c:v>1224.3800000000001</c:v>
                </c:pt>
                <c:pt idx="91">
                  <c:v>1160.33</c:v>
                </c:pt>
                <c:pt idx="92">
                  <c:v>1320.28</c:v>
                </c:pt>
                <c:pt idx="93">
                  <c:v>1436.51</c:v>
                </c:pt>
                <c:pt idx="94">
                  <c:v>1454.6</c:v>
                </c:pt>
                <c:pt idx="95">
                  <c:v>1498.58</c:v>
                </c:pt>
                <c:pt idx="96">
                  <c:v>1469.25</c:v>
                </c:pt>
                <c:pt idx="97">
                  <c:v>1282.71</c:v>
                </c:pt>
                <c:pt idx="98">
                  <c:v>1372.71</c:v>
                </c:pt>
                <c:pt idx="99">
                  <c:v>1286.3699999999999</c:v>
                </c:pt>
                <c:pt idx="100">
                  <c:v>1229.23</c:v>
                </c:pt>
                <c:pt idx="101">
                  <c:v>1017.01</c:v>
                </c:pt>
                <c:pt idx="102">
                  <c:v>1133.8399999999999</c:v>
                </c:pt>
                <c:pt idx="103">
                  <c:v>1101.75</c:v>
                </c:pt>
                <c:pt idx="104">
                  <c:v>970.43</c:v>
                </c:pt>
                <c:pt idx="105">
                  <c:v>947.28</c:v>
                </c:pt>
                <c:pt idx="106">
                  <c:v>885.14</c:v>
                </c:pt>
                <c:pt idx="107">
                  <c:v>757.12</c:v>
                </c:pt>
                <c:pt idx="108">
                  <c:v>740.74</c:v>
                </c:pt>
                <c:pt idx="109">
                  <c:v>687.33</c:v>
                </c:pt>
                <c:pt idx="110">
                  <c:v>670.63</c:v>
                </c:pt>
                <c:pt idx="111">
                  <c:v>645.5</c:v>
                </c:pt>
                <c:pt idx="112">
                  <c:v>615.92999999999995</c:v>
                </c:pt>
                <c:pt idx="113">
                  <c:v>584.41</c:v>
                </c:pt>
                <c:pt idx="114">
                  <c:v>544.75</c:v>
                </c:pt>
                <c:pt idx="115">
                  <c:v>500.71</c:v>
                </c:pt>
                <c:pt idx="116">
                  <c:v>459.27</c:v>
                </c:pt>
                <c:pt idx="117">
                  <c:v>462.71</c:v>
                </c:pt>
                <c:pt idx="118">
                  <c:v>444.27</c:v>
                </c:pt>
                <c:pt idx="119">
                  <c:v>445.77</c:v>
                </c:pt>
                <c:pt idx="120">
                  <c:v>466.45</c:v>
                </c:pt>
                <c:pt idx="121">
                  <c:v>458.93</c:v>
                </c:pt>
                <c:pt idx="122">
                  <c:v>450.53</c:v>
                </c:pt>
                <c:pt idx="123">
                  <c:v>451.67</c:v>
                </c:pt>
                <c:pt idx="124">
                  <c:v>435.71</c:v>
                </c:pt>
                <c:pt idx="125">
                  <c:v>417.8</c:v>
                </c:pt>
                <c:pt idx="126">
                  <c:v>408.14</c:v>
                </c:pt>
                <c:pt idx="127">
                  <c:v>403.69</c:v>
                </c:pt>
                <c:pt idx="128">
                  <c:v>417.09</c:v>
                </c:pt>
                <c:pt idx="129">
                  <c:v>387.86</c:v>
                </c:pt>
                <c:pt idx="130">
                  <c:v>371.16</c:v>
                </c:pt>
                <c:pt idx="131">
                  <c:v>375.22</c:v>
                </c:pt>
                <c:pt idx="132">
                  <c:v>330.22</c:v>
                </c:pt>
                <c:pt idx="133">
                  <c:v>306.05</c:v>
                </c:pt>
                <c:pt idx="134">
                  <c:v>358.02</c:v>
                </c:pt>
                <c:pt idx="135">
                  <c:v>339.94</c:v>
                </c:pt>
                <c:pt idx="136">
                  <c:v>353.4</c:v>
                </c:pt>
                <c:pt idx="137">
                  <c:v>349.15</c:v>
                </c:pt>
                <c:pt idx="138">
                  <c:v>317.98</c:v>
                </c:pt>
                <c:pt idx="139">
                  <c:v>294.87</c:v>
                </c:pt>
                <c:pt idx="140">
                  <c:v>277.72000000000003</c:v>
                </c:pt>
                <c:pt idx="141">
                  <c:v>271.91000000000003</c:v>
                </c:pt>
                <c:pt idx="142">
                  <c:v>273.5</c:v>
                </c:pt>
                <c:pt idx="143">
                  <c:v>258.89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3-47E2-B272-AB259A060869}"/>
            </c:ext>
          </c:extLst>
        </c:ser>
        <c:ser>
          <c:idx val="3"/>
          <c:order val="3"/>
          <c:tx>
            <c:strRef>
              <c:f>'Earnings-Quarterly'!$P$1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6350">
                <a:solidFill>
                  <a:schemeClr val="tx1"/>
                </a:solidFill>
              </a:ln>
              <a:effectLst/>
            </c:spPr>
          </c:marker>
          <c:cat>
            <c:numRef>
              <c:f>'Earnings-Quarterly'!$A$2:$A$145</c:f>
              <c:numCache>
                <c:formatCode>m/d/yyyy</c:formatCode>
                <c:ptCount val="144"/>
                <c:pt idx="0">
                  <c:v>45291</c:v>
                </c:pt>
                <c:pt idx="1">
                  <c:v>45199</c:v>
                </c:pt>
                <c:pt idx="2">
                  <c:v>45107</c:v>
                </c:pt>
                <c:pt idx="3">
                  <c:v>45016</c:v>
                </c:pt>
                <c:pt idx="4">
                  <c:v>44926</c:v>
                </c:pt>
                <c:pt idx="5">
                  <c:v>44834</c:v>
                </c:pt>
                <c:pt idx="6">
                  <c:v>44742</c:v>
                </c:pt>
                <c:pt idx="7">
                  <c:v>44651</c:v>
                </c:pt>
                <c:pt idx="8">
                  <c:v>44561</c:v>
                </c:pt>
                <c:pt idx="9">
                  <c:v>44469</c:v>
                </c:pt>
                <c:pt idx="10">
                  <c:v>44377</c:v>
                </c:pt>
                <c:pt idx="11">
                  <c:v>44286</c:v>
                </c:pt>
                <c:pt idx="12">
                  <c:v>44196</c:v>
                </c:pt>
                <c:pt idx="13">
                  <c:v>44104</c:v>
                </c:pt>
                <c:pt idx="14">
                  <c:v>44012</c:v>
                </c:pt>
                <c:pt idx="15">
                  <c:v>43921</c:v>
                </c:pt>
                <c:pt idx="16">
                  <c:v>43830</c:v>
                </c:pt>
                <c:pt idx="17">
                  <c:v>43738</c:v>
                </c:pt>
                <c:pt idx="18">
                  <c:v>43644</c:v>
                </c:pt>
                <c:pt idx="19">
                  <c:v>43553</c:v>
                </c:pt>
                <c:pt idx="20">
                  <c:v>43465</c:v>
                </c:pt>
                <c:pt idx="21">
                  <c:v>43371</c:v>
                </c:pt>
                <c:pt idx="22">
                  <c:v>43280</c:v>
                </c:pt>
                <c:pt idx="23">
                  <c:v>43188</c:v>
                </c:pt>
                <c:pt idx="24">
                  <c:v>43098</c:v>
                </c:pt>
                <c:pt idx="25">
                  <c:v>43008</c:v>
                </c:pt>
                <c:pt idx="26">
                  <c:v>42916</c:v>
                </c:pt>
                <c:pt idx="27">
                  <c:v>42825</c:v>
                </c:pt>
                <c:pt idx="28">
                  <c:v>42735</c:v>
                </c:pt>
                <c:pt idx="29">
                  <c:v>42643</c:v>
                </c:pt>
                <c:pt idx="30">
                  <c:v>42551</c:v>
                </c:pt>
                <c:pt idx="31">
                  <c:v>42460</c:v>
                </c:pt>
                <c:pt idx="32">
                  <c:v>42369</c:v>
                </c:pt>
                <c:pt idx="33">
                  <c:v>42277</c:v>
                </c:pt>
                <c:pt idx="34">
                  <c:v>42185</c:v>
                </c:pt>
                <c:pt idx="35">
                  <c:v>42094</c:v>
                </c:pt>
                <c:pt idx="36">
                  <c:v>42004</c:v>
                </c:pt>
                <c:pt idx="37">
                  <c:v>41912</c:v>
                </c:pt>
                <c:pt idx="38">
                  <c:v>41820</c:v>
                </c:pt>
                <c:pt idx="39">
                  <c:v>41729</c:v>
                </c:pt>
                <c:pt idx="40">
                  <c:v>41639</c:v>
                </c:pt>
                <c:pt idx="41">
                  <c:v>41547</c:v>
                </c:pt>
                <c:pt idx="42">
                  <c:v>41455</c:v>
                </c:pt>
                <c:pt idx="43">
                  <c:v>41364</c:v>
                </c:pt>
                <c:pt idx="44">
                  <c:v>41274</c:v>
                </c:pt>
                <c:pt idx="45">
                  <c:v>41182</c:v>
                </c:pt>
                <c:pt idx="46">
                  <c:v>41090</c:v>
                </c:pt>
                <c:pt idx="47">
                  <c:v>40999</c:v>
                </c:pt>
                <c:pt idx="48">
                  <c:v>40908</c:v>
                </c:pt>
                <c:pt idx="49">
                  <c:v>40816</c:v>
                </c:pt>
                <c:pt idx="50">
                  <c:v>40724</c:v>
                </c:pt>
                <c:pt idx="51">
                  <c:v>40633</c:v>
                </c:pt>
                <c:pt idx="52">
                  <c:v>40543</c:v>
                </c:pt>
                <c:pt idx="53">
                  <c:v>40451</c:v>
                </c:pt>
                <c:pt idx="54">
                  <c:v>40359</c:v>
                </c:pt>
                <c:pt idx="55">
                  <c:v>40268</c:v>
                </c:pt>
                <c:pt idx="56">
                  <c:v>40178</c:v>
                </c:pt>
                <c:pt idx="57">
                  <c:v>40086</c:v>
                </c:pt>
                <c:pt idx="58">
                  <c:v>39994</c:v>
                </c:pt>
                <c:pt idx="59">
                  <c:v>39903</c:v>
                </c:pt>
                <c:pt idx="60">
                  <c:v>39813</c:v>
                </c:pt>
                <c:pt idx="61">
                  <c:v>39721</c:v>
                </c:pt>
                <c:pt idx="62">
                  <c:v>39629</c:v>
                </c:pt>
                <c:pt idx="63">
                  <c:v>39538</c:v>
                </c:pt>
                <c:pt idx="64">
                  <c:v>39447</c:v>
                </c:pt>
                <c:pt idx="65">
                  <c:v>39355</c:v>
                </c:pt>
                <c:pt idx="66">
                  <c:v>39263</c:v>
                </c:pt>
                <c:pt idx="67">
                  <c:v>39172</c:v>
                </c:pt>
                <c:pt idx="68">
                  <c:v>39082</c:v>
                </c:pt>
                <c:pt idx="69">
                  <c:v>38990</c:v>
                </c:pt>
                <c:pt idx="70">
                  <c:v>38898</c:v>
                </c:pt>
                <c:pt idx="71">
                  <c:v>38807</c:v>
                </c:pt>
                <c:pt idx="72">
                  <c:v>38717</c:v>
                </c:pt>
                <c:pt idx="73">
                  <c:v>38625</c:v>
                </c:pt>
                <c:pt idx="74">
                  <c:v>38533</c:v>
                </c:pt>
                <c:pt idx="75">
                  <c:v>38442</c:v>
                </c:pt>
                <c:pt idx="76">
                  <c:v>38352</c:v>
                </c:pt>
                <c:pt idx="77">
                  <c:v>38260</c:v>
                </c:pt>
                <c:pt idx="78">
                  <c:v>38168</c:v>
                </c:pt>
                <c:pt idx="79">
                  <c:v>38077</c:v>
                </c:pt>
                <c:pt idx="80">
                  <c:v>37986</c:v>
                </c:pt>
                <c:pt idx="81">
                  <c:v>37894</c:v>
                </c:pt>
                <c:pt idx="82">
                  <c:v>37802</c:v>
                </c:pt>
                <c:pt idx="83">
                  <c:v>37711</c:v>
                </c:pt>
                <c:pt idx="84">
                  <c:v>37621</c:v>
                </c:pt>
                <c:pt idx="85">
                  <c:v>37529</c:v>
                </c:pt>
                <c:pt idx="86">
                  <c:v>37437</c:v>
                </c:pt>
                <c:pt idx="87">
                  <c:v>37346</c:v>
                </c:pt>
                <c:pt idx="88">
                  <c:v>37256</c:v>
                </c:pt>
                <c:pt idx="89">
                  <c:v>37164</c:v>
                </c:pt>
                <c:pt idx="90">
                  <c:v>37072</c:v>
                </c:pt>
                <c:pt idx="91">
                  <c:v>36981</c:v>
                </c:pt>
                <c:pt idx="92">
                  <c:v>36891</c:v>
                </c:pt>
                <c:pt idx="93">
                  <c:v>36799</c:v>
                </c:pt>
                <c:pt idx="94">
                  <c:v>36707</c:v>
                </c:pt>
                <c:pt idx="95">
                  <c:v>36616</c:v>
                </c:pt>
                <c:pt idx="96">
                  <c:v>36525</c:v>
                </c:pt>
                <c:pt idx="97">
                  <c:v>36433</c:v>
                </c:pt>
                <c:pt idx="98">
                  <c:v>36341</c:v>
                </c:pt>
                <c:pt idx="99">
                  <c:v>36250</c:v>
                </c:pt>
                <c:pt idx="100">
                  <c:v>36160</c:v>
                </c:pt>
                <c:pt idx="101">
                  <c:v>36068</c:v>
                </c:pt>
                <c:pt idx="102">
                  <c:v>35976</c:v>
                </c:pt>
                <c:pt idx="103">
                  <c:v>35885</c:v>
                </c:pt>
                <c:pt idx="104">
                  <c:v>35795</c:v>
                </c:pt>
                <c:pt idx="105">
                  <c:v>35703</c:v>
                </c:pt>
                <c:pt idx="106">
                  <c:v>35611</c:v>
                </c:pt>
                <c:pt idx="107">
                  <c:v>35520</c:v>
                </c:pt>
                <c:pt idx="108">
                  <c:v>35430</c:v>
                </c:pt>
                <c:pt idx="109">
                  <c:v>35338</c:v>
                </c:pt>
                <c:pt idx="110">
                  <c:v>35246</c:v>
                </c:pt>
                <c:pt idx="111">
                  <c:v>35155</c:v>
                </c:pt>
                <c:pt idx="112">
                  <c:v>35064</c:v>
                </c:pt>
                <c:pt idx="113">
                  <c:v>34972</c:v>
                </c:pt>
                <c:pt idx="114">
                  <c:v>34880</c:v>
                </c:pt>
                <c:pt idx="115">
                  <c:v>34789</c:v>
                </c:pt>
                <c:pt idx="116">
                  <c:v>34699</c:v>
                </c:pt>
                <c:pt idx="117">
                  <c:v>34607</c:v>
                </c:pt>
                <c:pt idx="118">
                  <c:v>34515</c:v>
                </c:pt>
                <c:pt idx="119">
                  <c:v>34424</c:v>
                </c:pt>
                <c:pt idx="120">
                  <c:v>34334</c:v>
                </c:pt>
                <c:pt idx="121">
                  <c:v>34242</c:v>
                </c:pt>
                <c:pt idx="122">
                  <c:v>34150</c:v>
                </c:pt>
                <c:pt idx="123">
                  <c:v>34059</c:v>
                </c:pt>
                <c:pt idx="124">
                  <c:v>33969</c:v>
                </c:pt>
                <c:pt idx="125">
                  <c:v>33877</c:v>
                </c:pt>
                <c:pt idx="126">
                  <c:v>33785</c:v>
                </c:pt>
                <c:pt idx="127">
                  <c:v>33694</c:v>
                </c:pt>
                <c:pt idx="128">
                  <c:v>33603</c:v>
                </c:pt>
                <c:pt idx="129">
                  <c:v>33511</c:v>
                </c:pt>
                <c:pt idx="130">
                  <c:v>33419</c:v>
                </c:pt>
                <c:pt idx="131">
                  <c:v>33328</c:v>
                </c:pt>
                <c:pt idx="132">
                  <c:v>33238</c:v>
                </c:pt>
                <c:pt idx="133">
                  <c:v>33146</c:v>
                </c:pt>
                <c:pt idx="134">
                  <c:v>33054</c:v>
                </c:pt>
                <c:pt idx="135">
                  <c:v>32963</c:v>
                </c:pt>
                <c:pt idx="136">
                  <c:v>32873</c:v>
                </c:pt>
                <c:pt idx="137">
                  <c:v>32781</c:v>
                </c:pt>
                <c:pt idx="138">
                  <c:v>32689</c:v>
                </c:pt>
                <c:pt idx="139">
                  <c:v>32598</c:v>
                </c:pt>
                <c:pt idx="140">
                  <c:v>32508</c:v>
                </c:pt>
                <c:pt idx="141">
                  <c:v>32416</c:v>
                </c:pt>
                <c:pt idx="142">
                  <c:v>32324</c:v>
                </c:pt>
                <c:pt idx="143">
                  <c:v>32233</c:v>
                </c:pt>
              </c:numCache>
            </c:numRef>
          </c:cat>
          <c:val>
            <c:numRef>
              <c:f>'Earnings-Quarterly'!$P$2:$P$145</c:f>
              <c:numCache>
                <c:formatCode>#,##0.00</c:formatCode>
                <c:ptCount val="144"/>
                <c:pt idx="0">
                  <c:v>2511.5247752482519</c:v>
                </c:pt>
                <c:pt idx="1">
                  <c:v>2454.1895576691095</c:v>
                </c:pt>
                <c:pt idx="2">
                  <c:v>2391.4425663746424</c:v>
                </c:pt>
                <c:pt idx="3">
                  <c:v>2286.2294539204827</c:v>
                </c:pt>
                <c:pt idx="4">
                  <c:v>2243.3620006970982</c:v>
                </c:pt>
                <c:pt idx="5">
                  <c:v>2286.9599421111366</c:v>
                </c:pt>
                <c:pt idx="6">
                  <c:v>2307.1200000000003</c:v>
                </c:pt>
                <c:pt idx="7">
                  <c:v>2374.92</c:v>
                </c:pt>
                <c:pt idx="8">
                  <c:v>2374.44</c:v>
                </c:pt>
                <c:pt idx="9">
                  <c:v>2104.44</c:v>
                </c:pt>
                <c:pt idx="10">
                  <c:v>1905.12</c:v>
                </c:pt>
                <c:pt idx="11">
                  <c:v>1538.3999999999999</c:v>
                </c:pt>
                <c:pt idx="12">
                  <c:v>1129.56</c:v>
                </c:pt>
                <c:pt idx="13">
                  <c:v>1178.6399999999999</c:v>
                </c:pt>
                <c:pt idx="14">
                  <c:v>1190.7600000000002</c:v>
                </c:pt>
                <c:pt idx="15">
                  <c:v>1395.96</c:v>
                </c:pt>
                <c:pt idx="16">
                  <c:v>1673.6400000000003</c:v>
                </c:pt>
                <c:pt idx="17">
                  <c:v>1594.8000000000002</c:v>
                </c:pt>
                <c:pt idx="18">
                  <c:v>1623.2399999999998</c:v>
                </c:pt>
                <c:pt idx="19">
                  <c:v>1612.6799999999998</c:v>
                </c:pt>
                <c:pt idx="20">
                  <c:v>1588.6799999999998</c:v>
                </c:pt>
                <c:pt idx="21">
                  <c:v>1564.6800000000003</c:v>
                </c:pt>
                <c:pt idx="22">
                  <c:v>1469.76</c:v>
                </c:pt>
                <c:pt idx="23">
                  <c:v>1385.2800000000002</c:v>
                </c:pt>
                <c:pt idx="24">
                  <c:v>1318.56</c:v>
                </c:pt>
                <c:pt idx="25">
                  <c:v>1284.96</c:v>
                </c:pt>
                <c:pt idx="26">
                  <c:v>1248.24</c:v>
                </c:pt>
                <c:pt idx="27">
                  <c:v>1203.48</c:v>
                </c:pt>
                <c:pt idx="28">
                  <c:v>1134.5999999999999</c:v>
                </c:pt>
                <c:pt idx="29">
                  <c:v>1069.08</c:v>
                </c:pt>
                <c:pt idx="30">
                  <c:v>1043.04</c:v>
                </c:pt>
                <c:pt idx="31">
                  <c:v>1037.28</c:v>
                </c:pt>
                <c:pt idx="32">
                  <c:v>1038.3600000000001</c:v>
                </c:pt>
                <c:pt idx="33">
                  <c:v>1087.92</c:v>
                </c:pt>
                <c:pt idx="34">
                  <c:v>1138.92</c:v>
                </c:pt>
                <c:pt idx="35">
                  <c:v>1191</c:v>
                </c:pt>
                <c:pt idx="36">
                  <c:v>1227.72</c:v>
                </c:pt>
                <c:pt idx="37">
                  <c:v>1271.52</c:v>
                </c:pt>
                <c:pt idx="38">
                  <c:v>1237.44</c:v>
                </c:pt>
                <c:pt idx="39">
                  <c:v>1210.2</c:v>
                </c:pt>
                <c:pt idx="40">
                  <c:v>1202.4000000000001</c:v>
                </c:pt>
                <c:pt idx="41">
                  <c:v>1132.44</c:v>
                </c:pt>
                <c:pt idx="42">
                  <c:v>1091.4000000000001</c:v>
                </c:pt>
                <c:pt idx="43">
                  <c:v>1052.4000000000001</c:v>
                </c:pt>
                <c:pt idx="44">
                  <c:v>1038.1200000000001</c:v>
                </c:pt>
                <c:pt idx="45">
                  <c:v>1038</c:v>
                </c:pt>
                <c:pt idx="46">
                  <c:v>1055.04</c:v>
                </c:pt>
                <c:pt idx="47">
                  <c:v>1062.48</c:v>
                </c:pt>
                <c:pt idx="48">
                  <c:v>1043.3999999999999</c:v>
                </c:pt>
                <c:pt idx="49">
                  <c:v>1043.76</c:v>
                </c:pt>
                <c:pt idx="50">
                  <c:v>1006.4399999999998</c:v>
                </c:pt>
                <c:pt idx="51">
                  <c:v>975.72</c:v>
                </c:pt>
                <c:pt idx="52">
                  <c:v>928.19999999999993</c:v>
                </c:pt>
                <c:pt idx="53">
                  <c:v>862.32000000000016</c:v>
                </c:pt>
                <c:pt idx="54">
                  <c:v>805.19999999999993</c:v>
                </c:pt>
                <c:pt idx="55">
                  <c:v>731.15999999999985</c:v>
                </c:pt>
                <c:pt idx="56">
                  <c:v>611.64</c:v>
                </c:pt>
                <c:pt idx="57">
                  <c:v>150.47999999999999</c:v>
                </c:pt>
                <c:pt idx="58">
                  <c:v>90.120000000000019</c:v>
                </c:pt>
                <c:pt idx="59">
                  <c:v>82.32</c:v>
                </c:pt>
                <c:pt idx="60">
                  <c:v>178.56</c:v>
                </c:pt>
                <c:pt idx="61">
                  <c:v>551.4</c:v>
                </c:pt>
                <c:pt idx="62">
                  <c:v>616.43999999999994</c:v>
                </c:pt>
                <c:pt idx="63">
                  <c:v>724.68893177667519</c:v>
                </c:pt>
                <c:pt idx="64">
                  <c:v>794.16893177667521</c:v>
                </c:pt>
                <c:pt idx="65">
                  <c:v>943.20893177667517</c:v>
                </c:pt>
                <c:pt idx="66">
                  <c:v>1019.0489317766751</c:v>
                </c:pt>
                <c:pt idx="67">
                  <c:v>997.8</c:v>
                </c:pt>
                <c:pt idx="68">
                  <c:v>978.11999999999989</c:v>
                </c:pt>
                <c:pt idx="69">
                  <c:v>942.83999999999992</c:v>
                </c:pt>
                <c:pt idx="70">
                  <c:v>893.87999999999988</c:v>
                </c:pt>
                <c:pt idx="71">
                  <c:v>872.04</c:v>
                </c:pt>
                <c:pt idx="72">
                  <c:v>837.96</c:v>
                </c:pt>
                <c:pt idx="73">
                  <c:v>797.64</c:v>
                </c:pt>
                <c:pt idx="74">
                  <c:v>759.12</c:v>
                </c:pt>
                <c:pt idx="75">
                  <c:v>722.64</c:v>
                </c:pt>
                <c:pt idx="76">
                  <c:v>702.59999999999991</c:v>
                </c:pt>
                <c:pt idx="77">
                  <c:v>693.24</c:v>
                </c:pt>
                <c:pt idx="78">
                  <c:v>673.80000000000007</c:v>
                </c:pt>
                <c:pt idx="79">
                  <c:v>624</c:v>
                </c:pt>
                <c:pt idx="80">
                  <c:v>584.88</c:v>
                </c:pt>
                <c:pt idx="81">
                  <c:v>462.96</c:v>
                </c:pt>
                <c:pt idx="82">
                  <c:v>414.59999999999997</c:v>
                </c:pt>
                <c:pt idx="83">
                  <c:v>363.84000000000003</c:v>
                </c:pt>
                <c:pt idx="84">
                  <c:v>331.07999999999993</c:v>
                </c:pt>
                <c:pt idx="85">
                  <c:v>360.47999999999996</c:v>
                </c:pt>
                <c:pt idx="86">
                  <c:v>320.88</c:v>
                </c:pt>
                <c:pt idx="87">
                  <c:v>296.40000000000003</c:v>
                </c:pt>
                <c:pt idx="88">
                  <c:v>296.27999999999997</c:v>
                </c:pt>
                <c:pt idx="89">
                  <c:v>339.72</c:v>
                </c:pt>
                <c:pt idx="90">
                  <c:v>441.48</c:v>
                </c:pt>
                <c:pt idx="91">
                  <c:v>545.28</c:v>
                </c:pt>
                <c:pt idx="92">
                  <c:v>600.00000000000011</c:v>
                </c:pt>
                <c:pt idx="93">
                  <c:v>644.40000000000009</c:v>
                </c:pt>
                <c:pt idx="94">
                  <c:v>623.04</c:v>
                </c:pt>
                <c:pt idx="95">
                  <c:v>611.4</c:v>
                </c:pt>
                <c:pt idx="96">
                  <c:v>578.04</c:v>
                </c:pt>
                <c:pt idx="97">
                  <c:v>527.52</c:v>
                </c:pt>
                <c:pt idx="98">
                  <c:v>492.24</c:v>
                </c:pt>
                <c:pt idx="99">
                  <c:v>460.56000000000006</c:v>
                </c:pt>
                <c:pt idx="100">
                  <c:v>452.52</c:v>
                </c:pt>
                <c:pt idx="101">
                  <c:v>457.07999999999993</c:v>
                </c:pt>
                <c:pt idx="102">
                  <c:v>467.63999999999987</c:v>
                </c:pt>
                <c:pt idx="103">
                  <c:v>474.4799999999999</c:v>
                </c:pt>
                <c:pt idx="104">
                  <c:v>476.64</c:v>
                </c:pt>
                <c:pt idx="105">
                  <c:v>487.68</c:v>
                </c:pt>
                <c:pt idx="106">
                  <c:v>486.59999999999997</c:v>
                </c:pt>
                <c:pt idx="107">
                  <c:v>482.88</c:v>
                </c:pt>
                <c:pt idx="108">
                  <c:v>464.76000000000005</c:v>
                </c:pt>
                <c:pt idx="109">
                  <c:v>432</c:v>
                </c:pt>
                <c:pt idx="110">
                  <c:v>418.92000000000007</c:v>
                </c:pt>
                <c:pt idx="111">
                  <c:v>408.48</c:v>
                </c:pt>
                <c:pt idx="112">
                  <c:v>407.52</c:v>
                </c:pt>
                <c:pt idx="113">
                  <c:v>422.15999999999997</c:v>
                </c:pt>
                <c:pt idx="114">
                  <c:v>413.15999999999997</c:v>
                </c:pt>
                <c:pt idx="115">
                  <c:v>390.6</c:v>
                </c:pt>
                <c:pt idx="116">
                  <c:v>367.2</c:v>
                </c:pt>
                <c:pt idx="117">
                  <c:v>327.96</c:v>
                </c:pt>
                <c:pt idx="118">
                  <c:v>302.39999999999998</c:v>
                </c:pt>
                <c:pt idx="119">
                  <c:v>272.52</c:v>
                </c:pt>
                <c:pt idx="120">
                  <c:v>262.68</c:v>
                </c:pt>
                <c:pt idx="121">
                  <c:v>244.92000000000002</c:v>
                </c:pt>
                <c:pt idx="122">
                  <c:v>231.95999999999998</c:v>
                </c:pt>
                <c:pt idx="123">
                  <c:v>238.08000000000004</c:v>
                </c:pt>
                <c:pt idx="124">
                  <c:v>229.07999999999998</c:v>
                </c:pt>
                <c:pt idx="125">
                  <c:v>216.48000000000002</c:v>
                </c:pt>
                <c:pt idx="126">
                  <c:v>204.60000000000005</c:v>
                </c:pt>
                <c:pt idx="127">
                  <c:v>194.28000000000003</c:v>
                </c:pt>
                <c:pt idx="128">
                  <c:v>191.64</c:v>
                </c:pt>
                <c:pt idx="129">
                  <c:v>213.84</c:v>
                </c:pt>
                <c:pt idx="130">
                  <c:v>232.92000000000002</c:v>
                </c:pt>
                <c:pt idx="131">
                  <c:v>251.27999999999997</c:v>
                </c:pt>
                <c:pt idx="132">
                  <c:v>256.08</c:v>
                </c:pt>
                <c:pt idx="133">
                  <c:v>260.88</c:v>
                </c:pt>
                <c:pt idx="134">
                  <c:v>255.11999999999998</c:v>
                </c:pt>
                <c:pt idx="135">
                  <c:v>260.04000000000002</c:v>
                </c:pt>
                <c:pt idx="136">
                  <c:v>274.43999999999994</c:v>
                </c:pt>
                <c:pt idx="137">
                  <c:v>284.28000000000003</c:v>
                </c:pt>
                <c:pt idx="138">
                  <c:v>302.64</c:v>
                </c:pt>
                <c:pt idx="139">
                  <c:v>299.52</c:v>
                </c:pt>
                <c:pt idx="140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23-47E2-B272-AB259A060869}"/>
            </c:ext>
          </c:extLst>
        </c:ser>
        <c:ser>
          <c:idx val="4"/>
          <c:order val="4"/>
          <c:tx>
            <c:strRef>
              <c:f>'Earnings-Quarterly'!$R$1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'Earnings-Quarterly'!$R$2:$R$145</c:f>
              <c:numCache>
                <c:formatCode>#,##0.00</c:formatCode>
                <c:ptCount val="144"/>
                <c:pt idx="0">
                  <c:v>3139.4059690603149</c:v>
                </c:pt>
                <c:pt idx="1">
                  <c:v>3067.7369470863869</c:v>
                </c:pt>
                <c:pt idx="2">
                  <c:v>2989.303207968303</c:v>
                </c:pt>
                <c:pt idx="3">
                  <c:v>2857.786817400603</c:v>
                </c:pt>
                <c:pt idx="4">
                  <c:v>2804.2025008713731</c:v>
                </c:pt>
                <c:pt idx="5">
                  <c:v>2858.6999276389206</c:v>
                </c:pt>
                <c:pt idx="6">
                  <c:v>2883.9</c:v>
                </c:pt>
                <c:pt idx="7">
                  <c:v>2968.6500000000005</c:v>
                </c:pt>
                <c:pt idx="8">
                  <c:v>2968.05</c:v>
                </c:pt>
                <c:pt idx="9">
                  <c:v>2630.55</c:v>
                </c:pt>
                <c:pt idx="10">
                  <c:v>2381.3999999999996</c:v>
                </c:pt>
                <c:pt idx="11">
                  <c:v>1922.9999999999998</c:v>
                </c:pt>
                <c:pt idx="12">
                  <c:v>1411.9499999999998</c:v>
                </c:pt>
                <c:pt idx="13">
                  <c:v>1473.3</c:v>
                </c:pt>
                <c:pt idx="14">
                  <c:v>1488.4500000000003</c:v>
                </c:pt>
                <c:pt idx="15">
                  <c:v>1744.9500000000003</c:v>
                </c:pt>
                <c:pt idx="16">
                  <c:v>2092.0500000000002</c:v>
                </c:pt>
                <c:pt idx="17">
                  <c:v>1993.5</c:v>
                </c:pt>
                <c:pt idx="18">
                  <c:v>2029.0499999999997</c:v>
                </c:pt>
                <c:pt idx="19">
                  <c:v>2015.85</c:v>
                </c:pt>
                <c:pt idx="20">
                  <c:v>1985.85</c:v>
                </c:pt>
                <c:pt idx="21">
                  <c:v>1955.8500000000001</c:v>
                </c:pt>
                <c:pt idx="22">
                  <c:v>1837.2</c:v>
                </c:pt>
                <c:pt idx="23">
                  <c:v>1731.6000000000001</c:v>
                </c:pt>
                <c:pt idx="24">
                  <c:v>1648.1999999999998</c:v>
                </c:pt>
                <c:pt idx="25">
                  <c:v>1606.2</c:v>
                </c:pt>
                <c:pt idx="26">
                  <c:v>1560.3</c:v>
                </c:pt>
                <c:pt idx="27">
                  <c:v>1504.3500000000001</c:v>
                </c:pt>
                <c:pt idx="28">
                  <c:v>1418.25</c:v>
                </c:pt>
                <c:pt idx="29">
                  <c:v>1336.3500000000001</c:v>
                </c:pt>
                <c:pt idx="30">
                  <c:v>1303.8</c:v>
                </c:pt>
                <c:pt idx="31">
                  <c:v>1296.5999999999999</c:v>
                </c:pt>
                <c:pt idx="32">
                  <c:v>1297.95</c:v>
                </c:pt>
                <c:pt idx="33">
                  <c:v>1359.8999999999999</c:v>
                </c:pt>
                <c:pt idx="34">
                  <c:v>1423.6499999999999</c:v>
                </c:pt>
                <c:pt idx="35">
                  <c:v>1488.75</c:v>
                </c:pt>
                <c:pt idx="36">
                  <c:v>1534.65</c:v>
                </c:pt>
                <c:pt idx="37">
                  <c:v>1589.4</c:v>
                </c:pt>
                <c:pt idx="38">
                  <c:v>1546.8000000000002</c:v>
                </c:pt>
                <c:pt idx="39">
                  <c:v>1512.7500000000002</c:v>
                </c:pt>
                <c:pt idx="40">
                  <c:v>1503</c:v>
                </c:pt>
                <c:pt idx="41">
                  <c:v>1415.5500000000002</c:v>
                </c:pt>
                <c:pt idx="42">
                  <c:v>1364.2500000000002</c:v>
                </c:pt>
                <c:pt idx="43">
                  <c:v>1315.5</c:v>
                </c:pt>
                <c:pt idx="44">
                  <c:v>1297.6500000000001</c:v>
                </c:pt>
                <c:pt idx="45">
                  <c:v>1297.5</c:v>
                </c:pt>
                <c:pt idx="46">
                  <c:v>1318.8</c:v>
                </c:pt>
                <c:pt idx="47">
                  <c:v>1328.1</c:v>
                </c:pt>
                <c:pt idx="48">
                  <c:v>1304.2499999999998</c:v>
                </c:pt>
                <c:pt idx="49">
                  <c:v>1304.7</c:v>
                </c:pt>
                <c:pt idx="50">
                  <c:v>1258.05</c:v>
                </c:pt>
                <c:pt idx="51">
                  <c:v>1219.6500000000001</c:v>
                </c:pt>
                <c:pt idx="52">
                  <c:v>1160.25</c:v>
                </c:pt>
                <c:pt idx="53">
                  <c:v>1077.9000000000001</c:v>
                </c:pt>
                <c:pt idx="54">
                  <c:v>1006.4999999999999</c:v>
                </c:pt>
                <c:pt idx="55">
                  <c:v>913.94999999999993</c:v>
                </c:pt>
                <c:pt idx="56">
                  <c:v>764.55</c:v>
                </c:pt>
                <c:pt idx="57">
                  <c:v>188.1</c:v>
                </c:pt>
                <c:pt idx="58">
                  <c:v>112.65000000000002</c:v>
                </c:pt>
                <c:pt idx="59">
                  <c:v>102.89999999999999</c:v>
                </c:pt>
                <c:pt idx="60">
                  <c:v>223.2</c:v>
                </c:pt>
                <c:pt idx="61">
                  <c:v>689.24999999999989</c:v>
                </c:pt>
                <c:pt idx="62">
                  <c:v>770.55</c:v>
                </c:pt>
                <c:pt idx="63">
                  <c:v>905.86116472084404</c:v>
                </c:pt>
                <c:pt idx="64">
                  <c:v>992.71116472084395</c:v>
                </c:pt>
                <c:pt idx="65">
                  <c:v>1179.0111647208439</c:v>
                </c:pt>
                <c:pt idx="66">
                  <c:v>1273.8111647208439</c:v>
                </c:pt>
                <c:pt idx="67">
                  <c:v>1247.2499999999998</c:v>
                </c:pt>
                <c:pt idx="68">
                  <c:v>1222.6499999999999</c:v>
                </c:pt>
                <c:pt idx="69">
                  <c:v>1178.55</c:v>
                </c:pt>
                <c:pt idx="70">
                  <c:v>1117.3499999999999</c:v>
                </c:pt>
                <c:pt idx="71">
                  <c:v>1090.05</c:v>
                </c:pt>
                <c:pt idx="72">
                  <c:v>1047.45</c:v>
                </c:pt>
                <c:pt idx="73">
                  <c:v>997.05</c:v>
                </c:pt>
                <c:pt idx="74">
                  <c:v>948.9</c:v>
                </c:pt>
                <c:pt idx="75">
                  <c:v>903.3</c:v>
                </c:pt>
                <c:pt idx="76">
                  <c:v>878.25</c:v>
                </c:pt>
                <c:pt idx="77">
                  <c:v>866.55</c:v>
                </c:pt>
                <c:pt idx="78">
                  <c:v>842.25000000000011</c:v>
                </c:pt>
                <c:pt idx="79">
                  <c:v>780</c:v>
                </c:pt>
                <c:pt idx="80">
                  <c:v>731.1</c:v>
                </c:pt>
                <c:pt idx="81">
                  <c:v>578.69999999999993</c:v>
                </c:pt>
                <c:pt idx="82">
                  <c:v>518.25</c:v>
                </c:pt>
                <c:pt idx="83">
                  <c:v>454.8</c:v>
                </c:pt>
                <c:pt idx="84">
                  <c:v>413.84999999999997</c:v>
                </c:pt>
                <c:pt idx="85">
                  <c:v>450.59999999999991</c:v>
                </c:pt>
                <c:pt idx="86">
                  <c:v>401.09999999999997</c:v>
                </c:pt>
                <c:pt idx="87">
                  <c:v>370.50000000000006</c:v>
                </c:pt>
                <c:pt idx="88">
                  <c:v>370.34999999999997</c:v>
                </c:pt>
                <c:pt idx="89">
                  <c:v>424.65000000000003</c:v>
                </c:pt>
                <c:pt idx="90">
                  <c:v>551.85</c:v>
                </c:pt>
                <c:pt idx="91">
                  <c:v>681.59999999999991</c:v>
                </c:pt>
                <c:pt idx="92">
                  <c:v>750.00000000000011</c:v>
                </c:pt>
                <c:pt idx="93">
                  <c:v>805.5</c:v>
                </c:pt>
                <c:pt idx="94">
                  <c:v>778.8</c:v>
                </c:pt>
                <c:pt idx="95">
                  <c:v>764.24999999999989</c:v>
                </c:pt>
                <c:pt idx="96">
                  <c:v>722.55000000000007</c:v>
                </c:pt>
                <c:pt idx="97">
                  <c:v>659.4</c:v>
                </c:pt>
                <c:pt idx="98">
                  <c:v>615.30000000000007</c:v>
                </c:pt>
                <c:pt idx="99">
                  <c:v>575.70000000000005</c:v>
                </c:pt>
                <c:pt idx="100">
                  <c:v>565.65</c:v>
                </c:pt>
                <c:pt idx="101">
                  <c:v>571.34999999999991</c:v>
                </c:pt>
                <c:pt idx="102">
                  <c:v>584.54999999999984</c:v>
                </c:pt>
                <c:pt idx="103">
                  <c:v>593.09999999999991</c:v>
                </c:pt>
                <c:pt idx="104">
                  <c:v>595.79999999999995</c:v>
                </c:pt>
                <c:pt idx="105">
                  <c:v>609.6</c:v>
                </c:pt>
                <c:pt idx="106">
                  <c:v>608.25</c:v>
                </c:pt>
                <c:pt idx="107">
                  <c:v>603.6</c:v>
                </c:pt>
                <c:pt idx="108">
                  <c:v>580.95000000000005</c:v>
                </c:pt>
                <c:pt idx="109">
                  <c:v>540</c:v>
                </c:pt>
                <c:pt idx="110">
                  <c:v>523.65000000000009</c:v>
                </c:pt>
                <c:pt idx="111">
                  <c:v>510.59999999999997</c:v>
                </c:pt>
                <c:pt idx="112">
                  <c:v>509.40000000000003</c:v>
                </c:pt>
                <c:pt idx="113">
                  <c:v>527.70000000000005</c:v>
                </c:pt>
                <c:pt idx="114">
                  <c:v>516.45000000000005</c:v>
                </c:pt>
                <c:pt idx="115">
                  <c:v>488.25000000000006</c:v>
                </c:pt>
                <c:pt idx="116">
                  <c:v>458.99999999999994</c:v>
                </c:pt>
                <c:pt idx="117">
                  <c:v>409.95</c:v>
                </c:pt>
                <c:pt idx="118">
                  <c:v>378</c:v>
                </c:pt>
                <c:pt idx="119">
                  <c:v>340.65000000000003</c:v>
                </c:pt>
                <c:pt idx="120">
                  <c:v>328.35</c:v>
                </c:pt>
                <c:pt idx="121">
                  <c:v>306.14999999999998</c:v>
                </c:pt>
                <c:pt idx="122">
                  <c:v>289.95</c:v>
                </c:pt>
                <c:pt idx="123">
                  <c:v>297.60000000000002</c:v>
                </c:pt>
                <c:pt idx="124">
                  <c:v>286.35000000000002</c:v>
                </c:pt>
                <c:pt idx="125">
                  <c:v>270.60000000000002</c:v>
                </c:pt>
                <c:pt idx="126">
                  <c:v>255.75000000000006</c:v>
                </c:pt>
                <c:pt idx="127">
                  <c:v>242.85000000000002</c:v>
                </c:pt>
                <c:pt idx="128">
                  <c:v>239.54999999999998</c:v>
                </c:pt>
                <c:pt idx="129">
                  <c:v>267.3</c:v>
                </c:pt>
                <c:pt idx="130">
                  <c:v>291.14999999999998</c:v>
                </c:pt>
                <c:pt idx="131">
                  <c:v>314.09999999999997</c:v>
                </c:pt>
                <c:pt idx="132">
                  <c:v>320.10000000000002</c:v>
                </c:pt>
                <c:pt idx="133">
                  <c:v>326.10000000000002</c:v>
                </c:pt>
                <c:pt idx="134">
                  <c:v>318.89999999999998</c:v>
                </c:pt>
                <c:pt idx="135">
                  <c:v>325.05</c:v>
                </c:pt>
                <c:pt idx="136">
                  <c:v>343.04999999999995</c:v>
                </c:pt>
                <c:pt idx="137">
                  <c:v>355.35</c:v>
                </c:pt>
                <c:pt idx="138">
                  <c:v>378.29999999999995</c:v>
                </c:pt>
                <c:pt idx="139">
                  <c:v>374.4</c:v>
                </c:pt>
                <c:pt idx="140">
                  <c:v>356.25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923-47E2-B272-AB259A060869}"/>
            </c:ext>
          </c:extLst>
        </c:ser>
        <c:ser>
          <c:idx val="6"/>
          <c:order val="5"/>
          <c:tx>
            <c:strRef>
              <c:f>'Earnings-Quarterly'!$T$1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6350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'Earnings-Quarterly'!$T$2:$T$145</c:f>
              <c:numCache>
                <c:formatCode>#,##0.00</c:formatCode>
                <c:ptCount val="144"/>
                <c:pt idx="0">
                  <c:v>3767.2871628723778</c:v>
                </c:pt>
                <c:pt idx="1">
                  <c:v>3681.2843365036642</c:v>
                </c:pt>
                <c:pt idx="2">
                  <c:v>3587.1638495619636</c:v>
                </c:pt>
                <c:pt idx="3">
                  <c:v>3429.3441808807238</c:v>
                </c:pt>
                <c:pt idx="4">
                  <c:v>3365.0430010456475</c:v>
                </c:pt>
                <c:pt idx="5">
                  <c:v>3430.4399131667051</c:v>
                </c:pt>
                <c:pt idx="6">
                  <c:v>3460.6800000000003</c:v>
                </c:pt>
                <c:pt idx="7">
                  <c:v>3562.3800000000006</c:v>
                </c:pt>
                <c:pt idx="8">
                  <c:v>3561.66</c:v>
                </c:pt>
                <c:pt idx="9">
                  <c:v>3156.66</c:v>
                </c:pt>
                <c:pt idx="10">
                  <c:v>2857.68</c:v>
                </c:pt>
                <c:pt idx="11">
                  <c:v>2307.6</c:v>
                </c:pt>
                <c:pt idx="12">
                  <c:v>1694.34</c:v>
                </c:pt>
                <c:pt idx="13">
                  <c:v>1767.96</c:v>
                </c:pt>
                <c:pt idx="14">
                  <c:v>1786.1400000000003</c:v>
                </c:pt>
                <c:pt idx="15">
                  <c:v>2093.94</c:v>
                </c:pt>
                <c:pt idx="16">
                  <c:v>2510.4600000000005</c:v>
                </c:pt>
                <c:pt idx="17">
                  <c:v>2392.2000000000003</c:v>
                </c:pt>
                <c:pt idx="18">
                  <c:v>2434.8599999999997</c:v>
                </c:pt>
                <c:pt idx="19">
                  <c:v>2419.0199999999995</c:v>
                </c:pt>
                <c:pt idx="20">
                  <c:v>2383.0199999999995</c:v>
                </c:pt>
                <c:pt idx="21">
                  <c:v>2347.0200000000004</c:v>
                </c:pt>
                <c:pt idx="22">
                  <c:v>2204.64</c:v>
                </c:pt>
                <c:pt idx="23">
                  <c:v>2077.92</c:v>
                </c:pt>
                <c:pt idx="24">
                  <c:v>1977.84</c:v>
                </c:pt>
                <c:pt idx="25">
                  <c:v>1927.44</c:v>
                </c:pt>
                <c:pt idx="26">
                  <c:v>1872.36</c:v>
                </c:pt>
                <c:pt idx="27">
                  <c:v>1805.22</c:v>
                </c:pt>
                <c:pt idx="28">
                  <c:v>1701.8999999999999</c:v>
                </c:pt>
                <c:pt idx="29">
                  <c:v>1603.6200000000001</c:v>
                </c:pt>
                <c:pt idx="30">
                  <c:v>1564.56</c:v>
                </c:pt>
                <c:pt idx="31">
                  <c:v>1555.92</c:v>
                </c:pt>
                <c:pt idx="32">
                  <c:v>1557.54</c:v>
                </c:pt>
                <c:pt idx="33">
                  <c:v>1631.8799999999999</c:v>
                </c:pt>
                <c:pt idx="34">
                  <c:v>1708.3799999999999</c:v>
                </c:pt>
                <c:pt idx="35">
                  <c:v>1786.5</c:v>
                </c:pt>
                <c:pt idx="36">
                  <c:v>1841.58</c:v>
                </c:pt>
                <c:pt idx="37">
                  <c:v>1907.2800000000002</c:v>
                </c:pt>
                <c:pt idx="38">
                  <c:v>1856.16</c:v>
                </c:pt>
                <c:pt idx="39">
                  <c:v>1815.3000000000002</c:v>
                </c:pt>
                <c:pt idx="40">
                  <c:v>1803.6000000000001</c:v>
                </c:pt>
                <c:pt idx="41">
                  <c:v>1698.66</c:v>
                </c:pt>
                <c:pt idx="42">
                  <c:v>1637.1000000000004</c:v>
                </c:pt>
                <c:pt idx="43">
                  <c:v>1578.6000000000001</c:v>
                </c:pt>
                <c:pt idx="44">
                  <c:v>1557.18</c:v>
                </c:pt>
                <c:pt idx="45">
                  <c:v>1557</c:v>
                </c:pt>
                <c:pt idx="46">
                  <c:v>1582.56</c:v>
                </c:pt>
                <c:pt idx="47">
                  <c:v>1593.7199999999998</c:v>
                </c:pt>
                <c:pt idx="48">
                  <c:v>1565.1</c:v>
                </c:pt>
                <c:pt idx="49">
                  <c:v>1565.64</c:v>
                </c:pt>
                <c:pt idx="50">
                  <c:v>1509.6599999999999</c:v>
                </c:pt>
                <c:pt idx="51">
                  <c:v>1463.58</c:v>
                </c:pt>
                <c:pt idx="52">
                  <c:v>1392.3</c:v>
                </c:pt>
                <c:pt idx="53">
                  <c:v>1293.4800000000002</c:v>
                </c:pt>
                <c:pt idx="54">
                  <c:v>1207.8</c:v>
                </c:pt>
                <c:pt idx="55">
                  <c:v>1096.7399999999998</c:v>
                </c:pt>
                <c:pt idx="56">
                  <c:v>917.46</c:v>
                </c:pt>
                <c:pt idx="57">
                  <c:v>225.71999999999997</c:v>
                </c:pt>
                <c:pt idx="58">
                  <c:v>135.18000000000004</c:v>
                </c:pt>
                <c:pt idx="59">
                  <c:v>123.47999999999999</c:v>
                </c:pt>
                <c:pt idx="60">
                  <c:v>267.83999999999997</c:v>
                </c:pt>
                <c:pt idx="61">
                  <c:v>827.09999999999991</c:v>
                </c:pt>
                <c:pt idx="62">
                  <c:v>924.66</c:v>
                </c:pt>
                <c:pt idx="63">
                  <c:v>1087.0333976650129</c:v>
                </c:pt>
                <c:pt idx="64">
                  <c:v>1191.2533976650127</c:v>
                </c:pt>
                <c:pt idx="65">
                  <c:v>1414.8133976650129</c:v>
                </c:pt>
                <c:pt idx="66">
                  <c:v>1528.5733976650126</c:v>
                </c:pt>
                <c:pt idx="67">
                  <c:v>1496.6999999999998</c:v>
                </c:pt>
                <c:pt idx="68">
                  <c:v>1467.1799999999998</c:v>
                </c:pt>
                <c:pt idx="69">
                  <c:v>1414.2599999999998</c:v>
                </c:pt>
                <c:pt idx="70">
                  <c:v>1340.82</c:v>
                </c:pt>
                <c:pt idx="71">
                  <c:v>1308.06</c:v>
                </c:pt>
                <c:pt idx="72">
                  <c:v>1256.94</c:v>
                </c:pt>
                <c:pt idx="73">
                  <c:v>1196.46</c:v>
                </c:pt>
                <c:pt idx="74">
                  <c:v>1138.68</c:v>
                </c:pt>
                <c:pt idx="75">
                  <c:v>1083.96</c:v>
                </c:pt>
                <c:pt idx="76">
                  <c:v>1053.8999999999999</c:v>
                </c:pt>
                <c:pt idx="77">
                  <c:v>1039.8599999999999</c:v>
                </c:pt>
                <c:pt idx="78">
                  <c:v>1010.7</c:v>
                </c:pt>
                <c:pt idx="79">
                  <c:v>936</c:v>
                </c:pt>
                <c:pt idx="80">
                  <c:v>877.32</c:v>
                </c:pt>
                <c:pt idx="81">
                  <c:v>694.43999999999994</c:v>
                </c:pt>
                <c:pt idx="82">
                  <c:v>621.9</c:v>
                </c:pt>
                <c:pt idx="83">
                  <c:v>545.76</c:v>
                </c:pt>
                <c:pt idx="84">
                  <c:v>496.61999999999995</c:v>
                </c:pt>
                <c:pt idx="85">
                  <c:v>540.71999999999991</c:v>
                </c:pt>
                <c:pt idx="86">
                  <c:v>481.32</c:v>
                </c:pt>
                <c:pt idx="87">
                  <c:v>444.6</c:v>
                </c:pt>
                <c:pt idx="88">
                  <c:v>444.41999999999996</c:v>
                </c:pt>
                <c:pt idx="89">
                  <c:v>509.58000000000004</c:v>
                </c:pt>
                <c:pt idx="90">
                  <c:v>662.22</c:v>
                </c:pt>
                <c:pt idx="91">
                  <c:v>817.92</c:v>
                </c:pt>
                <c:pt idx="92">
                  <c:v>900.00000000000011</c:v>
                </c:pt>
                <c:pt idx="93">
                  <c:v>966.6</c:v>
                </c:pt>
                <c:pt idx="94">
                  <c:v>934.56</c:v>
                </c:pt>
                <c:pt idx="95">
                  <c:v>917.09999999999991</c:v>
                </c:pt>
                <c:pt idx="96">
                  <c:v>867.06000000000006</c:v>
                </c:pt>
                <c:pt idx="97">
                  <c:v>791.28</c:v>
                </c:pt>
                <c:pt idx="98">
                  <c:v>738.36</c:v>
                </c:pt>
                <c:pt idx="99">
                  <c:v>690.84</c:v>
                </c:pt>
                <c:pt idx="100">
                  <c:v>678.78</c:v>
                </c:pt>
                <c:pt idx="101">
                  <c:v>685.61999999999989</c:v>
                </c:pt>
                <c:pt idx="102">
                  <c:v>701.45999999999981</c:v>
                </c:pt>
                <c:pt idx="103">
                  <c:v>711.7199999999998</c:v>
                </c:pt>
                <c:pt idx="104">
                  <c:v>714.96</c:v>
                </c:pt>
                <c:pt idx="105">
                  <c:v>731.52</c:v>
                </c:pt>
                <c:pt idx="106">
                  <c:v>729.9</c:v>
                </c:pt>
                <c:pt idx="107">
                  <c:v>724.32</c:v>
                </c:pt>
                <c:pt idx="108">
                  <c:v>697.1400000000001</c:v>
                </c:pt>
                <c:pt idx="109">
                  <c:v>648</c:v>
                </c:pt>
                <c:pt idx="110">
                  <c:v>628.38000000000011</c:v>
                </c:pt>
                <c:pt idx="111">
                  <c:v>612.72</c:v>
                </c:pt>
                <c:pt idx="112">
                  <c:v>611.28</c:v>
                </c:pt>
                <c:pt idx="113">
                  <c:v>633.24</c:v>
                </c:pt>
                <c:pt idx="114">
                  <c:v>619.74</c:v>
                </c:pt>
                <c:pt idx="115">
                  <c:v>585.90000000000009</c:v>
                </c:pt>
                <c:pt idx="116">
                  <c:v>550.79999999999995</c:v>
                </c:pt>
                <c:pt idx="117">
                  <c:v>491.93999999999994</c:v>
                </c:pt>
                <c:pt idx="118">
                  <c:v>453.59999999999997</c:v>
                </c:pt>
                <c:pt idx="119">
                  <c:v>408.78000000000003</c:v>
                </c:pt>
                <c:pt idx="120">
                  <c:v>394.02</c:v>
                </c:pt>
                <c:pt idx="121">
                  <c:v>367.38</c:v>
                </c:pt>
                <c:pt idx="122">
                  <c:v>347.93999999999994</c:v>
                </c:pt>
                <c:pt idx="123">
                  <c:v>357.12000000000006</c:v>
                </c:pt>
                <c:pt idx="124">
                  <c:v>343.62</c:v>
                </c:pt>
                <c:pt idx="125">
                  <c:v>324.72000000000003</c:v>
                </c:pt>
                <c:pt idx="126">
                  <c:v>306.90000000000009</c:v>
                </c:pt>
                <c:pt idx="127">
                  <c:v>291.42</c:v>
                </c:pt>
                <c:pt idx="128">
                  <c:v>287.45999999999998</c:v>
                </c:pt>
                <c:pt idx="129">
                  <c:v>320.76</c:v>
                </c:pt>
                <c:pt idx="130">
                  <c:v>349.38</c:v>
                </c:pt>
                <c:pt idx="131">
                  <c:v>376.91999999999996</c:v>
                </c:pt>
                <c:pt idx="132">
                  <c:v>384.12</c:v>
                </c:pt>
                <c:pt idx="133">
                  <c:v>391.32000000000005</c:v>
                </c:pt>
                <c:pt idx="134">
                  <c:v>382.67999999999995</c:v>
                </c:pt>
                <c:pt idx="135">
                  <c:v>390.06000000000006</c:v>
                </c:pt>
                <c:pt idx="136">
                  <c:v>411.65999999999997</c:v>
                </c:pt>
                <c:pt idx="137">
                  <c:v>426.42</c:v>
                </c:pt>
                <c:pt idx="138">
                  <c:v>453.96</c:v>
                </c:pt>
                <c:pt idx="139">
                  <c:v>449.28</c:v>
                </c:pt>
                <c:pt idx="140">
                  <c:v>427.5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923-47E2-B272-AB259A060869}"/>
            </c:ext>
          </c:extLst>
        </c:ser>
        <c:ser>
          <c:idx val="7"/>
          <c:order val="6"/>
          <c:tx>
            <c:strRef>
              <c:f>'Earnings-Quarterly'!$U$1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'Earnings-Quarterly'!$U$2:$U$145</c:f>
              <c:numCache>
                <c:formatCode>#,##0.00</c:formatCode>
                <c:ptCount val="144"/>
                <c:pt idx="0">
                  <c:v>4395.1683566844404</c:v>
                </c:pt>
                <c:pt idx="1">
                  <c:v>4294.8317259209416</c:v>
                </c:pt>
                <c:pt idx="2">
                  <c:v>4185.0244911556238</c:v>
                </c:pt>
                <c:pt idx="3">
                  <c:v>4000.9015443608446</c:v>
                </c:pt>
                <c:pt idx="4">
                  <c:v>3925.883501219922</c:v>
                </c:pt>
                <c:pt idx="5">
                  <c:v>4002.1798986944891</c:v>
                </c:pt>
                <c:pt idx="6">
                  <c:v>4037.4600000000005</c:v>
                </c:pt>
                <c:pt idx="7">
                  <c:v>4156.1100000000006</c:v>
                </c:pt>
                <c:pt idx="8">
                  <c:v>4155.2700000000004</c:v>
                </c:pt>
                <c:pt idx="9">
                  <c:v>3682.77</c:v>
                </c:pt>
                <c:pt idx="10">
                  <c:v>3333.96</c:v>
                </c:pt>
                <c:pt idx="11">
                  <c:v>2692.2</c:v>
                </c:pt>
                <c:pt idx="12">
                  <c:v>1976.73</c:v>
                </c:pt>
                <c:pt idx="13">
                  <c:v>2062.62</c:v>
                </c:pt>
                <c:pt idx="14">
                  <c:v>2083.8300000000004</c:v>
                </c:pt>
                <c:pt idx="15">
                  <c:v>2442.9300000000003</c:v>
                </c:pt>
                <c:pt idx="16">
                  <c:v>2928.8700000000008</c:v>
                </c:pt>
                <c:pt idx="17">
                  <c:v>2790.9</c:v>
                </c:pt>
                <c:pt idx="18">
                  <c:v>2840.6699999999996</c:v>
                </c:pt>
                <c:pt idx="19">
                  <c:v>2822.1899999999996</c:v>
                </c:pt>
                <c:pt idx="20">
                  <c:v>2780.1899999999996</c:v>
                </c:pt>
                <c:pt idx="21">
                  <c:v>2738.1900000000005</c:v>
                </c:pt>
                <c:pt idx="22">
                  <c:v>2572.08</c:v>
                </c:pt>
                <c:pt idx="23">
                  <c:v>2424.2400000000002</c:v>
                </c:pt>
                <c:pt idx="24">
                  <c:v>2307.48</c:v>
                </c:pt>
                <c:pt idx="25">
                  <c:v>2248.6799999999998</c:v>
                </c:pt>
                <c:pt idx="26">
                  <c:v>2184.42</c:v>
                </c:pt>
                <c:pt idx="27">
                  <c:v>2106.09</c:v>
                </c:pt>
                <c:pt idx="28">
                  <c:v>1985.55</c:v>
                </c:pt>
                <c:pt idx="29">
                  <c:v>1870.89</c:v>
                </c:pt>
                <c:pt idx="30">
                  <c:v>1825.32</c:v>
                </c:pt>
                <c:pt idx="31">
                  <c:v>1815.24</c:v>
                </c:pt>
                <c:pt idx="32">
                  <c:v>1817.13</c:v>
                </c:pt>
                <c:pt idx="33">
                  <c:v>1903.86</c:v>
                </c:pt>
                <c:pt idx="34">
                  <c:v>1993.11</c:v>
                </c:pt>
                <c:pt idx="35">
                  <c:v>2084.25</c:v>
                </c:pt>
                <c:pt idx="36">
                  <c:v>2148.5100000000002</c:v>
                </c:pt>
                <c:pt idx="37">
                  <c:v>2225.1600000000003</c:v>
                </c:pt>
                <c:pt idx="38">
                  <c:v>2165.52</c:v>
                </c:pt>
                <c:pt idx="39">
                  <c:v>2117.8500000000004</c:v>
                </c:pt>
                <c:pt idx="40">
                  <c:v>2104.2000000000003</c:v>
                </c:pt>
                <c:pt idx="41">
                  <c:v>1981.77</c:v>
                </c:pt>
                <c:pt idx="42">
                  <c:v>1909.9500000000003</c:v>
                </c:pt>
                <c:pt idx="43">
                  <c:v>1841.7</c:v>
                </c:pt>
                <c:pt idx="44">
                  <c:v>1816.71</c:v>
                </c:pt>
                <c:pt idx="45">
                  <c:v>1816.5</c:v>
                </c:pt>
                <c:pt idx="46">
                  <c:v>1846.32</c:v>
                </c:pt>
                <c:pt idx="47">
                  <c:v>1859.34</c:v>
                </c:pt>
                <c:pt idx="48">
                  <c:v>1825.9499999999998</c:v>
                </c:pt>
                <c:pt idx="49">
                  <c:v>1826.5800000000002</c:v>
                </c:pt>
                <c:pt idx="50">
                  <c:v>1761.2699999999998</c:v>
                </c:pt>
                <c:pt idx="51">
                  <c:v>1707.51</c:v>
                </c:pt>
                <c:pt idx="52">
                  <c:v>1624.35</c:v>
                </c:pt>
                <c:pt idx="53">
                  <c:v>1509.0600000000004</c:v>
                </c:pt>
                <c:pt idx="54">
                  <c:v>1409.1</c:v>
                </c:pt>
                <c:pt idx="55">
                  <c:v>1279.5299999999997</c:v>
                </c:pt>
                <c:pt idx="56">
                  <c:v>1070.3699999999999</c:v>
                </c:pt>
                <c:pt idx="57">
                  <c:v>263.33999999999997</c:v>
                </c:pt>
                <c:pt idx="58">
                  <c:v>157.71000000000004</c:v>
                </c:pt>
                <c:pt idx="59">
                  <c:v>144.06</c:v>
                </c:pt>
                <c:pt idx="60">
                  <c:v>312.47999999999996</c:v>
                </c:pt>
                <c:pt idx="61">
                  <c:v>964.94999999999993</c:v>
                </c:pt>
                <c:pt idx="62">
                  <c:v>1078.77</c:v>
                </c:pt>
                <c:pt idx="63">
                  <c:v>1268.2056306091818</c:v>
                </c:pt>
                <c:pt idx="64">
                  <c:v>1389.7956306091814</c:v>
                </c:pt>
                <c:pt idx="65">
                  <c:v>1650.6156306091816</c:v>
                </c:pt>
                <c:pt idx="66">
                  <c:v>1783.3356306091814</c:v>
                </c:pt>
                <c:pt idx="67">
                  <c:v>1746.1499999999999</c:v>
                </c:pt>
                <c:pt idx="68">
                  <c:v>1711.7099999999998</c:v>
                </c:pt>
                <c:pt idx="69">
                  <c:v>1649.9699999999998</c:v>
                </c:pt>
                <c:pt idx="70">
                  <c:v>1564.29</c:v>
                </c:pt>
                <c:pt idx="71">
                  <c:v>1526.07</c:v>
                </c:pt>
                <c:pt idx="72">
                  <c:v>1466.43</c:v>
                </c:pt>
                <c:pt idx="73">
                  <c:v>1395.87</c:v>
                </c:pt>
                <c:pt idx="74">
                  <c:v>1328.46</c:v>
                </c:pt>
                <c:pt idx="75">
                  <c:v>1264.6199999999999</c:v>
                </c:pt>
                <c:pt idx="76">
                  <c:v>1229.55</c:v>
                </c:pt>
                <c:pt idx="77">
                  <c:v>1213.1699999999998</c:v>
                </c:pt>
                <c:pt idx="78">
                  <c:v>1179.1500000000001</c:v>
                </c:pt>
                <c:pt idx="79">
                  <c:v>1092</c:v>
                </c:pt>
                <c:pt idx="80">
                  <c:v>1023.5400000000001</c:v>
                </c:pt>
                <c:pt idx="81">
                  <c:v>810.18</c:v>
                </c:pt>
                <c:pt idx="82">
                  <c:v>725.55</c:v>
                </c:pt>
                <c:pt idx="83">
                  <c:v>636.72</c:v>
                </c:pt>
                <c:pt idx="84">
                  <c:v>579.38999999999987</c:v>
                </c:pt>
                <c:pt idx="85">
                  <c:v>630.83999999999992</c:v>
                </c:pt>
                <c:pt idx="86">
                  <c:v>561.54</c:v>
                </c:pt>
                <c:pt idx="87">
                  <c:v>518.70000000000005</c:v>
                </c:pt>
                <c:pt idx="88">
                  <c:v>518.49</c:v>
                </c:pt>
                <c:pt idx="89">
                  <c:v>594.51</c:v>
                </c:pt>
                <c:pt idx="90">
                  <c:v>772.59</c:v>
                </c:pt>
                <c:pt idx="91">
                  <c:v>954.24</c:v>
                </c:pt>
                <c:pt idx="92">
                  <c:v>1050.0000000000002</c:v>
                </c:pt>
                <c:pt idx="93">
                  <c:v>1127.7</c:v>
                </c:pt>
                <c:pt idx="94">
                  <c:v>1090.32</c:v>
                </c:pt>
                <c:pt idx="95">
                  <c:v>1069.9499999999998</c:v>
                </c:pt>
                <c:pt idx="96">
                  <c:v>1011.57</c:v>
                </c:pt>
                <c:pt idx="97">
                  <c:v>923.16</c:v>
                </c:pt>
                <c:pt idx="98">
                  <c:v>861.42000000000007</c:v>
                </c:pt>
                <c:pt idx="99">
                  <c:v>805.98</c:v>
                </c:pt>
                <c:pt idx="100">
                  <c:v>791.91</c:v>
                </c:pt>
                <c:pt idx="101">
                  <c:v>799.88999999999987</c:v>
                </c:pt>
                <c:pt idx="102">
                  <c:v>818.36999999999978</c:v>
                </c:pt>
                <c:pt idx="103">
                  <c:v>830.3399999999998</c:v>
                </c:pt>
                <c:pt idx="104">
                  <c:v>834.12</c:v>
                </c:pt>
                <c:pt idx="105">
                  <c:v>853.44</c:v>
                </c:pt>
                <c:pt idx="106">
                  <c:v>851.55</c:v>
                </c:pt>
                <c:pt idx="107">
                  <c:v>845.04000000000008</c:v>
                </c:pt>
                <c:pt idx="108">
                  <c:v>813.33</c:v>
                </c:pt>
                <c:pt idx="109">
                  <c:v>756</c:v>
                </c:pt>
                <c:pt idx="110">
                  <c:v>733.11000000000013</c:v>
                </c:pt>
                <c:pt idx="111">
                  <c:v>714.84</c:v>
                </c:pt>
                <c:pt idx="112">
                  <c:v>713.16</c:v>
                </c:pt>
                <c:pt idx="113">
                  <c:v>738.78</c:v>
                </c:pt>
                <c:pt idx="114">
                  <c:v>723.03</c:v>
                </c:pt>
                <c:pt idx="115">
                  <c:v>683.55000000000007</c:v>
                </c:pt>
                <c:pt idx="116">
                  <c:v>642.59999999999991</c:v>
                </c:pt>
                <c:pt idx="117">
                  <c:v>573.92999999999995</c:v>
                </c:pt>
                <c:pt idx="118">
                  <c:v>529.19999999999993</c:v>
                </c:pt>
                <c:pt idx="119">
                  <c:v>476.91</c:v>
                </c:pt>
                <c:pt idx="120">
                  <c:v>459.69</c:v>
                </c:pt>
                <c:pt idx="121">
                  <c:v>428.61</c:v>
                </c:pt>
                <c:pt idx="122">
                  <c:v>405.92999999999995</c:v>
                </c:pt>
                <c:pt idx="123">
                  <c:v>416.6400000000001</c:v>
                </c:pt>
                <c:pt idx="124">
                  <c:v>400.89</c:v>
                </c:pt>
                <c:pt idx="125">
                  <c:v>378.84000000000003</c:v>
                </c:pt>
                <c:pt idx="126">
                  <c:v>358.05000000000007</c:v>
                </c:pt>
                <c:pt idx="127">
                  <c:v>339.99</c:v>
                </c:pt>
                <c:pt idx="128">
                  <c:v>335.37</c:v>
                </c:pt>
                <c:pt idx="129">
                  <c:v>374.22</c:v>
                </c:pt>
                <c:pt idx="130">
                  <c:v>407.61</c:v>
                </c:pt>
                <c:pt idx="131">
                  <c:v>439.73999999999995</c:v>
                </c:pt>
                <c:pt idx="132">
                  <c:v>448.14</c:v>
                </c:pt>
                <c:pt idx="133">
                  <c:v>456.54</c:v>
                </c:pt>
                <c:pt idx="134">
                  <c:v>446.46</c:v>
                </c:pt>
                <c:pt idx="135">
                  <c:v>455.07000000000005</c:v>
                </c:pt>
                <c:pt idx="136">
                  <c:v>480.26999999999992</c:v>
                </c:pt>
                <c:pt idx="137">
                  <c:v>497.49</c:v>
                </c:pt>
                <c:pt idx="138">
                  <c:v>529.62</c:v>
                </c:pt>
                <c:pt idx="139">
                  <c:v>524.16</c:v>
                </c:pt>
                <c:pt idx="140">
                  <c:v>498.75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923-47E2-B272-AB259A060869}"/>
            </c:ext>
          </c:extLst>
        </c:ser>
        <c:ser>
          <c:idx val="8"/>
          <c:order val="7"/>
          <c:tx>
            <c:strRef>
              <c:f>'Earnings-Quarterly'!$V$1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'Earnings-Quarterly'!$V$2:$V$145</c:f>
              <c:numCache>
                <c:formatCode>#,##0.00</c:formatCode>
                <c:ptCount val="144"/>
                <c:pt idx="0">
                  <c:v>5023.0495504965038</c:v>
                </c:pt>
                <c:pt idx="1">
                  <c:v>4908.379115338219</c:v>
                </c:pt>
                <c:pt idx="2">
                  <c:v>4782.8851327492848</c:v>
                </c:pt>
                <c:pt idx="3">
                  <c:v>4572.4589078409654</c:v>
                </c:pt>
                <c:pt idx="4">
                  <c:v>4486.7240013941964</c:v>
                </c:pt>
                <c:pt idx="5">
                  <c:v>4573.9198842222731</c:v>
                </c:pt>
                <c:pt idx="6">
                  <c:v>4614.2400000000007</c:v>
                </c:pt>
                <c:pt idx="7">
                  <c:v>4749.84</c:v>
                </c:pt>
                <c:pt idx="8">
                  <c:v>4748.88</c:v>
                </c:pt>
                <c:pt idx="9">
                  <c:v>4208.88</c:v>
                </c:pt>
                <c:pt idx="10">
                  <c:v>3810.24</c:v>
                </c:pt>
                <c:pt idx="11">
                  <c:v>3076.7999999999997</c:v>
                </c:pt>
                <c:pt idx="12">
                  <c:v>2259.12</c:v>
                </c:pt>
                <c:pt idx="13">
                  <c:v>2357.2799999999997</c:v>
                </c:pt>
                <c:pt idx="14">
                  <c:v>2381.5200000000004</c:v>
                </c:pt>
                <c:pt idx="15">
                  <c:v>2791.92</c:v>
                </c:pt>
                <c:pt idx="16">
                  <c:v>3347.2800000000007</c:v>
                </c:pt>
                <c:pt idx="17">
                  <c:v>3189.6000000000004</c:v>
                </c:pt>
                <c:pt idx="18">
                  <c:v>3246.4799999999996</c:v>
                </c:pt>
                <c:pt idx="19">
                  <c:v>3225.3599999999997</c:v>
                </c:pt>
                <c:pt idx="20">
                  <c:v>3177.3599999999997</c:v>
                </c:pt>
                <c:pt idx="21">
                  <c:v>3129.3600000000006</c:v>
                </c:pt>
                <c:pt idx="22">
                  <c:v>2939.52</c:v>
                </c:pt>
                <c:pt idx="23">
                  <c:v>2770.5600000000004</c:v>
                </c:pt>
                <c:pt idx="24">
                  <c:v>2637.12</c:v>
                </c:pt>
                <c:pt idx="25">
                  <c:v>2569.92</c:v>
                </c:pt>
                <c:pt idx="26">
                  <c:v>2496.48</c:v>
                </c:pt>
                <c:pt idx="27">
                  <c:v>2406.96</c:v>
                </c:pt>
                <c:pt idx="28">
                  <c:v>2269.1999999999998</c:v>
                </c:pt>
                <c:pt idx="29">
                  <c:v>2138.16</c:v>
                </c:pt>
                <c:pt idx="30">
                  <c:v>2086.08</c:v>
                </c:pt>
                <c:pt idx="31">
                  <c:v>2074.56</c:v>
                </c:pt>
                <c:pt idx="32">
                  <c:v>2076.7200000000003</c:v>
                </c:pt>
                <c:pt idx="33">
                  <c:v>2175.84</c:v>
                </c:pt>
                <c:pt idx="34">
                  <c:v>2277.84</c:v>
                </c:pt>
                <c:pt idx="35">
                  <c:v>2382</c:v>
                </c:pt>
                <c:pt idx="36">
                  <c:v>2455.44</c:v>
                </c:pt>
                <c:pt idx="37">
                  <c:v>2543.04</c:v>
                </c:pt>
                <c:pt idx="38">
                  <c:v>2474.88</c:v>
                </c:pt>
                <c:pt idx="39">
                  <c:v>2420.4</c:v>
                </c:pt>
                <c:pt idx="40">
                  <c:v>2404.8000000000002</c:v>
                </c:pt>
                <c:pt idx="41">
                  <c:v>2264.88</c:v>
                </c:pt>
                <c:pt idx="42">
                  <c:v>2182.8000000000002</c:v>
                </c:pt>
                <c:pt idx="43">
                  <c:v>2104.8000000000002</c:v>
                </c:pt>
                <c:pt idx="44">
                  <c:v>2076.2400000000002</c:v>
                </c:pt>
                <c:pt idx="45">
                  <c:v>2076</c:v>
                </c:pt>
                <c:pt idx="46">
                  <c:v>2110.08</c:v>
                </c:pt>
                <c:pt idx="47">
                  <c:v>2124.96</c:v>
                </c:pt>
                <c:pt idx="48">
                  <c:v>2086.7999999999997</c:v>
                </c:pt>
                <c:pt idx="49">
                  <c:v>2087.52</c:v>
                </c:pt>
                <c:pt idx="50">
                  <c:v>2012.8799999999997</c:v>
                </c:pt>
                <c:pt idx="51">
                  <c:v>1951.44</c:v>
                </c:pt>
                <c:pt idx="52">
                  <c:v>1856.3999999999999</c:v>
                </c:pt>
                <c:pt idx="53">
                  <c:v>1724.6400000000003</c:v>
                </c:pt>
                <c:pt idx="54">
                  <c:v>1610.3999999999999</c:v>
                </c:pt>
                <c:pt idx="55">
                  <c:v>1462.3199999999997</c:v>
                </c:pt>
                <c:pt idx="56">
                  <c:v>1223.28</c:v>
                </c:pt>
                <c:pt idx="57">
                  <c:v>300.95999999999998</c:v>
                </c:pt>
                <c:pt idx="58">
                  <c:v>180.24000000000004</c:v>
                </c:pt>
                <c:pt idx="59">
                  <c:v>164.64</c:v>
                </c:pt>
                <c:pt idx="60">
                  <c:v>357.12</c:v>
                </c:pt>
                <c:pt idx="61">
                  <c:v>1102.8</c:v>
                </c:pt>
                <c:pt idx="62">
                  <c:v>1232.8799999999999</c:v>
                </c:pt>
                <c:pt idx="63">
                  <c:v>1449.3778635533504</c:v>
                </c:pt>
                <c:pt idx="64">
                  <c:v>1588.3378635533504</c:v>
                </c:pt>
                <c:pt idx="65">
                  <c:v>1886.4178635533503</c:v>
                </c:pt>
                <c:pt idx="66">
                  <c:v>2038.0978635533502</c:v>
                </c:pt>
                <c:pt idx="67">
                  <c:v>1995.6</c:v>
                </c:pt>
                <c:pt idx="68">
                  <c:v>1956.2399999999998</c:v>
                </c:pt>
                <c:pt idx="69">
                  <c:v>1885.6799999999998</c:v>
                </c:pt>
                <c:pt idx="70">
                  <c:v>1787.7599999999998</c:v>
                </c:pt>
                <c:pt idx="71">
                  <c:v>1744.08</c:v>
                </c:pt>
                <c:pt idx="72">
                  <c:v>1675.92</c:v>
                </c:pt>
                <c:pt idx="73">
                  <c:v>1595.28</c:v>
                </c:pt>
                <c:pt idx="74">
                  <c:v>1518.24</c:v>
                </c:pt>
                <c:pt idx="75">
                  <c:v>1445.28</c:v>
                </c:pt>
                <c:pt idx="76">
                  <c:v>1405.1999999999998</c:v>
                </c:pt>
                <c:pt idx="77">
                  <c:v>1386.48</c:v>
                </c:pt>
                <c:pt idx="78">
                  <c:v>1347.6000000000001</c:v>
                </c:pt>
                <c:pt idx="79">
                  <c:v>1248</c:v>
                </c:pt>
                <c:pt idx="80">
                  <c:v>1169.76</c:v>
                </c:pt>
                <c:pt idx="81">
                  <c:v>925.92</c:v>
                </c:pt>
                <c:pt idx="82">
                  <c:v>829.19999999999993</c:v>
                </c:pt>
                <c:pt idx="83">
                  <c:v>727.68000000000006</c:v>
                </c:pt>
                <c:pt idx="84">
                  <c:v>662.15999999999985</c:v>
                </c:pt>
                <c:pt idx="85">
                  <c:v>720.95999999999992</c:v>
                </c:pt>
                <c:pt idx="86">
                  <c:v>641.76</c:v>
                </c:pt>
                <c:pt idx="87">
                  <c:v>592.80000000000007</c:v>
                </c:pt>
                <c:pt idx="88">
                  <c:v>592.55999999999995</c:v>
                </c:pt>
                <c:pt idx="89">
                  <c:v>679.44</c:v>
                </c:pt>
                <c:pt idx="90">
                  <c:v>882.96</c:v>
                </c:pt>
                <c:pt idx="91">
                  <c:v>1090.56</c:v>
                </c:pt>
                <c:pt idx="92">
                  <c:v>1200.0000000000002</c:v>
                </c:pt>
                <c:pt idx="93">
                  <c:v>1288.8000000000002</c:v>
                </c:pt>
                <c:pt idx="94">
                  <c:v>1246.08</c:v>
                </c:pt>
                <c:pt idx="95">
                  <c:v>1222.8</c:v>
                </c:pt>
                <c:pt idx="96">
                  <c:v>1156.08</c:v>
                </c:pt>
                <c:pt idx="97">
                  <c:v>1055.04</c:v>
                </c:pt>
                <c:pt idx="98">
                  <c:v>984.48</c:v>
                </c:pt>
                <c:pt idx="99">
                  <c:v>921.12000000000012</c:v>
                </c:pt>
                <c:pt idx="100">
                  <c:v>905.04</c:v>
                </c:pt>
                <c:pt idx="101">
                  <c:v>914.15999999999985</c:v>
                </c:pt>
                <c:pt idx="102">
                  <c:v>935.27999999999975</c:v>
                </c:pt>
                <c:pt idx="103">
                  <c:v>948.95999999999981</c:v>
                </c:pt>
                <c:pt idx="104">
                  <c:v>953.28</c:v>
                </c:pt>
                <c:pt idx="105">
                  <c:v>975.36</c:v>
                </c:pt>
                <c:pt idx="106">
                  <c:v>973.19999999999993</c:v>
                </c:pt>
                <c:pt idx="107">
                  <c:v>965.76</c:v>
                </c:pt>
                <c:pt idx="108">
                  <c:v>929.5200000000001</c:v>
                </c:pt>
                <c:pt idx="109">
                  <c:v>864</c:v>
                </c:pt>
                <c:pt idx="110">
                  <c:v>837.84000000000015</c:v>
                </c:pt>
                <c:pt idx="111">
                  <c:v>816.96</c:v>
                </c:pt>
                <c:pt idx="112">
                  <c:v>815.04</c:v>
                </c:pt>
                <c:pt idx="113">
                  <c:v>844.31999999999994</c:v>
                </c:pt>
                <c:pt idx="114">
                  <c:v>826.31999999999994</c:v>
                </c:pt>
                <c:pt idx="115">
                  <c:v>781.2</c:v>
                </c:pt>
                <c:pt idx="116">
                  <c:v>734.4</c:v>
                </c:pt>
                <c:pt idx="117">
                  <c:v>655.92</c:v>
                </c:pt>
                <c:pt idx="118">
                  <c:v>604.79999999999995</c:v>
                </c:pt>
                <c:pt idx="119">
                  <c:v>545.04</c:v>
                </c:pt>
                <c:pt idx="120">
                  <c:v>525.36</c:v>
                </c:pt>
                <c:pt idx="121">
                  <c:v>489.84000000000003</c:v>
                </c:pt>
                <c:pt idx="122">
                  <c:v>463.91999999999996</c:v>
                </c:pt>
                <c:pt idx="123">
                  <c:v>476.16000000000008</c:v>
                </c:pt>
                <c:pt idx="124">
                  <c:v>458.15999999999997</c:v>
                </c:pt>
                <c:pt idx="125">
                  <c:v>432.96000000000004</c:v>
                </c:pt>
                <c:pt idx="126">
                  <c:v>409.2000000000001</c:v>
                </c:pt>
                <c:pt idx="127">
                  <c:v>388.56000000000006</c:v>
                </c:pt>
                <c:pt idx="128">
                  <c:v>383.28</c:v>
                </c:pt>
                <c:pt idx="129">
                  <c:v>427.68</c:v>
                </c:pt>
                <c:pt idx="130">
                  <c:v>465.84000000000003</c:v>
                </c:pt>
                <c:pt idx="131">
                  <c:v>502.55999999999995</c:v>
                </c:pt>
                <c:pt idx="132">
                  <c:v>512.16</c:v>
                </c:pt>
                <c:pt idx="133">
                  <c:v>521.76</c:v>
                </c:pt>
                <c:pt idx="134">
                  <c:v>510.23999999999995</c:v>
                </c:pt>
                <c:pt idx="135">
                  <c:v>520.08000000000004</c:v>
                </c:pt>
                <c:pt idx="136">
                  <c:v>548.87999999999988</c:v>
                </c:pt>
                <c:pt idx="137">
                  <c:v>568.56000000000006</c:v>
                </c:pt>
                <c:pt idx="138">
                  <c:v>605.28</c:v>
                </c:pt>
                <c:pt idx="139">
                  <c:v>599.04</c:v>
                </c:pt>
                <c:pt idx="140">
                  <c:v>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923-47E2-B272-AB259A060869}"/>
            </c:ext>
          </c:extLst>
        </c:ser>
        <c:ser>
          <c:idx val="5"/>
          <c:order val="8"/>
          <c:tx>
            <c:strRef>
              <c:f>'Earnings-Quarterly'!$W$1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FF66CC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66CC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'Earnings-Quarterly'!$W$2:$W$145</c:f>
              <c:numCache>
                <c:formatCode>#,##0.00</c:formatCode>
                <c:ptCount val="144"/>
                <c:pt idx="0">
                  <c:v>5650.9307443085672</c:v>
                </c:pt>
                <c:pt idx="1">
                  <c:v>5521.9265047554964</c:v>
                </c:pt>
                <c:pt idx="2">
                  <c:v>5380.745774342945</c:v>
                </c:pt>
                <c:pt idx="3">
                  <c:v>5144.0162713210857</c:v>
                </c:pt>
                <c:pt idx="4">
                  <c:v>5047.5645015684713</c:v>
                </c:pt>
                <c:pt idx="5">
                  <c:v>5145.6598697500576</c:v>
                </c:pt>
                <c:pt idx="6">
                  <c:v>5191.0200000000004</c:v>
                </c:pt>
                <c:pt idx="7">
                  <c:v>5343.5700000000006</c:v>
                </c:pt>
                <c:pt idx="8">
                  <c:v>5342.49</c:v>
                </c:pt>
                <c:pt idx="9">
                  <c:v>4734.99</c:v>
                </c:pt>
                <c:pt idx="10">
                  <c:v>4286.5199999999995</c:v>
                </c:pt>
                <c:pt idx="11">
                  <c:v>3461.3999999999996</c:v>
                </c:pt>
                <c:pt idx="12">
                  <c:v>2541.5099999999998</c:v>
                </c:pt>
                <c:pt idx="13">
                  <c:v>2651.94</c:v>
                </c:pt>
                <c:pt idx="14">
                  <c:v>2679.2100000000005</c:v>
                </c:pt>
                <c:pt idx="15">
                  <c:v>3140.9100000000003</c:v>
                </c:pt>
                <c:pt idx="16">
                  <c:v>3765.6900000000005</c:v>
                </c:pt>
                <c:pt idx="17">
                  <c:v>3588.3</c:v>
                </c:pt>
                <c:pt idx="18">
                  <c:v>3652.2899999999995</c:v>
                </c:pt>
                <c:pt idx="19">
                  <c:v>3628.5299999999997</c:v>
                </c:pt>
                <c:pt idx="20">
                  <c:v>3574.5299999999997</c:v>
                </c:pt>
                <c:pt idx="21">
                  <c:v>3520.53</c:v>
                </c:pt>
                <c:pt idx="22">
                  <c:v>3306.96</c:v>
                </c:pt>
                <c:pt idx="23">
                  <c:v>3116.88</c:v>
                </c:pt>
                <c:pt idx="24">
                  <c:v>2966.7599999999998</c:v>
                </c:pt>
                <c:pt idx="25">
                  <c:v>2891.16</c:v>
                </c:pt>
                <c:pt idx="26">
                  <c:v>2808.54</c:v>
                </c:pt>
                <c:pt idx="27">
                  <c:v>2707.8300000000004</c:v>
                </c:pt>
                <c:pt idx="28">
                  <c:v>2552.85</c:v>
                </c:pt>
                <c:pt idx="29">
                  <c:v>2405.4300000000003</c:v>
                </c:pt>
                <c:pt idx="30">
                  <c:v>2346.84</c:v>
                </c:pt>
                <c:pt idx="31">
                  <c:v>2333.88</c:v>
                </c:pt>
                <c:pt idx="32">
                  <c:v>2336.31</c:v>
                </c:pt>
                <c:pt idx="33">
                  <c:v>2447.8199999999997</c:v>
                </c:pt>
                <c:pt idx="34">
                  <c:v>2562.5699999999997</c:v>
                </c:pt>
                <c:pt idx="35">
                  <c:v>2679.75</c:v>
                </c:pt>
                <c:pt idx="36">
                  <c:v>2762.37</c:v>
                </c:pt>
                <c:pt idx="37">
                  <c:v>2860.92</c:v>
                </c:pt>
                <c:pt idx="38">
                  <c:v>2784.2400000000002</c:v>
                </c:pt>
                <c:pt idx="39">
                  <c:v>2722.9500000000003</c:v>
                </c:pt>
                <c:pt idx="40">
                  <c:v>2705.4</c:v>
                </c:pt>
                <c:pt idx="41">
                  <c:v>2547.9900000000002</c:v>
                </c:pt>
                <c:pt idx="42">
                  <c:v>2455.6500000000005</c:v>
                </c:pt>
                <c:pt idx="43">
                  <c:v>2367.9</c:v>
                </c:pt>
                <c:pt idx="44">
                  <c:v>2335.77</c:v>
                </c:pt>
                <c:pt idx="45">
                  <c:v>2335.5</c:v>
                </c:pt>
                <c:pt idx="46">
                  <c:v>2373.84</c:v>
                </c:pt>
                <c:pt idx="47">
                  <c:v>2390.58</c:v>
                </c:pt>
                <c:pt idx="48">
                  <c:v>2347.6499999999996</c:v>
                </c:pt>
                <c:pt idx="49">
                  <c:v>2348.46</c:v>
                </c:pt>
                <c:pt idx="50">
                  <c:v>2264.4899999999998</c:v>
                </c:pt>
                <c:pt idx="51">
                  <c:v>2195.37</c:v>
                </c:pt>
                <c:pt idx="52">
                  <c:v>2088.4499999999998</c:v>
                </c:pt>
                <c:pt idx="53">
                  <c:v>1940.2200000000003</c:v>
                </c:pt>
                <c:pt idx="54">
                  <c:v>1811.6999999999998</c:v>
                </c:pt>
                <c:pt idx="55">
                  <c:v>1645.11</c:v>
                </c:pt>
                <c:pt idx="56">
                  <c:v>1376.19</c:v>
                </c:pt>
                <c:pt idx="57">
                  <c:v>338.58</c:v>
                </c:pt>
                <c:pt idx="58">
                  <c:v>202.77000000000004</c:v>
                </c:pt>
                <c:pt idx="59">
                  <c:v>185.21999999999997</c:v>
                </c:pt>
                <c:pt idx="60">
                  <c:v>401.76</c:v>
                </c:pt>
                <c:pt idx="61">
                  <c:v>1240.6499999999999</c:v>
                </c:pt>
                <c:pt idx="62">
                  <c:v>1386.99</c:v>
                </c:pt>
                <c:pt idx="63">
                  <c:v>1630.5500964975192</c:v>
                </c:pt>
                <c:pt idx="64">
                  <c:v>1786.8800964975192</c:v>
                </c:pt>
                <c:pt idx="65">
                  <c:v>2122.2200964975191</c:v>
                </c:pt>
                <c:pt idx="66">
                  <c:v>2292.860096497519</c:v>
                </c:pt>
                <c:pt idx="67">
                  <c:v>2245.0499999999997</c:v>
                </c:pt>
                <c:pt idx="68">
                  <c:v>2200.7699999999995</c:v>
                </c:pt>
                <c:pt idx="69">
                  <c:v>2121.39</c:v>
                </c:pt>
                <c:pt idx="70">
                  <c:v>2011.2299999999998</c:v>
                </c:pt>
                <c:pt idx="71">
                  <c:v>1962.0900000000001</c:v>
                </c:pt>
                <c:pt idx="72">
                  <c:v>1885.4099999999999</c:v>
                </c:pt>
                <c:pt idx="73">
                  <c:v>1794.69</c:v>
                </c:pt>
                <c:pt idx="74">
                  <c:v>1708.02</c:v>
                </c:pt>
                <c:pt idx="75">
                  <c:v>1625.94</c:v>
                </c:pt>
                <c:pt idx="76">
                  <c:v>1580.85</c:v>
                </c:pt>
                <c:pt idx="77">
                  <c:v>1559.79</c:v>
                </c:pt>
                <c:pt idx="78">
                  <c:v>1516.0500000000002</c:v>
                </c:pt>
                <c:pt idx="79">
                  <c:v>1404</c:v>
                </c:pt>
                <c:pt idx="80">
                  <c:v>1315.98</c:v>
                </c:pt>
                <c:pt idx="81">
                  <c:v>1041.6599999999999</c:v>
                </c:pt>
                <c:pt idx="82">
                  <c:v>932.84999999999991</c:v>
                </c:pt>
                <c:pt idx="83">
                  <c:v>818.64</c:v>
                </c:pt>
                <c:pt idx="84">
                  <c:v>744.93</c:v>
                </c:pt>
                <c:pt idx="85">
                  <c:v>811.07999999999993</c:v>
                </c:pt>
                <c:pt idx="86">
                  <c:v>721.9799999999999</c:v>
                </c:pt>
                <c:pt idx="87">
                  <c:v>666.90000000000009</c:v>
                </c:pt>
                <c:pt idx="88">
                  <c:v>666.62999999999988</c:v>
                </c:pt>
                <c:pt idx="89">
                  <c:v>764.37000000000012</c:v>
                </c:pt>
                <c:pt idx="90">
                  <c:v>993.32999999999993</c:v>
                </c:pt>
                <c:pt idx="91">
                  <c:v>1226.8799999999999</c:v>
                </c:pt>
                <c:pt idx="92">
                  <c:v>1350.0000000000002</c:v>
                </c:pt>
                <c:pt idx="93">
                  <c:v>1449.9</c:v>
                </c:pt>
                <c:pt idx="94">
                  <c:v>1401.84</c:v>
                </c:pt>
                <c:pt idx="95">
                  <c:v>1375.6499999999999</c:v>
                </c:pt>
                <c:pt idx="96">
                  <c:v>1300.5900000000001</c:v>
                </c:pt>
                <c:pt idx="97">
                  <c:v>1186.92</c:v>
                </c:pt>
                <c:pt idx="98">
                  <c:v>1107.5400000000002</c:v>
                </c:pt>
                <c:pt idx="99">
                  <c:v>1036.26</c:v>
                </c:pt>
                <c:pt idx="100">
                  <c:v>1018.1700000000001</c:v>
                </c:pt>
                <c:pt idx="101">
                  <c:v>1028.4299999999998</c:v>
                </c:pt>
                <c:pt idx="102">
                  <c:v>1052.1899999999998</c:v>
                </c:pt>
                <c:pt idx="103">
                  <c:v>1067.5799999999997</c:v>
                </c:pt>
                <c:pt idx="104">
                  <c:v>1072.44</c:v>
                </c:pt>
                <c:pt idx="105">
                  <c:v>1097.28</c:v>
                </c:pt>
                <c:pt idx="106">
                  <c:v>1094.8499999999999</c:v>
                </c:pt>
                <c:pt idx="107">
                  <c:v>1086.48</c:v>
                </c:pt>
                <c:pt idx="108">
                  <c:v>1045.71</c:v>
                </c:pt>
                <c:pt idx="109">
                  <c:v>972</c:v>
                </c:pt>
                <c:pt idx="110">
                  <c:v>942.57</c:v>
                </c:pt>
                <c:pt idx="111">
                  <c:v>919.07999999999993</c:v>
                </c:pt>
                <c:pt idx="112">
                  <c:v>916.92000000000007</c:v>
                </c:pt>
                <c:pt idx="113">
                  <c:v>949.86</c:v>
                </c:pt>
                <c:pt idx="114">
                  <c:v>929.61</c:v>
                </c:pt>
                <c:pt idx="115">
                  <c:v>878.85000000000014</c:v>
                </c:pt>
                <c:pt idx="116">
                  <c:v>826.19999999999993</c:v>
                </c:pt>
                <c:pt idx="117">
                  <c:v>737.91</c:v>
                </c:pt>
                <c:pt idx="118">
                  <c:v>680.4</c:v>
                </c:pt>
                <c:pt idx="119">
                  <c:v>613.17000000000007</c:v>
                </c:pt>
                <c:pt idx="120">
                  <c:v>591.03</c:v>
                </c:pt>
                <c:pt idx="121">
                  <c:v>551.07000000000005</c:v>
                </c:pt>
                <c:pt idx="122">
                  <c:v>521.91</c:v>
                </c:pt>
                <c:pt idx="123">
                  <c:v>535.68000000000006</c:v>
                </c:pt>
                <c:pt idx="124">
                  <c:v>515.42999999999995</c:v>
                </c:pt>
                <c:pt idx="125">
                  <c:v>487.0800000000001</c:v>
                </c:pt>
                <c:pt idx="126">
                  <c:v>460.35000000000014</c:v>
                </c:pt>
                <c:pt idx="127">
                  <c:v>437.13000000000005</c:v>
                </c:pt>
                <c:pt idx="128">
                  <c:v>431.18999999999994</c:v>
                </c:pt>
                <c:pt idx="129">
                  <c:v>481.14</c:v>
                </c:pt>
                <c:pt idx="130">
                  <c:v>524.07000000000005</c:v>
                </c:pt>
                <c:pt idx="131">
                  <c:v>565.37999999999988</c:v>
                </c:pt>
                <c:pt idx="132">
                  <c:v>576.17999999999995</c:v>
                </c:pt>
                <c:pt idx="133">
                  <c:v>586.98</c:v>
                </c:pt>
                <c:pt idx="134">
                  <c:v>574.02</c:v>
                </c:pt>
                <c:pt idx="135">
                  <c:v>585.09</c:v>
                </c:pt>
                <c:pt idx="136">
                  <c:v>617.4899999999999</c:v>
                </c:pt>
                <c:pt idx="137">
                  <c:v>639.63</c:v>
                </c:pt>
                <c:pt idx="138">
                  <c:v>680.93999999999994</c:v>
                </c:pt>
                <c:pt idx="139">
                  <c:v>673.92</c:v>
                </c:pt>
                <c:pt idx="140">
                  <c:v>641.25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923-47E2-B272-AB259A06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18735"/>
        <c:axId val="327620399"/>
      </c:lineChart>
      <c:lineChart>
        <c:grouping val="standard"/>
        <c:varyColors val="0"/>
        <c:ser>
          <c:idx val="2"/>
          <c:order val="1"/>
          <c:tx>
            <c:strRef>
              <c:f>'Earnings-Quarterly'!$L$1</c:f>
              <c:strCache>
                <c:ptCount val="1"/>
                <c:pt idx="0">
                  <c:v>TOTAL REPORTED EARNINGS PER SHR PLUS DIVIDENDS</c:v>
                </c:pt>
              </c:strCache>
            </c:strRef>
          </c:tx>
          <c:spPr>
            <a:ln w="31750" cap="rnd">
              <a:solidFill>
                <a:srgbClr val="FF99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CC00FF"/>
                </a:solidFill>
              </a:ln>
              <a:effectLst/>
            </c:spPr>
          </c:marker>
          <c:cat>
            <c:numRef>
              <c:f>'Earnings-Quarterly'!$A$2:$A$145</c:f>
              <c:numCache>
                <c:formatCode>m/d/yyyy</c:formatCode>
                <c:ptCount val="144"/>
                <c:pt idx="0">
                  <c:v>45291</c:v>
                </c:pt>
                <c:pt idx="1">
                  <c:v>45199</c:v>
                </c:pt>
                <c:pt idx="2">
                  <c:v>45107</c:v>
                </c:pt>
                <c:pt idx="3">
                  <c:v>45016</c:v>
                </c:pt>
                <c:pt idx="4">
                  <c:v>44926</c:v>
                </c:pt>
                <c:pt idx="5">
                  <c:v>44834</c:v>
                </c:pt>
                <c:pt idx="6">
                  <c:v>44742</c:v>
                </c:pt>
                <c:pt idx="7">
                  <c:v>44651</c:v>
                </c:pt>
                <c:pt idx="8">
                  <c:v>44561</c:v>
                </c:pt>
                <c:pt idx="9">
                  <c:v>44469</c:v>
                </c:pt>
                <c:pt idx="10">
                  <c:v>44377</c:v>
                </c:pt>
                <c:pt idx="11">
                  <c:v>44286</c:v>
                </c:pt>
                <c:pt idx="12">
                  <c:v>44196</c:v>
                </c:pt>
                <c:pt idx="13">
                  <c:v>44104</c:v>
                </c:pt>
                <c:pt idx="14">
                  <c:v>44012</c:v>
                </c:pt>
                <c:pt idx="15">
                  <c:v>43921</c:v>
                </c:pt>
                <c:pt idx="16">
                  <c:v>43830</c:v>
                </c:pt>
                <c:pt idx="17">
                  <c:v>43738</c:v>
                </c:pt>
                <c:pt idx="18">
                  <c:v>43644</c:v>
                </c:pt>
                <c:pt idx="19">
                  <c:v>43553</c:v>
                </c:pt>
                <c:pt idx="20">
                  <c:v>43465</c:v>
                </c:pt>
                <c:pt idx="21">
                  <c:v>43371</c:v>
                </c:pt>
                <c:pt idx="22">
                  <c:v>43280</c:v>
                </c:pt>
                <c:pt idx="23">
                  <c:v>43188</c:v>
                </c:pt>
                <c:pt idx="24">
                  <c:v>43098</c:v>
                </c:pt>
                <c:pt idx="25">
                  <c:v>43008</c:v>
                </c:pt>
                <c:pt idx="26">
                  <c:v>42916</c:v>
                </c:pt>
                <c:pt idx="27">
                  <c:v>42825</c:v>
                </c:pt>
                <c:pt idx="28">
                  <c:v>42735</c:v>
                </c:pt>
                <c:pt idx="29">
                  <c:v>42643</c:v>
                </c:pt>
                <c:pt idx="30">
                  <c:v>42551</c:v>
                </c:pt>
                <c:pt idx="31">
                  <c:v>42460</c:v>
                </c:pt>
                <c:pt idx="32">
                  <c:v>42369</c:v>
                </c:pt>
                <c:pt idx="33">
                  <c:v>42277</c:v>
                </c:pt>
                <c:pt idx="34">
                  <c:v>42185</c:v>
                </c:pt>
                <c:pt idx="35">
                  <c:v>42094</c:v>
                </c:pt>
                <c:pt idx="36">
                  <c:v>42004</c:v>
                </c:pt>
                <c:pt idx="37">
                  <c:v>41912</c:v>
                </c:pt>
                <c:pt idx="38">
                  <c:v>41820</c:v>
                </c:pt>
                <c:pt idx="39">
                  <c:v>41729</c:v>
                </c:pt>
                <c:pt idx="40">
                  <c:v>41639</c:v>
                </c:pt>
                <c:pt idx="41">
                  <c:v>41547</c:v>
                </c:pt>
                <c:pt idx="42">
                  <c:v>41455</c:v>
                </c:pt>
                <c:pt idx="43">
                  <c:v>41364</c:v>
                </c:pt>
                <c:pt idx="44">
                  <c:v>41274</c:v>
                </c:pt>
                <c:pt idx="45">
                  <c:v>41182</c:v>
                </c:pt>
                <c:pt idx="46">
                  <c:v>41090</c:v>
                </c:pt>
                <c:pt idx="47">
                  <c:v>40999</c:v>
                </c:pt>
                <c:pt idx="48">
                  <c:v>40908</c:v>
                </c:pt>
                <c:pt idx="49">
                  <c:v>40816</c:v>
                </c:pt>
                <c:pt idx="50">
                  <c:v>40724</c:v>
                </c:pt>
                <c:pt idx="51">
                  <c:v>40633</c:v>
                </c:pt>
                <c:pt idx="52">
                  <c:v>40543</c:v>
                </c:pt>
                <c:pt idx="53">
                  <c:v>40451</c:v>
                </c:pt>
                <c:pt idx="54">
                  <c:v>40359</c:v>
                </c:pt>
                <c:pt idx="55">
                  <c:v>40268</c:v>
                </c:pt>
                <c:pt idx="56">
                  <c:v>40178</c:v>
                </c:pt>
                <c:pt idx="57">
                  <c:v>40086</c:v>
                </c:pt>
                <c:pt idx="58">
                  <c:v>39994</c:v>
                </c:pt>
                <c:pt idx="59">
                  <c:v>39903</c:v>
                </c:pt>
                <c:pt idx="60">
                  <c:v>39813</c:v>
                </c:pt>
                <c:pt idx="61">
                  <c:v>39721</c:v>
                </c:pt>
                <c:pt idx="62">
                  <c:v>39629</c:v>
                </c:pt>
                <c:pt idx="63">
                  <c:v>39538</c:v>
                </c:pt>
                <c:pt idx="64">
                  <c:v>39447</c:v>
                </c:pt>
                <c:pt idx="65">
                  <c:v>39355</c:v>
                </c:pt>
                <c:pt idx="66">
                  <c:v>39263</c:v>
                </c:pt>
                <c:pt idx="67">
                  <c:v>39172</c:v>
                </c:pt>
                <c:pt idx="68">
                  <c:v>39082</c:v>
                </c:pt>
                <c:pt idx="69">
                  <c:v>38990</c:v>
                </c:pt>
                <c:pt idx="70">
                  <c:v>38898</c:v>
                </c:pt>
                <c:pt idx="71">
                  <c:v>38807</c:v>
                </c:pt>
                <c:pt idx="72">
                  <c:v>38717</c:v>
                </c:pt>
                <c:pt idx="73">
                  <c:v>38625</c:v>
                </c:pt>
                <c:pt idx="74">
                  <c:v>38533</c:v>
                </c:pt>
                <c:pt idx="75">
                  <c:v>38442</c:v>
                </c:pt>
                <c:pt idx="76">
                  <c:v>38352</c:v>
                </c:pt>
                <c:pt idx="77">
                  <c:v>38260</c:v>
                </c:pt>
                <c:pt idx="78">
                  <c:v>38168</c:v>
                </c:pt>
                <c:pt idx="79">
                  <c:v>38077</c:v>
                </c:pt>
                <c:pt idx="80">
                  <c:v>37986</c:v>
                </c:pt>
                <c:pt idx="81">
                  <c:v>37894</c:v>
                </c:pt>
                <c:pt idx="82">
                  <c:v>37802</c:v>
                </c:pt>
                <c:pt idx="83">
                  <c:v>37711</c:v>
                </c:pt>
                <c:pt idx="84">
                  <c:v>37621</c:v>
                </c:pt>
                <c:pt idx="85">
                  <c:v>37529</c:v>
                </c:pt>
                <c:pt idx="86">
                  <c:v>37437</c:v>
                </c:pt>
                <c:pt idx="87">
                  <c:v>37346</c:v>
                </c:pt>
                <c:pt idx="88">
                  <c:v>37256</c:v>
                </c:pt>
                <c:pt idx="89">
                  <c:v>37164</c:v>
                </c:pt>
                <c:pt idx="90">
                  <c:v>37072</c:v>
                </c:pt>
                <c:pt idx="91">
                  <c:v>36981</c:v>
                </c:pt>
                <c:pt idx="92">
                  <c:v>36891</c:v>
                </c:pt>
                <c:pt idx="93">
                  <c:v>36799</c:v>
                </c:pt>
                <c:pt idx="94">
                  <c:v>36707</c:v>
                </c:pt>
                <c:pt idx="95">
                  <c:v>36616</c:v>
                </c:pt>
                <c:pt idx="96">
                  <c:v>36525</c:v>
                </c:pt>
                <c:pt idx="97">
                  <c:v>36433</c:v>
                </c:pt>
                <c:pt idx="98">
                  <c:v>36341</c:v>
                </c:pt>
                <c:pt idx="99">
                  <c:v>36250</c:v>
                </c:pt>
                <c:pt idx="100">
                  <c:v>36160</c:v>
                </c:pt>
                <c:pt idx="101">
                  <c:v>36068</c:v>
                </c:pt>
                <c:pt idx="102">
                  <c:v>35976</c:v>
                </c:pt>
                <c:pt idx="103">
                  <c:v>35885</c:v>
                </c:pt>
                <c:pt idx="104">
                  <c:v>35795</c:v>
                </c:pt>
                <c:pt idx="105">
                  <c:v>35703</c:v>
                </c:pt>
                <c:pt idx="106">
                  <c:v>35611</c:v>
                </c:pt>
                <c:pt idx="107">
                  <c:v>35520</c:v>
                </c:pt>
                <c:pt idx="108">
                  <c:v>35430</c:v>
                </c:pt>
                <c:pt idx="109">
                  <c:v>35338</c:v>
                </c:pt>
                <c:pt idx="110">
                  <c:v>35246</c:v>
                </c:pt>
                <c:pt idx="111">
                  <c:v>35155</c:v>
                </c:pt>
                <c:pt idx="112">
                  <c:v>35064</c:v>
                </c:pt>
                <c:pt idx="113">
                  <c:v>34972</c:v>
                </c:pt>
                <c:pt idx="114">
                  <c:v>34880</c:v>
                </c:pt>
                <c:pt idx="115">
                  <c:v>34789</c:v>
                </c:pt>
                <c:pt idx="116">
                  <c:v>34699</c:v>
                </c:pt>
                <c:pt idx="117">
                  <c:v>34607</c:v>
                </c:pt>
                <c:pt idx="118">
                  <c:v>34515</c:v>
                </c:pt>
                <c:pt idx="119">
                  <c:v>34424</c:v>
                </c:pt>
                <c:pt idx="120">
                  <c:v>34334</c:v>
                </c:pt>
                <c:pt idx="121">
                  <c:v>34242</c:v>
                </c:pt>
                <c:pt idx="122">
                  <c:v>34150</c:v>
                </c:pt>
                <c:pt idx="123">
                  <c:v>34059</c:v>
                </c:pt>
                <c:pt idx="124">
                  <c:v>33969</c:v>
                </c:pt>
                <c:pt idx="125">
                  <c:v>33877</c:v>
                </c:pt>
                <c:pt idx="126">
                  <c:v>33785</c:v>
                </c:pt>
                <c:pt idx="127">
                  <c:v>33694</c:v>
                </c:pt>
                <c:pt idx="128">
                  <c:v>33603</c:v>
                </c:pt>
                <c:pt idx="129">
                  <c:v>33511</c:v>
                </c:pt>
                <c:pt idx="130">
                  <c:v>33419</c:v>
                </c:pt>
                <c:pt idx="131">
                  <c:v>33328</c:v>
                </c:pt>
                <c:pt idx="132">
                  <c:v>33238</c:v>
                </c:pt>
                <c:pt idx="133">
                  <c:v>33146</c:v>
                </c:pt>
                <c:pt idx="134">
                  <c:v>33054</c:v>
                </c:pt>
                <c:pt idx="135">
                  <c:v>32963</c:v>
                </c:pt>
                <c:pt idx="136">
                  <c:v>32873</c:v>
                </c:pt>
                <c:pt idx="137">
                  <c:v>32781</c:v>
                </c:pt>
                <c:pt idx="138">
                  <c:v>32689</c:v>
                </c:pt>
                <c:pt idx="139">
                  <c:v>32598</c:v>
                </c:pt>
                <c:pt idx="140">
                  <c:v>32508</c:v>
                </c:pt>
                <c:pt idx="141">
                  <c:v>32416</c:v>
                </c:pt>
                <c:pt idx="142">
                  <c:v>32324</c:v>
                </c:pt>
                <c:pt idx="143">
                  <c:v>32233</c:v>
                </c:pt>
              </c:numCache>
            </c:numRef>
          </c:cat>
          <c:val>
            <c:numRef>
              <c:f>'Earnings-Quarterly'!$L$2:$L$145</c:f>
              <c:numCache>
                <c:formatCode>_("$"* #,##0.00_);_("$"* \(#,##0.00\);_("$"* "-"??_);_(@_)</c:formatCode>
                <c:ptCount val="144"/>
                <c:pt idx="0">
                  <c:v>274.61203661419472</c:v>
                </c:pt>
                <c:pt idx="1">
                  <c:v>268.53540181593286</c:v>
                </c:pt>
                <c:pt idx="2">
                  <c:v>263.33714762481998</c:v>
                </c:pt>
                <c:pt idx="3">
                  <c:v>254.94632556658834</c:v>
                </c:pt>
                <c:pt idx="4">
                  <c:v>251.84067257829119</c:v>
                </c:pt>
                <c:pt idx="5">
                  <c:v>255.89830051943517</c:v>
                </c:pt>
                <c:pt idx="6">
                  <c:v>256.27960534350706</c:v>
                </c:pt>
                <c:pt idx="7">
                  <c:v>259.87997432407474</c:v>
                </c:pt>
                <c:pt idx="8">
                  <c:v>258.26711728239258</c:v>
                </c:pt>
                <c:pt idx="9">
                  <c:v>234.62448274854421</c:v>
                </c:pt>
                <c:pt idx="10">
                  <c:v>216.62504213441616</c:v>
                </c:pt>
                <c:pt idx="11">
                  <c:v>185.83338706490267</c:v>
                </c:pt>
                <c:pt idx="12">
                  <c:v>152.40884613601017</c:v>
                </c:pt>
                <c:pt idx="13">
                  <c:v>157.07123671411031</c:v>
                </c:pt>
                <c:pt idx="14">
                  <c:v>158.91341160253359</c:v>
                </c:pt>
                <c:pt idx="15">
                  <c:v>175.91060358638015</c:v>
                </c:pt>
                <c:pt idx="16">
                  <c:v>197.71062255574194</c:v>
                </c:pt>
                <c:pt idx="17">
                  <c:v>190.1195068939877</c:v>
                </c:pt>
                <c:pt idx="18">
                  <c:v>191.34727474177811</c:v>
                </c:pt>
                <c:pt idx="19">
                  <c:v>189.32691345140864</c:v>
                </c:pt>
                <c:pt idx="20">
                  <c:v>186.13817808461687</c:v>
                </c:pt>
                <c:pt idx="21">
                  <c:v>182.72899552484125</c:v>
                </c:pt>
                <c:pt idx="22">
                  <c:v>173.47029014897731</c:v>
                </c:pt>
                <c:pt idx="23">
                  <c:v>165.44302958857324</c:v>
                </c:pt>
                <c:pt idx="24">
                  <c:v>158.81201933560772</c:v>
                </c:pt>
                <c:pt idx="25">
                  <c:v>155.25310297806155</c:v>
                </c:pt>
                <c:pt idx="26">
                  <c:v>151.23901941963774</c:v>
                </c:pt>
                <c:pt idx="27">
                  <c:v>146.67242385164215</c:v>
                </c:pt>
                <c:pt idx="28">
                  <c:v>140.25060348529786</c:v>
                </c:pt>
                <c:pt idx="29">
                  <c:v>134.11569130774271</c:v>
                </c:pt>
                <c:pt idx="30">
                  <c:v>131.37987737776996</c:v>
                </c:pt>
                <c:pt idx="31">
                  <c:v>130.3159395932984</c:v>
                </c:pt>
                <c:pt idx="32">
                  <c:v>129.91788736093014</c:v>
                </c:pt>
                <c:pt idx="33">
                  <c:v>133.17039650947282</c:v>
                </c:pt>
                <c:pt idx="34">
                  <c:v>136.65200180993395</c:v>
                </c:pt>
                <c:pt idx="35">
                  <c:v>140.05660984693688</c:v>
                </c:pt>
                <c:pt idx="36">
                  <c:v>141.75314109272995</c:v>
                </c:pt>
                <c:pt idx="37">
                  <c:v>144.45461129653307</c:v>
                </c:pt>
                <c:pt idx="38">
                  <c:v>140.50067679692137</c:v>
                </c:pt>
                <c:pt idx="39">
                  <c:v>137.07767907280652</c:v>
                </c:pt>
                <c:pt idx="40">
                  <c:v>135.19204410973714</c:v>
                </c:pt>
                <c:pt idx="41">
                  <c:v>128.77391138119913</c:v>
                </c:pt>
                <c:pt idx="42">
                  <c:v>124.2163413225246</c:v>
                </c:pt>
                <c:pt idx="43">
                  <c:v>119.81194206806924</c:v>
                </c:pt>
                <c:pt idx="44">
                  <c:v>117.75694206806924</c:v>
                </c:pt>
                <c:pt idx="45">
                  <c:v>116.09</c:v>
                </c:pt>
                <c:pt idx="46">
                  <c:v>116.24000000000001</c:v>
                </c:pt>
                <c:pt idx="47">
                  <c:v>115.893</c:v>
                </c:pt>
                <c:pt idx="48">
                  <c:v>113.375</c:v>
                </c:pt>
                <c:pt idx="49">
                  <c:v>112.161</c:v>
                </c:pt>
                <c:pt idx="50">
                  <c:v>108.21100000000001</c:v>
                </c:pt>
                <c:pt idx="51">
                  <c:v>104.741</c:v>
                </c:pt>
                <c:pt idx="52">
                  <c:v>100.07900000000001</c:v>
                </c:pt>
                <c:pt idx="53">
                  <c:v>94.213000000000008</c:v>
                </c:pt>
                <c:pt idx="54">
                  <c:v>89.137</c:v>
                </c:pt>
                <c:pt idx="55">
                  <c:v>82.834000000000003</c:v>
                </c:pt>
                <c:pt idx="56">
                  <c:v>73.374999999999986</c:v>
                </c:pt>
                <c:pt idx="57">
                  <c:v>36.441000000000003</c:v>
                </c:pt>
                <c:pt idx="58">
                  <c:v>33.103999999999999</c:v>
                </c:pt>
                <c:pt idx="59">
                  <c:v>34.115000000000002</c:v>
                </c:pt>
                <c:pt idx="60">
                  <c:v>43.266999999999996</c:v>
                </c:pt>
                <c:pt idx="61">
                  <c:v>74.803999999999988</c:v>
                </c:pt>
                <c:pt idx="62">
                  <c:v>80.082000000000008</c:v>
                </c:pt>
                <c:pt idx="63">
                  <c:v>88.69274431472293</c:v>
                </c:pt>
                <c:pt idx="64">
                  <c:v>93.912744314722943</c:v>
                </c:pt>
                <c:pt idx="65">
                  <c:v>105.57874431472294</c:v>
                </c:pt>
                <c:pt idx="66">
                  <c:v>111.09074431472293</c:v>
                </c:pt>
                <c:pt idx="67">
                  <c:v>108.64399999999999</c:v>
                </c:pt>
                <c:pt idx="68">
                  <c:v>106.39400000000001</c:v>
                </c:pt>
                <c:pt idx="69">
                  <c:v>102.666</c:v>
                </c:pt>
                <c:pt idx="70">
                  <c:v>97.927000000000007</c:v>
                </c:pt>
                <c:pt idx="71">
                  <c:v>95.454000000000008</c:v>
                </c:pt>
                <c:pt idx="72">
                  <c:v>92.045999999999992</c:v>
                </c:pt>
                <c:pt idx="73">
                  <c:v>87.941000000000003</c:v>
                </c:pt>
                <c:pt idx="74">
                  <c:v>84.184999999999988</c:v>
                </c:pt>
                <c:pt idx="75">
                  <c:v>80.445000000000007</c:v>
                </c:pt>
                <c:pt idx="76">
                  <c:v>77.992000000000019</c:v>
                </c:pt>
                <c:pt idx="77">
                  <c:v>76.932999999999993</c:v>
                </c:pt>
                <c:pt idx="78">
                  <c:v>74.751999999999995</c:v>
                </c:pt>
                <c:pt idx="79">
                  <c:v>70.024000000000001</c:v>
                </c:pt>
                <c:pt idx="80">
                  <c:v>66.125</c:v>
                </c:pt>
                <c:pt idx="81">
                  <c:v>55.165999999999997</c:v>
                </c:pt>
                <c:pt idx="82">
                  <c:v>50.715000000000003</c:v>
                </c:pt>
                <c:pt idx="83">
                  <c:v>46.543999999999997</c:v>
                </c:pt>
                <c:pt idx="84">
                  <c:v>43.663999999999994</c:v>
                </c:pt>
                <c:pt idx="85">
                  <c:v>45.838999999999999</c:v>
                </c:pt>
                <c:pt idx="86">
                  <c:v>42.778999999999989</c:v>
                </c:pt>
                <c:pt idx="87">
                  <c:v>40.43</c:v>
                </c:pt>
                <c:pt idx="88">
                  <c:v>40.429999999999993</c:v>
                </c:pt>
                <c:pt idx="89">
                  <c:v>44.045999999999999</c:v>
                </c:pt>
                <c:pt idx="90">
                  <c:v>52.475999999999999</c:v>
                </c:pt>
                <c:pt idx="91">
                  <c:v>61.413000000000004</c:v>
                </c:pt>
                <c:pt idx="92">
                  <c:v>66.271000000000001</c:v>
                </c:pt>
                <c:pt idx="93">
                  <c:v>70.046999999999997</c:v>
                </c:pt>
                <c:pt idx="94">
                  <c:v>68.623999999999995</c:v>
                </c:pt>
                <c:pt idx="95">
                  <c:v>67.712000000000003</c:v>
                </c:pt>
                <c:pt idx="96">
                  <c:v>64.861999999999995</c:v>
                </c:pt>
                <c:pt idx="97">
                  <c:v>60.600999999999999</c:v>
                </c:pt>
                <c:pt idx="98">
                  <c:v>57.468000000000011</c:v>
                </c:pt>
                <c:pt idx="99">
                  <c:v>54.829000000000001</c:v>
                </c:pt>
                <c:pt idx="100">
                  <c:v>53.905000000000001</c:v>
                </c:pt>
                <c:pt idx="101">
                  <c:v>54.233000000000004</c:v>
                </c:pt>
                <c:pt idx="102">
                  <c:v>54.919999999999995</c:v>
                </c:pt>
                <c:pt idx="103">
                  <c:v>55.18099999999999</c:v>
                </c:pt>
                <c:pt idx="104">
                  <c:v>55.216999999999999</c:v>
                </c:pt>
                <c:pt idx="105">
                  <c:v>55.973000000000006</c:v>
                </c:pt>
                <c:pt idx="106">
                  <c:v>55.711000000000006</c:v>
                </c:pt>
                <c:pt idx="107">
                  <c:v>55.299000000000007</c:v>
                </c:pt>
                <c:pt idx="108">
                  <c:v>53.628999999999998</c:v>
                </c:pt>
                <c:pt idx="109">
                  <c:v>50.664000000000009</c:v>
                </c:pt>
                <c:pt idx="110">
                  <c:v>49.183000000000007</c:v>
                </c:pt>
                <c:pt idx="111">
                  <c:v>48.143999999999998</c:v>
                </c:pt>
                <c:pt idx="112">
                  <c:v>47.748000000000005</c:v>
                </c:pt>
                <c:pt idx="113">
                  <c:v>48.755000000000003</c:v>
                </c:pt>
                <c:pt idx="114">
                  <c:v>47.790999999999997</c:v>
                </c:pt>
                <c:pt idx="115">
                  <c:v>45.720000000000006</c:v>
                </c:pt>
                <c:pt idx="116">
                  <c:v>43.77</c:v>
                </c:pt>
                <c:pt idx="117">
                  <c:v>40.253</c:v>
                </c:pt>
                <c:pt idx="118">
                  <c:v>38.035000000000004</c:v>
                </c:pt>
                <c:pt idx="119">
                  <c:v>35.416999999999994</c:v>
                </c:pt>
                <c:pt idx="120">
                  <c:v>34.466999999999999</c:v>
                </c:pt>
                <c:pt idx="121">
                  <c:v>32.929000000000002</c:v>
                </c:pt>
                <c:pt idx="122">
                  <c:v>31.853000000000002</c:v>
                </c:pt>
                <c:pt idx="123">
                  <c:v>32.318999999999996</c:v>
                </c:pt>
                <c:pt idx="124">
                  <c:v>31.474999999999998</c:v>
                </c:pt>
                <c:pt idx="125">
                  <c:v>30.434999999999999</c:v>
                </c:pt>
                <c:pt idx="126">
                  <c:v>29.369999999999997</c:v>
                </c:pt>
                <c:pt idx="127">
                  <c:v>28.513999999999992</c:v>
                </c:pt>
                <c:pt idx="128">
                  <c:v>28.172999999999998</c:v>
                </c:pt>
                <c:pt idx="129">
                  <c:v>30.094999999999999</c:v>
                </c:pt>
                <c:pt idx="130">
                  <c:v>31.556999999999999</c:v>
                </c:pt>
                <c:pt idx="131">
                  <c:v>33.050000000000004</c:v>
                </c:pt>
                <c:pt idx="132">
                  <c:v>33.426000000000002</c:v>
                </c:pt>
                <c:pt idx="133">
                  <c:v>33.573999999999998</c:v>
                </c:pt>
                <c:pt idx="134">
                  <c:v>32.922999999999995</c:v>
                </c:pt>
                <c:pt idx="135">
                  <c:v>32.988</c:v>
                </c:pt>
                <c:pt idx="136">
                  <c:v>33.924999999999997</c:v>
                </c:pt>
                <c:pt idx="137">
                  <c:v>34.423999999999999</c:v>
                </c:pt>
                <c:pt idx="138">
                  <c:v>35.588000000000001</c:v>
                </c:pt>
                <c:pt idx="139">
                  <c:v>34.970999999999997</c:v>
                </c:pt>
                <c:pt idx="14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23-47E2-B272-AB259A060869}"/>
            </c:ext>
          </c:extLst>
        </c:ser>
        <c:ser>
          <c:idx val="1"/>
          <c:order val="2"/>
          <c:tx>
            <c:strRef>
              <c:f>'Earnings-Quarterly'!$K$1</c:f>
              <c:strCache>
                <c:ptCount val="1"/>
                <c:pt idx="0">
                  <c:v>TOTAL REPORTED EARNINGS PER SHR</c:v>
                </c:pt>
              </c:strCache>
            </c:strRef>
          </c:tx>
          <c:spPr>
            <a:ln w="3175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val>
            <c:numRef>
              <c:f>'Earnings-Quarterly'!$K$2:$K$145</c:f>
              <c:numCache>
                <c:formatCode>_("$"* #,##0.00_);_("$"* \(#,##0.00\);_("$"* "-"??_);_(@_)</c:formatCode>
                <c:ptCount val="144"/>
                <c:pt idx="0">
                  <c:v>209.29373127068766</c:v>
                </c:pt>
                <c:pt idx="1">
                  <c:v>204.51579647242579</c:v>
                </c:pt>
                <c:pt idx="2">
                  <c:v>199.28688053122019</c:v>
                </c:pt>
                <c:pt idx="3">
                  <c:v>190.51912116004021</c:v>
                </c:pt>
                <c:pt idx="4">
                  <c:v>186.94683339142486</c:v>
                </c:pt>
                <c:pt idx="5">
                  <c:v>190.57999517592805</c:v>
                </c:pt>
                <c:pt idx="6">
                  <c:v>192.26000000000002</c:v>
                </c:pt>
                <c:pt idx="7">
                  <c:v>197.91000000000003</c:v>
                </c:pt>
                <c:pt idx="8">
                  <c:v>197.87</c:v>
                </c:pt>
                <c:pt idx="9">
                  <c:v>175.37</c:v>
                </c:pt>
                <c:pt idx="10">
                  <c:v>158.76</c:v>
                </c:pt>
                <c:pt idx="11">
                  <c:v>128.19999999999999</c:v>
                </c:pt>
                <c:pt idx="12">
                  <c:v>94.13</c:v>
                </c:pt>
                <c:pt idx="13">
                  <c:v>98.22</c:v>
                </c:pt>
                <c:pt idx="14">
                  <c:v>99.230000000000018</c:v>
                </c:pt>
                <c:pt idx="15">
                  <c:v>116.33000000000001</c:v>
                </c:pt>
                <c:pt idx="16">
                  <c:v>139.47000000000003</c:v>
                </c:pt>
                <c:pt idx="17">
                  <c:v>132.9</c:v>
                </c:pt>
                <c:pt idx="18">
                  <c:v>135.26999999999998</c:v>
                </c:pt>
                <c:pt idx="19">
                  <c:v>134.38999999999999</c:v>
                </c:pt>
                <c:pt idx="20">
                  <c:v>132.38999999999999</c:v>
                </c:pt>
                <c:pt idx="21">
                  <c:v>130.39000000000001</c:v>
                </c:pt>
                <c:pt idx="22">
                  <c:v>122.48</c:v>
                </c:pt>
                <c:pt idx="23">
                  <c:v>115.44000000000001</c:v>
                </c:pt>
                <c:pt idx="24">
                  <c:v>109.88</c:v>
                </c:pt>
                <c:pt idx="25">
                  <c:v>107.08</c:v>
                </c:pt>
                <c:pt idx="26">
                  <c:v>104.02</c:v>
                </c:pt>
                <c:pt idx="27">
                  <c:v>100.29</c:v>
                </c:pt>
                <c:pt idx="28">
                  <c:v>94.55</c:v>
                </c:pt>
                <c:pt idx="29">
                  <c:v>89.09</c:v>
                </c:pt>
                <c:pt idx="30">
                  <c:v>86.92</c:v>
                </c:pt>
                <c:pt idx="31">
                  <c:v>86.44</c:v>
                </c:pt>
                <c:pt idx="32">
                  <c:v>86.53</c:v>
                </c:pt>
                <c:pt idx="33">
                  <c:v>90.66</c:v>
                </c:pt>
                <c:pt idx="34">
                  <c:v>94.91</c:v>
                </c:pt>
                <c:pt idx="35">
                  <c:v>99.25</c:v>
                </c:pt>
                <c:pt idx="36">
                  <c:v>102.31</c:v>
                </c:pt>
                <c:pt idx="37">
                  <c:v>105.96000000000001</c:v>
                </c:pt>
                <c:pt idx="38">
                  <c:v>103.12</c:v>
                </c:pt>
                <c:pt idx="39">
                  <c:v>100.85000000000001</c:v>
                </c:pt>
                <c:pt idx="40">
                  <c:v>100.2</c:v>
                </c:pt>
                <c:pt idx="41">
                  <c:v>94.37</c:v>
                </c:pt>
                <c:pt idx="42">
                  <c:v>90.950000000000017</c:v>
                </c:pt>
                <c:pt idx="43">
                  <c:v>87.7</c:v>
                </c:pt>
                <c:pt idx="44">
                  <c:v>86.51</c:v>
                </c:pt>
                <c:pt idx="45">
                  <c:v>86.5</c:v>
                </c:pt>
                <c:pt idx="46">
                  <c:v>87.92</c:v>
                </c:pt>
                <c:pt idx="47">
                  <c:v>88.539999999999992</c:v>
                </c:pt>
                <c:pt idx="48">
                  <c:v>86.949999999999989</c:v>
                </c:pt>
                <c:pt idx="49">
                  <c:v>86.98</c:v>
                </c:pt>
                <c:pt idx="50">
                  <c:v>83.86999999999999</c:v>
                </c:pt>
                <c:pt idx="51">
                  <c:v>81.31</c:v>
                </c:pt>
                <c:pt idx="52">
                  <c:v>77.349999999999994</c:v>
                </c:pt>
                <c:pt idx="53">
                  <c:v>71.860000000000014</c:v>
                </c:pt>
                <c:pt idx="54">
                  <c:v>67.099999999999994</c:v>
                </c:pt>
                <c:pt idx="55">
                  <c:v>60.929999999999993</c:v>
                </c:pt>
                <c:pt idx="56">
                  <c:v>50.97</c:v>
                </c:pt>
                <c:pt idx="57">
                  <c:v>12.54</c:v>
                </c:pt>
                <c:pt idx="58">
                  <c:v>7.5100000000000016</c:v>
                </c:pt>
                <c:pt idx="59">
                  <c:v>6.8599999999999994</c:v>
                </c:pt>
                <c:pt idx="60">
                  <c:v>14.879999999999999</c:v>
                </c:pt>
                <c:pt idx="61">
                  <c:v>45.949999999999996</c:v>
                </c:pt>
                <c:pt idx="62">
                  <c:v>51.37</c:v>
                </c:pt>
                <c:pt idx="63">
                  <c:v>60.390744314722937</c:v>
                </c:pt>
                <c:pt idx="64">
                  <c:v>66.180744314722929</c:v>
                </c:pt>
                <c:pt idx="65">
                  <c:v>78.600744314722931</c:v>
                </c:pt>
                <c:pt idx="66">
                  <c:v>84.920744314722924</c:v>
                </c:pt>
                <c:pt idx="67">
                  <c:v>83.149999999999991</c:v>
                </c:pt>
                <c:pt idx="68">
                  <c:v>81.509999999999991</c:v>
                </c:pt>
                <c:pt idx="69">
                  <c:v>78.569999999999993</c:v>
                </c:pt>
                <c:pt idx="70">
                  <c:v>74.489999999999995</c:v>
                </c:pt>
                <c:pt idx="71">
                  <c:v>72.67</c:v>
                </c:pt>
                <c:pt idx="72">
                  <c:v>69.83</c:v>
                </c:pt>
                <c:pt idx="73">
                  <c:v>66.47</c:v>
                </c:pt>
                <c:pt idx="74">
                  <c:v>63.26</c:v>
                </c:pt>
                <c:pt idx="75">
                  <c:v>60.22</c:v>
                </c:pt>
                <c:pt idx="76">
                  <c:v>58.55</c:v>
                </c:pt>
                <c:pt idx="77">
                  <c:v>57.769999999999996</c:v>
                </c:pt>
                <c:pt idx="78">
                  <c:v>56.150000000000006</c:v>
                </c:pt>
                <c:pt idx="79">
                  <c:v>52</c:v>
                </c:pt>
                <c:pt idx="80">
                  <c:v>48.74</c:v>
                </c:pt>
                <c:pt idx="81">
                  <c:v>38.58</c:v>
                </c:pt>
                <c:pt idx="82">
                  <c:v>34.549999999999997</c:v>
                </c:pt>
                <c:pt idx="83">
                  <c:v>30.32</c:v>
                </c:pt>
                <c:pt idx="84">
                  <c:v>27.589999999999996</c:v>
                </c:pt>
                <c:pt idx="85">
                  <c:v>30.039999999999996</c:v>
                </c:pt>
                <c:pt idx="86">
                  <c:v>26.74</c:v>
                </c:pt>
                <c:pt idx="87">
                  <c:v>24.700000000000003</c:v>
                </c:pt>
                <c:pt idx="88">
                  <c:v>24.689999999999998</c:v>
                </c:pt>
                <c:pt idx="89">
                  <c:v>28.310000000000002</c:v>
                </c:pt>
                <c:pt idx="90">
                  <c:v>36.79</c:v>
                </c:pt>
                <c:pt idx="91">
                  <c:v>45.44</c:v>
                </c:pt>
                <c:pt idx="92">
                  <c:v>50.000000000000007</c:v>
                </c:pt>
                <c:pt idx="93">
                  <c:v>53.7</c:v>
                </c:pt>
                <c:pt idx="94">
                  <c:v>51.919999999999995</c:v>
                </c:pt>
                <c:pt idx="95">
                  <c:v>50.949999999999996</c:v>
                </c:pt>
                <c:pt idx="96">
                  <c:v>48.17</c:v>
                </c:pt>
                <c:pt idx="97">
                  <c:v>43.96</c:v>
                </c:pt>
                <c:pt idx="98">
                  <c:v>41.02</c:v>
                </c:pt>
                <c:pt idx="99">
                  <c:v>38.380000000000003</c:v>
                </c:pt>
                <c:pt idx="100">
                  <c:v>37.71</c:v>
                </c:pt>
                <c:pt idx="101">
                  <c:v>38.089999999999996</c:v>
                </c:pt>
                <c:pt idx="102">
                  <c:v>38.969999999999992</c:v>
                </c:pt>
                <c:pt idx="103">
                  <c:v>39.539999999999992</c:v>
                </c:pt>
                <c:pt idx="104">
                  <c:v>39.72</c:v>
                </c:pt>
                <c:pt idx="105">
                  <c:v>40.64</c:v>
                </c:pt>
                <c:pt idx="106">
                  <c:v>40.549999999999997</c:v>
                </c:pt>
                <c:pt idx="107">
                  <c:v>40.24</c:v>
                </c:pt>
                <c:pt idx="108">
                  <c:v>38.730000000000004</c:v>
                </c:pt>
                <c:pt idx="109">
                  <c:v>36</c:v>
                </c:pt>
                <c:pt idx="110">
                  <c:v>34.910000000000004</c:v>
                </c:pt>
                <c:pt idx="111">
                  <c:v>34.04</c:v>
                </c:pt>
                <c:pt idx="112">
                  <c:v>33.96</c:v>
                </c:pt>
                <c:pt idx="113">
                  <c:v>35.18</c:v>
                </c:pt>
                <c:pt idx="114">
                  <c:v>34.43</c:v>
                </c:pt>
                <c:pt idx="115">
                  <c:v>32.550000000000004</c:v>
                </c:pt>
                <c:pt idx="116">
                  <c:v>30.599999999999998</c:v>
                </c:pt>
                <c:pt idx="117">
                  <c:v>27.33</c:v>
                </c:pt>
                <c:pt idx="118">
                  <c:v>25.2</c:v>
                </c:pt>
                <c:pt idx="119">
                  <c:v>22.71</c:v>
                </c:pt>
                <c:pt idx="120">
                  <c:v>21.89</c:v>
                </c:pt>
                <c:pt idx="121">
                  <c:v>20.41</c:v>
                </c:pt>
                <c:pt idx="122">
                  <c:v>19.329999999999998</c:v>
                </c:pt>
                <c:pt idx="123">
                  <c:v>19.840000000000003</c:v>
                </c:pt>
                <c:pt idx="124">
                  <c:v>19.09</c:v>
                </c:pt>
                <c:pt idx="125">
                  <c:v>18.040000000000003</c:v>
                </c:pt>
                <c:pt idx="126">
                  <c:v>17.050000000000004</c:v>
                </c:pt>
                <c:pt idx="127">
                  <c:v>16.190000000000001</c:v>
                </c:pt>
                <c:pt idx="128">
                  <c:v>15.969999999999999</c:v>
                </c:pt>
                <c:pt idx="129">
                  <c:v>17.82</c:v>
                </c:pt>
                <c:pt idx="130">
                  <c:v>19.41</c:v>
                </c:pt>
                <c:pt idx="131">
                  <c:v>20.939999999999998</c:v>
                </c:pt>
                <c:pt idx="132">
                  <c:v>21.34</c:v>
                </c:pt>
                <c:pt idx="133">
                  <c:v>21.740000000000002</c:v>
                </c:pt>
                <c:pt idx="134">
                  <c:v>21.259999999999998</c:v>
                </c:pt>
                <c:pt idx="135">
                  <c:v>21.67</c:v>
                </c:pt>
                <c:pt idx="136">
                  <c:v>22.869999999999997</c:v>
                </c:pt>
                <c:pt idx="137">
                  <c:v>23.69</c:v>
                </c:pt>
                <c:pt idx="138">
                  <c:v>25.22</c:v>
                </c:pt>
                <c:pt idx="139">
                  <c:v>24.959999999999997</c:v>
                </c:pt>
                <c:pt idx="140">
                  <c:v>23.75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923-47E2-B272-AB259A06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92111"/>
        <c:axId val="327612495"/>
      </c:lineChart>
      <c:dateAx>
        <c:axId val="32761873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20399"/>
        <c:crosses val="autoZero"/>
        <c:auto val="1"/>
        <c:lblOffset val="100"/>
        <c:baseTimeUnit val="months"/>
        <c:majorUnit val="3"/>
        <c:majorTimeUnit val="months"/>
      </c:dateAx>
      <c:valAx>
        <c:axId val="32762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18735"/>
        <c:crosses val="autoZero"/>
        <c:crossBetween val="between"/>
      </c:valAx>
      <c:valAx>
        <c:axId val="327612495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92111"/>
        <c:crosses val="max"/>
        <c:crossBetween val="between"/>
      </c:valAx>
      <c:dateAx>
        <c:axId val="3275921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7612495"/>
        <c:auto val="1"/>
        <c:lblOffset val="100"/>
        <c:baseTimeUnit val="months"/>
        <c:majorUnit val="1"/>
        <c:minorUnit val="1"/>
      </c:date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9524</xdr:colOff>
      <xdr:row>42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90ADD8-968A-4756-9A8C-8F32033D7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0.93484</cdr:x>
      <cdr:y>0.05355</cdr:y>
    </cdr:from>
    <cdr:to>
      <cdr:x>0.93484</cdr:x>
      <cdr:y>0.9092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C7B64E2B-4EA6-4058-8706-3069B9759B44}"/>
            </a:ext>
          </a:extLst>
        </cdr:cNvPr>
        <cdr:cNvCxnSpPr/>
      </cdr:nvCxnSpPr>
      <cdr:spPr>
        <a:xfrm xmlns:a="http://schemas.openxmlformats.org/drawingml/2006/main">
          <a:off x="16535400" y="438150"/>
          <a:ext cx="0" cy="70008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0</xdr:rowOff>
    </xdr:from>
    <xdr:to>
      <xdr:col>25</xdr:col>
      <xdr:colOff>133350</xdr:colOff>
      <xdr:row>30</xdr:row>
      <xdr:rowOff>1765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6A206-172A-4648-AA9D-2E695569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950" y="0"/>
          <a:ext cx="7772400" cy="5716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2B9A-BDA6-4082-AD63-25677E5AEB6A}">
  <dimension ref="A1"/>
  <sheetViews>
    <sheetView tabSelected="1" workbookViewId="0">
      <selection activeCell="F42" sqref="A1:XFD104857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F651-12B9-46B0-B403-CF329A3CA4AC}">
  <dimension ref="A1:AB145"/>
  <sheetViews>
    <sheetView workbookViewId="0">
      <selection activeCell="F4" sqref="F4"/>
    </sheetView>
  </sheetViews>
  <sheetFormatPr defaultRowHeight="15" x14ac:dyDescent="0.25"/>
  <cols>
    <col min="1" max="1" width="13" customWidth="1"/>
    <col min="2" max="2" width="14.28515625" style="34" customWidth="1"/>
    <col min="3" max="3" width="12" style="34" customWidth="1"/>
    <col min="4" max="6" width="9.140625" style="34"/>
    <col min="7" max="7" width="13.140625" style="34" customWidth="1"/>
    <col min="8" max="9" width="9.140625" style="34"/>
    <col min="10" max="10" width="3.5703125" style="14" customWidth="1"/>
    <col min="11" max="11" width="10.42578125" style="34" customWidth="1"/>
    <col min="12" max="12" width="11" style="34" customWidth="1"/>
    <col min="13" max="13" width="10.42578125" style="34" customWidth="1"/>
    <col min="14" max="14" width="10.7109375" style="34" customWidth="1"/>
    <col min="15" max="15" width="3.5703125" style="14" customWidth="1"/>
    <col min="24" max="24" width="3.5703125" style="14" customWidth="1"/>
    <col min="29" max="29" width="11" customWidth="1"/>
  </cols>
  <sheetData>
    <row r="1" spans="1:28" s="2" customFormat="1" ht="90" x14ac:dyDescent="0.25">
      <c r="A1" s="15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8</v>
      </c>
      <c r="H1" s="16" t="s">
        <v>6</v>
      </c>
      <c r="I1" s="17" t="s">
        <v>7</v>
      </c>
      <c r="J1" s="8"/>
      <c r="K1" s="35" t="s">
        <v>9</v>
      </c>
      <c r="L1" s="16" t="s">
        <v>10</v>
      </c>
      <c r="M1" s="38" t="s">
        <v>11</v>
      </c>
      <c r="N1" s="38" t="s">
        <v>12</v>
      </c>
      <c r="O1" s="8"/>
      <c r="P1" s="2" t="s">
        <v>17</v>
      </c>
      <c r="Q1" s="2" t="s">
        <v>18</v>
      </c>
      <c r="R1" s="2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8"/>
      <c r="Y1" s="2" t="s">
        <v>15</v>
      </c>
      <c r="Z1" s="2" t="s">
        <v>16</v>
      </c>
      <c r="AA1" s="2" t="s">
        <v>14</v>
      </c>
      <c r="AB1" s="2" t="s">
        <v>13</v>
      </c>
    </row>
    <row r="2" spans="1:28" s="5" customFormat="1" ht="12.75" x14ac:dyDescent="0.2">
      <c r="A2" s="3">
        <v>45291</v>
      </c>
      <c r="B2" s="19">
        <v>62.4</v>
      </c>
      <c r="C2" s="19">
        <v>55.084773013758657</v>
      </c>
      <c r="D2" s="19">
        <v>16.657699999999998</v>
      </c>
      <c r="E2" s="19"/>
      <c r="F2" s="19"/>
      <c r="G2" s="18"/>
      <c r="H2" s="20"/>
      <c r="I2" s="18"/>
      <c r="J2" s="9"/>
      <c r="K2" s="36">
        <f>SUM(C2:C5)</f>
        <v>209.29373127068766</v>
      </c>
      <c r="L2" s="36">
        <f>SUM(C2:D5)</f>
        <v>274.61203661419472</v>
      </c>
      <c r="M2" s="18">
        <f>H2/K2</f>
        <v>0</v>
      </c>
      <c r="N2" s="18">
        <f>H2/L2</f>
        <v>0</v>
      </c>
      <c r="O2" s="9"/>
      <c r="P2" s="4">
        <f>K2*12</f>
        <v>2511.5247752482519</v>
      </c>
      <c r="Q2" s="4">
        <f>K2*14</f>
        <v>2930.1122377896272</v>
      </c>
      <c r="R2" s="4">
        <f>K2*15</f>
        <v>3139.4059690603149</v>
      </c>
      <c r="S2" s="4">
        <f>K2*16</f>
        <v>3348.6997003310025</v>
      </c>
      <c r="T2" s="4">
        <f>K2*18</f>
        <v>3767.2871628723778</v>
      </c>
      <c r="U2" s="4">
        <f>K2*21</f>
        <v>4395.1683566844404</v>
      </c>
      <c r="V2" s="4">
        <f>K2*24</f>
        <v>5023.0495504965038</v>
      </c>
      <c r="W2" s="4">
        <f>K2*27</f>
        <v>5650.9307443085672</v>
      </c>
      <c r="X2" s="9"/>
      <c r="Y2" s="4">
        <f>L2*12</f>
        <v>3295.3444393703367</v>
      </c>
      <c r="Z2" s="4">
        <f>L2*14</f>
        <v>3844.5685125987261</v>
      </c>
      <c r="AA2" s="4">
        <f>L2*15</f>
        <v>4119.1805492129206</v>
      </c>
      <c r="AB2" s="4">
        <f>L2*16</f>
        <v>4393.7925858271155</v>
      </c>
    </row>
    <row r="3" spans="1:28" s="6" customFormat="1" ht="12.75" x14ac:dyDescent="0.2">
      <c r="A3" s="3">
        <v>45199</v>
      </c>
      <c r="B3" s="19">
        <v>60.37</v>
      </c>
      <c r="C3" s="19">
        <v>53.138911117133624</v>
      </c>
      <c r="D3" s="19">
        <v>16.627038249907311</v>
      </c>
      <c r="E3" s="19"/>
      <c r="F3" s="19"/>
      <c r="G3" s="19"/>
      <c r="H3" s="20"/>
      <c r="I3" s="18"/>
      <c r="J3" s="10"/>
      <c r="K3" s="36">
        <f t="shared" ref="K3:K6" si="0">SUM(C3:C6)</f>
        <v>204.51579647242579</v>
      </c>
      <c r="L3" s="36">
        <f t="shared" ref="L3:L6" si="1">SUM(C3:D6)</f>
        <v>268.53540181593286</v>
      </c>
      <c r="M3" s="18">
        <f t="shared" ref="M3:M6" si="2">H3/K3</f>
        <v>0</v>
      </c>
      <c r="N3" s="18">
        <f t="shared" ref="N3:N66" si="3">H3/L3</f>
        <v>0</v>
      </c>
      <c r="O3" s="10"/>
      <c r="P3" s="4">
        <f t="shared" ref="P3:P66" si="4">K3*12</f>
        <v>2454.1895576691095</v>
      </c>
      <c r="Q3" s="4">
        <f t="shared" ref="Q3:Q66" si="5">K3*14</f>
        <v>2863.2211506139611</v>
      </c>
      <c r="R3" s="4">
        <f t="shared" ref="R3:R66" si="6">K3*15</f>
        <v>3067.7369470863869</v>
      </c>
      <c r="S3" s="4">
        <f t="shared" ref="S3:S66" si="7">K3*16</f>
        <v>3272.2527435588127</v>
      </c>
      <c r="T3" s="4">
        <f t="shared" ref="T3:T66" si="8">K3*18</f>
        <v>3681.2843365036642</v>
      </c>
      <c r="U3" s="4">
        <f t="shared" ref="U3:U66" si="9">K3*21</f>
        <v>4294.8317259209416</v>
      </c>
      <c r="V3" s="4">
        <f t="shared" ref="V3:V66" si="10">K3*24</f>
        <v>4908.379115338219</v>
      </c>
      <c r="W3" s="4">
        <f t="shared" ref="W3:W66" si="11">K3*27</f>
        <v>5521.9265047554964</v>
      </c>
      <c r="X3" s="10"/>
      <c r="Y3" s="4">
        <f>L3*12</f>
        <v>3222.4248217911945</v>
      </c>
      <c r="Z3" s="4">
        <f>L3*14</f>
        <v>3759.4956254230601</v>
      </c>
      <c r="AA3" s="4">
        <f t="shared" ref="AA3:AA66" si="12">L3*15</f>
        <v>4028.0310272389929</v>
      </c>
      <c r="AB3" s="4">
        <f>L3*16</f>
        <v>4296.5664290549257</v>
      </c>
    </row>
    <row r="4" spans="1:28" s="5" customFormat="1" ht="12.75" x14ac:dyDescent="0.2">
      <c r="A4" s="3">
        <v>45107</v>
      </c>
      <c r="B4" s="19">
        <v>58.85</v>
      </c>
      <c r="C4" s="19">
        <v>51.507759371179979</v>
      </c>
      <c r="D4" s="19">
        <v>16.25010093695899</v>
      </c>
      <c r="E4" s="19"/>
      <c r="F4" s="19"/>
      <c r="G4" s="19"/>
      <c r="H4" s="20"/>
      <c r="I4" s="18"/>
      <c r="J4" s="10"/>
      <c r="K4" s="36">
        <f t="shared" si="0"/>
        <v>199.28688053122019</v>
      </c>
      <c r="L4" s="36">
        <f t="shared" si="1"/>
        <v>263.33714762481998</v>
      </c>
      <c r="M4" s="18">
        <f t="shared" si="2"/>
        <v>0</v>
      </c>
      <c r="N4" s="18">
        <f t="shared" si="3"/>
        <v>0</v>
      </c>
      <c r="O4" s="10"/>
      <c r="P4" s="4">
        <f t="shared" si="4"/>
        <v>2391.4425663746424</v>
      </c>
      <c r="Q4" s="4">
        <f t="shared" si="5"/>
        <v>2790.0163274370825</v>
      </c>
      <c r="R4" s="4">
        <f t="shared" si="6"/>
        <v>2989.303207968303</v>
      </c>
      <c r="S4" s="4">
        <f t="shared" si="7"/>
        <v>3188.5900884995231</v>
      </c>
      <c r="T4" s="4">
        <f t="shared" si="8"/>
        <v>3587.1638495619636</v>
      </c>
      <c r="U4" s="4">
        <f t="shared" si="9"/>
        <v>4185.0244911556238</v>
      </c>
      <c r="V4" s="4">
        <f t="shared" si="10"/>
        <v>4782.8851327492848</v>
      </c>
      <c r="W4" s="4">
        <f t="shared" si="11"/>
        <v>5380.745774342945</v>
      </c>
      <c r="X4" s="10"/>
      <c r="Y4" s="4">
        <f>L4*12</f>
        <v>3160.0457714978397</v>
      </c>
      <c r="Z4" s="4">
        <f>L4*14</f>
        <v>3686.7200667474799</v>
      </c>
      <c r="AA4" s="4">
        <f t="shared" si="12"/>
        <v>3950.0572143722998</v>
      </c>
      <c r="AB4" s="4">
        <f>L4*16</f>
        <v>4213.3943619971196</v>
      </c>
    </row>
    <row r="5" spans="1:28" s="6" customFormat="1" ht="12.75" x14ac:dyDescent="0.2">
      <c r="A5" s="3">
        <v>45016</v>
      </c>
      <c r="B5" s="19">
        <v>56.67</v>
      </c>
      <c r="C5" s="19">
        <v>49.562287768615377</v>
      </c>
      <c r="D5" s="19">
        <v>15.783466156640799</v>
      </c>
      <c r="E5" s="19"/>
      <c r="F5" s="19"/>
      <c r="G5" s="19"/>
      <c r="H5" s="20"/>
      <c r="I5" s="18"/>
      <c r="J5" s="10"/>
      <c r="K5" s="36">
        <f t="shared" si="0"/>
        <v>190.51912116004021</v>
      </c>
      <c r="L5" s="36">
        <f t="shared" si="1"/>
        <v>254.94632556658834</v>
      </c>
      <c r="M5" s="18">
        <f t="shared" si="2"/>
        <v>0</v>
      </c>
      <c r="N5" s="18">
        <f t="shared" si="3"/>
        <v>0</v>
      </c>
      <c r="O5" s="10"/>
      <c r="P5" s="4">
        <f t="shared" si="4"/>
        <v>2286.2294539204827</v>
      </c>
      <c r="Q5" s="4">
        <f t="shared" si="5"/>
        <v>2667.2676962405631</v>
      </c>
      <c r="R5" s="4">
        <f t="shared" si="6"/>
        <v>2857.786817400603</v>
      </c>
      <c r="S5" s="4">
        <f t="shared" si="7"/>
        <v>3048.3059385606434</v>
      </c>
      <c r="T5" s="4">
        <f t="shared" si="8"/>
        <v>3429.3441808807238</v>
      </c>
      <c r="U5" s="4">
        <f t="shared" si="9"/>
        <v>4000.9015443608446</v>
      </c>
      <c r="V5" s="4">
        <f t="shared" si="10"/>
        <v>4572.4589078409654</v>
      </c>
      <c r="W5" s="4">
        <f t="shared" si="11"/>
        <v>5144.0162713210857</v>
      </c>
      <c r="X5" s="10"/>
      <c r="Y5" s="4">
        <f>L5*12</f>
        <v>3059.35590679906</v>
      </c>
      <c r="Z5" s="4">
        <f>L5*14</f>
        <v>3569.248557932237</v>
      </c>
      <c r="AA5" s="4">
        <f t="shared" si="12"/>
        <v>3824.1948834988252</v>
      </c>
      <c r="AB5" s="4">
        <f>L5*16</f>
        <v>4079.1412090654135</v>
      </c>
    </row>
    <row r="6" spans="1:28" s="5" customFormat="1" ht="12.75" x14ac:dyDescent="0.2">
      <c r="A6" s="3">
        <v>44926</v>
      </c>
      <c r="B6" s="19">
        <v>57.09</v>
      </c>
      <c r="C6" s="19">
        <v>50.306838215496803</v>
      </c>
      <c r="D6" s="19">
        <v>15.359</v>
      </c>
      <c r="E6" s="19"/>
      <c r="F6" s="19"/>
      <c r="G6" s="19"/>
      <c r="H6" s="47">
        <v>3700</v>
      </c>
      <c r="I6" s="18"/>
      <c r="J6" s="10"/>
      <c r="K6" s="36">
        <f t="shared" si="0"/>
        <v>186.94683339142486</v>
      </c>
      <c r="L6" s="36">
        <f t="shared" si="1"/>
        <v>251.84067257829119</v>
      </c>
      <c r="M6" s="18">
        <f t="shared" si="2"/>
        <v>19.791723309124084</v>
      </c>
      <c r="N6" s="18">
        <f t="shared" si="3"/>
        <v>14.691828615768008</v>
      </c>
      <c r="O6" s="10"/>
      <c r="P6" s="4">
        <f t="shared" si="4"/>
        <v>2243.3620006970982</v>
      </c>
      <c r="Q6" s="4">
        <f t="shared" si="5"/>
        <v>2617.255667479948</v>
      </c>
      <c r="R6" s="4">
        <f t="shared" si="6"/>
        <v>2804.2025008713731</v>
      </c>
      <c r="S6" s="4">
        <f t="shared" si="7"/>
        <v>2991.1493342627978</v>
      </c>
      <c r="T6" s="4">
        <f t="shared" si="8"/>
        <v>3365.0430010456475</v>
      </c>
      <c r="U6" s="4">
        <f t="shared" si="9"/>
        <v>3925.883501219922</v>
      </c>
      <c r="V6" s="4">
        <f t="shared" si="10"/>
        <v>4486.7240013941964</v>
      </c>
      <c r="W6" s="4">
        <f t="shared" si="11"/>
        <v>5047.5645015684713</v>
      </c>
      <c r="X6" s="10"/>
      <c r="Y6" s="4">
        <f>L6*12</f>
        <v>3022.0880709394942</v>
      </c>
      <c r="Z6" s="4">
        <f>L6*14</f>
        <v>3525.7694160960768</v>
      </c>
      <c r="AA6" s="4">
        <f t="shared" si="12"/>
        <v>3777.6100886743679</v>
      </c>
      <c r="AB6" s="4">
        <f>L6*16</f>
        <v>4029.450761252659</v>
      </c>
    </row>
    <row r="7" spans="1:28" s="5" customFormat="1" ht="12.75" x14ac:dyDescent="0.2">
      <c r="A7" s="3">
        <v>44834</v>
      </c>
      <c r="B7" s="19">
        <v>54.8</v>
      </c>
      <c r="C7" s="19">
        <v>47.909995175928039</v>
      </c>
      <c r="D7" s="19">
        <v>16.657699999999998</v>
      </c>
      <c r="E7" s="19"/>
      <c r="F7" s="19"/>
      <c r="G7" s="18"/>
      <c r="H7" s="20">
        <v>3585.6241035486701</v>
      </c>
      <c r="I7" s="18">
        <v>8399.9524263174299</v>
      </c>
      <c r="J7" s="9"/>
      <c r="K7" s="36">
        <f>SUM(C7:C10)</f>
        <v>190.57999517592805</v>
      </c>
      <c r="L7" s="36">
        <f>SUM(C7:D10)</f>
        <v>255.89830051943517</v>
      </c>
      <c r="M7" s="18">
        <f>H7/K7</f>
        <v>18.814273241211449</v>
      </c>
      <c r="N7" s="18">
        <f t="shared" si="3"/>
        <v>14.01191057646882</v>
      </c>
      <c r="O7" s="9"/>
      <c r="P7" s="4">
        <f t="shared" si="4"/>
        <v>2286.9599421111366</v>
      </c>
      <c r="Q7" s="4">
        <f t="shared" si="5"/>
        <v>2668.1199324629924</v>
      </c>
      <c r="R7" s="4">
        <f t="shared" si="6"/>
        <v>2858.6999276389206</v>
      </c>
      <c r="S7" s="4">
        <f t="shared" si="7"/>
        <v>3049.2799228148488</v>
      </c>
      <c r="T7" s="4">
        <f t="shared" si="8"/>
        <v>3430.4399131667051</v>
      </c>
      <c r="U7" s="4">
        <f t="shared" si="9"/>
        <v>4002.1798986944891</v>
      </c>
      <c r="V7" s="4">
        <f t="shared" si="10"/>
        <v>4573.9198842222731</v>
      </c>
      <c r="W7" s="4">
        <f t="shared" si="11"/>
        <v>5145.6598697500576</v>
      </c>
      <c r="X7" s="9"/>
      <c r="Y7" s="4">
        <f>L7*12</f>
        <v>3070.7796062332218</v>
      </c>
      <c r="Z7" s="4">
        <f>L7*14</f>
        <v>3582.5762072720922</v>
      </c>
      <c r="AA7" s="4">
        <f t="shared" si="12"/>
        <v>3838.4745077915277</v>
      </c>
      <c r="AB7" s="4">
        <f>L7*16</f>
        <v>4094.3728083109627</v>
      </c>
    </row>
    <row r="8" spans="1:28" s="45" customFormat="1" ht="12.75" x14ac:dyDescent="0.2">
      <c r="A8" s="39">
        <v>44742</v>
      </c>
      <c r="B8" s="40">
        <v>46.87</v>
      </c>
      <c r="C8" s="40">
        <v>42.74</v>
      </c>
      <c r="D8" s="40">
        <v>16.627038249907311</v>
      </c>
      <c r="E8" s="40">
        <v>431.38913901600301</v>
      </c>
      <c r="F8" s="40">
        <v>1001.4726000000001</v>
      </c>
      <c r="G8" s="40">
        <v>23.341000000000001</v>
      </c>
      <c r="H8" s="41">
        <v>3785.3848459311298</v>
      </c>
      <c r="I8" s="42">
        <v>8427.9920608644607</v>
      </c>
      <c r="J8" s="43"/>
      <c r="K8" s="44">
        <f t="shared" ref="K8:K71" si="13">SUM(C8:C11)</f>
        <v>192.26000000000002</v>
      </c>
      <c r="L8" s="44">
        <f t="shared" ref="L8:L71" si="14">SUM(C8:D11)</f>
        <v>256.27960534350706</v>
      </c>
      <c r="M8" s="42">
        <f t="shared" ref="M8:M71" si="15">H8/K8</f>
        <v>19.688884042084311</v>
      </c>
      <c r="N8" s="42">
        <f t="shared" si="3"/>
        <v>14.770527061087634</v>
      </c>
      <c r="O8" s="43"/>
      <c r="P8" s="4">
        <f t="shared" si="4"/>
        <v>2307.1200000000003</v>
      </c>
      <c r="Q8" s="4">
        <f t="shared" si="5"/>
        <v>2691.6400000000003</v>
      </c>
      <c r="R8" s="4">
        <f t="shared" si="6"/>
        <v>2883.9</v>
      </c>
      <c r="S8" s="4">
        <f t="shared" si="7"/>
        <v>3076.1600000000003</v>
      </c>
      <c r="T8" s="4">
        <f t="shared" si="8"/>
        <v>3460.6800000000003</v>
      </c>
      <c r="U8" s="4">
        <f t="shared" si="9"/>
        <v>4037.4600000000005</v>
      </c>
      <c r="V8" s="4">
        <f t="shared" si="10"/>
        <v>4614.2400000000007</v>
      </c>
      <c r="W8" s="4">
        <f t="shared" si="11"/>
        <v>5191.0200000000004</v>
      </c>
      <c r="X8" s="43"/>
      <c r="Y8" s="46">
        <f>L8*12</f>
        <v>3075.3552641220849</v>
      </c>
      <c r="Z8" s="46">
        <f>L8*14</f>
        <v>3587.9144748090989</v>
      </c>
      <c r="AA8" s="46">
        <f t="shared" si="12"/>
        <v>3844.1940801526057</v>
      </c>
      <c r="AB8" s="46">
        <f>L8*16</f>
        <v>4100.4736854961129</v>
      </c>
    </row>
    <row r="9" spans="1:28" s="5" customFormat="1" ht="12.75" x14ac:dyDescent="0.2">
      <c r="A9" s="3">
        <v>44651</v>
      </c>
      <c r="B9" s="19">
        <v>49.36</v>
      </c>
      <c r="C9" s="19">
        <v>45.99</v>
      </c>
      <c r="D9" s="19">
        <v>16.25010093695899</v>
      </c>
      <c r="E9" s="19">
        <v>413.731947494422</v>
      </c>
      <c r="F9" s="19">
        <v>1005.6278</v>
      </c>
      <c r="G9" s="19">
        <v>21.777899999999999</v>
      </c>
      <c r="H9" s="20">
        <v>4530.4134516834702</v>
      </c>
      <c r="I9" s="18">
        <v>8451.3251981430185</v>
      </c>
      <c r="J9" s="10"/>
      <c r="K9" s="36">
        <f t="shared" si="13"/>
        <v>197.91000000000003</v>
      </c>
      <c r="L9" s="36">
        <f t="shared" si="14"/>
        <v>259.87997432407474</v>
      </c>
      <c r="M9" s="18">
        <f t="shared" si="15"/>
        <v>22.891281146397198</v>
      </c>
      <c r="N9" s="18">
        <f t="shared" si="3"/>
        <v>17.432714711730608</v>
      </c>
      <c r="O9" s="10"/>
      <c r="P9" s="4">
        <f t="shared" si="4"/>
        <v>2374.92</v>
      </c>
      <c r="Q9" s="4">
        <f t="shared" si="5"/>
        <v>2770.7400000000002</v>
      </c>
      <c r="R9" s="4">
        <f t="shared" si="6"/>
        <v>2968.6500000000005</v>
      </c>
      <c r="S9" s="4">
        <f t="shared" si="7"/>
        <v>3166.5600000000004</v>
      </c>
      <c r="T9" s="4">
        <f t="shared" si="8"/>
        <v>3562.3800000000006</v>
      </c>
      <c r="U9" s="4">
        <f t="shared" si="9"/>
        <v>4156.1100000000006</v>
      </c>
      <c r="V9" s="4">
        <f t="shared" si="10"/>
        <v>4749.84</v>
      </c>
      <c r="W9" s="4">
        <f t="shared" si="11"/>
        <v>5343.5700000000006</v>
      </c>
      <c r="X9" s="10"/>
      <c r="Y9" s="4">
        <f>L9*12</f>
        <v>3118.5596918888969</v>
      </c>
      <c r="Z9" s="4">
        <f>L9*14</f>
        <v>3638.3196405370463</v>
      </c>
      <c r="AA9" s="4">
        <f t="shared" si="12"/>
        <v>3898.1996148611211</v>
      </c>
      <c r="AB9" s="4">
        <f>L9*16</f>
        <v>4158.0795891851958</v>
      </c>
    </row>
    <row r="10" spans="1:28" s="6" customFormat="1" ht="12.75" x14ac:dyDescent="0.2">
      <c r="A10" s="3">
        <v>44561</v>
      </c>
      <c r="B10" s="19">
        <v>56.73</v>
      </c>
      <c r="C10" s="19">
        <v>53.94</v>
      </c>
      <c r="D10" s="19">
        <v>15.783466156640799</v>
      </c>
      <c r="E10" s="19">
        <v>423.17418038972301</v>
      </c>
      <c r="F10" s="19">
        <v>1008.0234</v>
      </c>
      <c r="G10" s="19">
        <v>24.046600000000002</v>
      </c>
      <c r="H10" s="20">
        <v>4766.1829724282998</v>
      </c>
      <c r="I10" s="18">
        <v>8467.2568053590385</v>
      </c>
      <c r="J10" s="10"/>
      <c r="K10" s="36">
        <f t="shared" si="13"/>
        <v>197.87</v>
      </c>
      <c r="L10" s="36">
        <f t="shared" si="14"/>
        <v>258.26711728239258</v>
      </c>
      <c r="M10" s="18">
        <f t="shared" si="15"/>
        <v>24.087446163785817</v>
      </c>
      <c r="N10" s="18">
        <f t="shared" si="3"/>
        <v>18.454470792024576</v>
      </c>
      <c r="O10" s="10"/>
      <c r="P10" s="4">
        <f t="shared" si="4"/>
        <v>2374.44</v>
      </c>
      <c r="Q10" s="4">
        <f t="shared" si="5"/>
        <v>2770.1800000000003</v>
      </c>
      <c r="R10" s="4">
        <f t="shared" si="6"/>
        <v>2968.05</v>
      </c>
      <c r="S10" s="4">
        <f t="shared" si="7"/>
        <v>3165.92</v>
      </c>
      <c r="T10" s="4">
        <f t="shared" si="8"/>
        <v>3561.66</v>
      </c>
      <c r="U10" s="4">
        <f t="shared" si="9"/>
        <v>4155.2700000000004</v>
      </c>
      <c r="V10" s="4">
        <f t="shared" si="10"/>
        <v>4748.88</v>
      </c>
      <c r="W10" s="4">
        <f t="shared" si="11"/>
        <v>5342.49</v>
      </c>
      <c r="X10" s="10"/>
      <c r="Y10" s="4">
        <f>L10*12</f>
        <v>3099.2054073887111</v>
      </c>
      <c r="Z10" s="4">
        <f>L10*14</f>
        <v>3615.7396419534962</v>
      </c>
      <c r="AA10" s="4">
        <f t="shared" si="12"/>
        <v>3874.0067592358887</v>
      </c>
      <c r="AB10" s="4">
        <f>L10*16</f>
        <v>4132.2738765182812</v>
      </c>
    </row>
    <row r="11" spans="1:28" s="5" customFormat="1" ht="12.75" x14ac:dyDescent="0.2">
      <c r="A11" s="3">
        <v>44469</v>
      </c>
      <c r="B11" s="19">
        <v>52.02</v>
      </c>
      <c r="C11" s="19">
        <v>49.59</v>
      </c>
      <c r="D11" s="19">
        <v>15.359</v>
      </c>
      <c r="E11" s="19">
        <v>395.06714915593102</v>
      </c>
      <c r="F11" s="19">
        <v>983.04240000000004</v>
      </c>
      <c r="G11" s="19">
        <v>20.7683</v>
      </c>
      <c r="H11" s="20">
        <v>4307.5387507897103</v>
      </c>
      <c r="I11" s="18">
        <v>8482.4281916565105</v>
      </c>
      <c r="J11" s="10"/>
      <c r="K11" s="36">
        <f t="shared" si="13"/>
        <v>175.37</v>
      </c>
      <c r="L11" s="36">
        <f t="shared" si="14"/>
        <v>234.62448274854421</v>
      </c>
      <c r="M11" s="18">
        <f t="shared" si="15"/>
        <v>24.562574846266237</v>
      </c>
      <c r="N11" s="18">
        <f t="shared" si="3"/>
        <v>18.359289279313021</v>
      </c>
      <c r="O11" s="10"/>
      <c r="P11" s="4">
        <f t="shared" si="4"/>
        <v>2104.44</v>
      </c>
      <c r="Q11" s="4">
        <f t="shared" si="5"/>
        <v>2455.1800000000003</v>
      </c>
      <c r="R11" s="4">
        <f t="shared" si="6"/>
        <v>2630.55</v>
      </c>
      <c r="S11" s="4">
        <f t="shared" si="7"/>
        <v>2805.92</v>
      </c>
      <c r="T11" s="4">
        <f t="shared" si="8"/>
        <v>3156.66</v>
      </c>
      <c r="U11" s="4">
        <f t="shared" si="9"/>
        <v>3682.77</v>
      </c>
      <c r="V11" s="4">
        <f t="shared" si="10"/>
        <v>4208.88</v>
      </c>
      <c r="W11" s="4">
        <f t="shared" si="11"/>
        <v>4734.99</v>
      </c>
      <c r="X11" s="10"/>
      <c r="Y11" s="4">
        <f>L11*12</f>
        <v>2815.4937929825305</v>
      </c>
      <c r="Z11" s="4">
        <f>L11*14</f>
        <v>3284.7427584796187</v>
      </c>
      <c r="AA11" s="4">
        <f t="shared" si="12"/>
        <v>3519.367241228163</v>
      </c>
      <c r="AB11" s="4">
        <f>L11*16</f>
        <v>3753.9917239767074</v>
      </c>
    </row>
    <row r="12" spans="1:28" s="6" customFormat="1" ht="12.75" x14ac:dyDescent="0.2">
      <c r="A12" s="3">
        <v>44377</v>
      </c>
      <c r="B12" s="19">
        <v>52.05</v>
      </c>
      <c r="C12" s="19">
        <v>48.39</v>
      </c>
      <c r="D12" s="19">
        <v>14.577407230474947</v>
      </c>
      <c r="E12" s="19">
        <v>384.50522159944802</v>
      </c>
      <c r="F12" s="19">
        <v>969.73299999999995</v>
      </c>
      <c r="G12" s="19">
        <v>19.357399999999998</v>
      </c>
      <c r="H12" s="20">
        <v>4297.4966318818697</v>
      </c>
      <c r="I12" s="18">
        <v>8452.5341237910507</v>
      </c>
      <c r="J12" s="10"/>
      <c r="K12" s="36">
        <f t="shared" si="13"/>
        <v>158.76</v>
      </c>
      <c r="L12" s="36">
        <f t="shared" si="14"/>
        <v>216.62504213441616</v>
      </c>
      <c r="M12" s="18">
        <f t="shared" si="15"/>
        <v>27.069139782576656</v>
      </c>
      <c r="N12" s="18">
        <f t="shared" si="3"/>
        <v>19.838411060597817</v>
      </c>
      <c r="O12" s="10"/>
      <c r="P12" s="4">
        <f t="shared" si="4"/>
        <v>1905.12</v>
      </c>
      <c r="Q12" s="4">
        <f t="shared" si="5"/>
        <v>2222.64</v>
      </c>
      <c r="R12" s="4">
        <f t="shared" si="6"/>
        <v>2381.3999999999996</v>
      </c>
      <c r="S12" s="4">
        <f t="shared" si="7"/>
        <v>2540.16</v>
      </c>
      <c r="T12" s="4">
        <f t="shared" si="8"/>
        <v>2857.68</v>
      </c>
      <c r="U12" s="4">
        <f t="shared" si="9"/>
        <v>3333.96</v>
      </c>
      <c r="V12" s="4">
        <f t="shared" si="10"/>
        <v>3810.24</v>
      </c>
      <c r="W12" s="4">
        <f t="shared" si="11"/>
        <v>4286.5199999999995</v>
      </c>
      <c r="X12" s="10"/>
      <c r="Y12" s="4">
        <f>L12*12</f>
        <v>2599.5005056129939</v>
      </c>
      <c r="Z12" s="4">
        <f>L12*14</f>
        <v>3032.7505898818263</v>
      </c>
      <c r="AA12" s="4">
        <f t="shared" si="12"/>
        <v>3249.3756320162424</v>
      </c>
      <c r="AB12" s="4">
        <f>L12*16</f>
        <v>3466.0006741506586</v>
      </c>
    </row>
    <row r="13" spans="1:28" s="6" customFormat="1" ht="12.75" x14ac:dyDescent="0.2">
      <c r="A13" s="3">
        <v>44286</v>
      </c>
      <c r="B13" s="19">
        <v>47.41</v>
      </c>
      <c r="C13" s="19">
        <v>45.95</v>
      </c>
      <c r="D13" s="19">
        <v>14.67724389527684</v>
      </c>
      <c r="E13" s="19">
        <v>364.05324016730901</v>
      </c>
      <c r="F13" s="19">
        <v>938.53150000000005</v>
      </c>
      <c r="G13" s="19">
        <v>18.038499999999999</v>
      </c>
      <c r="H13" s="20">
        <v>3972.8922084302499</v>
      </c>
      <c r="I13" s="18">
        <v>8462.1873828658699</v>
      </c>
      <c r="J13" s="10"/>
      <c r="K13" s="36">
        <f t="shared" si="13"/>
        <v>128.19999999999999</v>
      </c>
      <c r="L13" s="36">
        <f t="shared" si="14"/>
        <v>185.83338706490267</v>
      </c>
      <c r="M13" s="18">
        <f t="shared" si="15"/>
        <v>30.98979881770866</v>
      </c>
      <c r="N13" s="18">
        <f t="shared" si="3"/>
        <v>21.378785971558006</v>
      </c>
      <c r="O13" s="10"/>
      <c r="P13" s="4">
        <f t="shared" si="4"/>
        <v>1538.3999999999999</v>
      </c>
      <c r="Q13" s="4">
        <f t="shared" si="5"/>
        <v>1794.7999999999997</v>
      </c>
      <c r="R13" s="4">
        <f t="shared" si="6"/>
        <v>1922.9999999999998</v>
      </c>
      <c r="S13" s="4">
        <f t="shared" si="7"/>
        <v>2051.1999999999998</v>
      </c>
      <c r="T13" s="4">
        <f t="shared" si="8"/>
        <v>2307.6</v>
      </c>
      <c r="U13" s="4">
        <f t="shared" si="9"/>
        <v>2692.2</v>
      </c>
      <c r="V13" s="4">
        <f t="shared" si="10"/>
        <v>3076.7999999999997</v>
      </c>
      <c r="W13" s="4">
        <f t="shared" si="11"/>
        <v>3461.3999999999996</v>
      </c>
      <c r="X13" s="10"/>
      <c r="Y13" s="4">
        <f>L13*12</f>
        <v>2230.0006447788319</v>
      </c>
      <c r="Z13" s="4">
        <f>L13*14</f>
        <v>2601.6674189086375</v>
      </c>
      <c r="AA13" s="4">
        <f t="shared" si="12"/>
        <v>2787.5008059735401</v>
      </c>
      <c r="AB13" s="4">
        <f>L13*16</f>
        <v>2973.3341930384427</v>
      </c>
    </row>
    <row r="14" spans="1:28" s="5" customFormat="1" ht="12.75" x14ac:dyDescent="0.2">
      <c r="A14" s="3">
        <v>44196</v>
      </c>
      <c r="B14" s="19">
        <v>38.18</v>
      </c>
      <c r="C14" s="19">
        <v>31.44</v>
      </c>
      <c r="D14" s="19">
        <v>14.640831622792422</v>
      </c>
      <c r="E14" s="19">
        <v>367.47827342610799</v>
      </c>
      <c r="F14" s="19">
        <v>927.51750000000004</v>
      </c>
      <c r="G14" s="19">
        <v>20.909700000000001</v>
      </c>
      <c r="H14" s="20">
        <v>3756.0714689572001</v>
      </c>
      <c r="I14" s="18">
        <v>8428.67362836559</v>
      </c>
      <c r="J14" s="10"/>
      <c r="K14" s="36">
        <f t="shared" si="13"/>
        <v>94.13</v>
      </c>
      <c r="L14" s="36">
        <f t="shared" si="14"/>
        <v>152.40884613601017</v>
      </c>
      <c r="M14" s="18">
        <f t="shared" si="15"/>
        <v>39.903022086021465</v>
      </c>
      <c r="N14" s="18">
        <f t="shared" si="3"/>
        <v>24.644707733075212</v>
      </c>
      <c r="O14" s="10"/>
      <c r="P14" s="4">
        <f t="shared" si="4"/>
        <v>1129.56</v>
      </c>
      <c r="Q14" s="4">
        <f t="shared" si="5"/>
        <v>1317.82</v>
      </c>
      <c r="R14" s="4">
        <f t="shared" si="6"/>
        <v>1411.9499999999998</v>
      </c>
      <c r="S14" s="4">
        <f t="shared" si="7"/>
        <v>1506.08</v>
      </c>
      <c r="T14" s="4">
        <f t="shared" si="8"/>
        <v>1694.34</v>
      </c>
      <c r="U14" s="4">
        <f t="shared" si="9"/>
        <v>1976.73</v>
      </c>
      <c r="V14" s="4">
        <f t="shared" si="10"/>
        <v>2259.12</v>
      </c>
      <c r="W14" s="4">
        <f t="shared" si="11"/>
        <v>2541.5099999999998</v>
      </c>
      <c r="X14" s="10"/>
      <c r="Y14" s="4">
        <f>L14*12</f>
        <v>1828.9061536321219</v>
      </c>
      <c r="Z14" s="4">
        <f>L14*14</f>
        <v>2133.7238459041423</v>
      </c>
      <c r="AA14" s="4">
        <f t="shared" si="12"/>
        <v>2286.1326920401525</v>
      </c>
      <c r="AB14" s="4">
        <f>L14*16</f>
        <v>2438.5415381761627</v>
      </c>
    </row>
    <row r="15" spans="1:28" s="5" customFormat="1" x14ac:dyDescent="0.25">
      <c r="A15" s="3">
        <v>44104</v>
      </c>
      <c r="B15" s="19">
        <v>37.9</v>
      </c>
      <c r="C15" s="21">
        <v>32.979999999999997</v>
      </c>
      <c r="D15" s="19">
        <v>13.969559385871939</v>
      </c>
      <c r="E15" s="19">
        <v>346.71021912748</v>
      </c>
      <c r="F15" s="19">
        <v>920.33609999999999</v>
      </c>
      <c r="G15" s="19">
        <v>17.938300000000002</v>
      </c>
      <c r="H15" s="20">
        <v>3362.9989876496502</v>
      </c>
      <c r="I15" s="18">
        <v>8286.6732987839478</v>
      </c>
      <c r="J15" s="11"/>
      <c r="K15" s="36">
        <f t="shared" si="13"/>
        <v>98.22</v>
      </c>
      <c r="L15" s="36">
        <f t="shared" si="14"/>
        <v>157.07123671411031</v>
      </c>
      <c r="M15" s="18">
        <f t="shared" si="15"/>
        <v>34.239452124309203</v>
      </c>
      <c r="N15" s="18">
        <f t="shared" si="3"/>
        <v>21.410660907768474</v>
      </c>
      <c r="O15" s="11"/>
      <c r="P15" s="4">
        <f t="shared" si="4"/>
        <v>1178.6399999999999</v>
      </c>
      <c r="Q15" s="4">
        <f t="shared" si="5"/>
        <v>1375.08</v>
      </c>
      <c r="R15" s="4">
        <f t="shared" si="6"/>
        <v>1473.3</v>
      </c>
      <c r="S15" s="4">
        <f t="shared" si="7"/>
        <v>1571.52</v>
      </c>
      <c r="T15" s="4">
        <f t="shared" si="8"/>
        <v>1767.96</v>
      </c>
      <c r="U15" s="4">
        <f t="shared" si="9"/>
        <v>2062.62</v>
      </c>
      <c r="V15" s="4">
        <f t="shared" si="10"/>
        <v>2357.2799999999997</v>
      </c>
      <c r="W15" s="4">
        <f t="shared" si="11"/>
        <v>2651.94</v>
      </c>
      <c r="X15" s="11"/>
      <c r="Y15" s="4">
        <f>L15*12</f>
        <v>1884.8548405693236</v>
      </c>
      <c r="Z15" s="4">
        <f>L15*14</f>
        <v>2198.9973139975446</v>
      </c>
      <c r="AA15" s="4">
        <f t="shared" si="12"/>
        <v>2356.0685507116546</v>
      </c>
      <c r="AB15" s="4">
        <f>L15*16</f>
        <v>2513.139787425765</v>
      </c>
    </row>
    <row r="16" spans="1:28" s="6" customFormat="1" x14ac:dyDescent="0.25">
      <c r="A16" s="3">
        <v>44012</v>
      </c>
      <c r="B16" s="19">
        <v>26.79</v>
      </c>
      <c r="C16" s="21">
        <v>17.829999999999998</v>
      </c>
      <c r="D16" s="19">
        <v>14.345752160961448</v>
      </c>
      <c r="E16" s="19">
        <v>315.60950948375</v>
      </c>
      <c r="F16" s="19">
        <v>901.97220000000004</v>
      </c>
      <c r="G16" s="19">
        <v>17.1724</v>
      </c>
      <c r="H16" s="20">
        <v>3100.2851286595301</v>
      </c>
      <c r="I16" s="18">
        <v>8269.1130566765696</v>
      </c>
      <c r="J16" s="12"/>
      <c r="K16" s="36">
        <f t="shared" si="13"/>
        <v>99.230000000000018</v>
      </c>
      <c r="L16" s="36">
        <f t="shared" si="14"/>
        <v>158.91341160253359</v>
      </c>
      <c r="M16" s="18">
        <f t="shared" si="15"/>
        <v>31.24342566420971</v>
      </c>
      <c r="N16" s="18">
        <f t="shared" si="3"/>
        <v>19.509272989581337</v>
      </c>
      <c r="O16" s="12"/>
      <c r="P16" s="4">
        <f t="shared" si="4"/>
        <v>1190.7600000000002</v>
      </c>
      <c r="Q16" s="4">
        <f t="shared" si="5"/>
        <v>1389.2200000000003</v>
      </c>
      <c r="R16" s="4">
        <f t="shared" si="6"/>
        <v>1488.4500000000003</v>
      </c>
      <c r="S16" s="4">
        <f t="shared" si="7"/>
        <v>1587.6800000000003</v>
      </c>
      <c r="T16" s="4">
        <f t="shared" si="8"/>
        <v>1786.1400000000003</v>
      </c>
      <c r="U16" s="4">
        <f t="shared" si="9"/>
        <v>2083.8300000000004</v>
      </c>
      <c r="V16" s="4">
        <f t="shared" si="10"/>
        <v>2381.5200000000004</v>
      </c>
      <c r="W16" s="4">
        <f t="shared" si="11"/>
        <v>2679.2100000000005</v>
      </c>
      <c r="X16" s="12"/>
      <c r="Y16" s="4">
        <f>L16*12</f>
        <v>1906.960939230403</v>
      </c>
      <c r="Z16" s="4">
        <f>L16*14</f>
        <v>2224.7877624354701</v>
      </c>
      <c r="AA16" s="4">
        <f t="shared" si="12"/>
        <v>2383.701174038004</v>
      </c>
      <c r="AB16" s="4">
        <f>L16*16</f>
        <v>2542.6145856405374</v>
      </c>
    </row>
    <row r="17" spans="1:28" s="6" customFormat="1" x14ac:dyDescent="0.25">
      <c r="A17" s="3">
        <v>43921</v>
      </c>
      <c r="B17" s="19">
        <v>19.5</v>
      </c>
      <c r="C17" s="21">
        <v>11.88</v>
      </c>
      <c r="D17" s="19">
        <v>15.322702966384359</v>
      </c>
      <c r="E17" s="19">
        <v>332.58706948894502</v>
      </c>
      <c r="F17" s="19">
        <v>885.59439999999995</v>
      </c>
      <c r="G17" s="19">
        <v>19.819099999999999</v>
      </c>
      <c r="H17" s="20">
        <v>2584.5907599343</v>
      </c>
      <c r="I17" s="18">
        <v>8289.2748413449008</v>
      </c>
      <c r="J17" s="13"/>
      <c r="K17" s="36">
        <f t="shared" si="13"/>
        <v>116.33000000000001</v>
      </c>
      <c r="L17" s="36">
        <f t="shared" si="14"/>
        <v>175.91060358638015</v>
      </c>
      <c r="M17" s="18">
        <f t="shared" si="15"/>
        <v>22.217749161302326</v>
      </c>
      <c r="N17" s="18">
        <f t="shared" si="3"/>
        <v>14.692637665046426</v>
      </c>
      <c r="O17" s="13"/>
      <c r="P17" s="4">
        <f t="shared" si="4"/>
        <v>1395.96</v>
      </c>
      <c r="Q17" s="4">
        <f t="shared" si="5"/>
        <v>1628.6200000000001</v>
      </c>
      <c r="R17" s="4">
        <f t="shared" si="6"/>
        <v>1744.9500000000003</v>
      </c>
      <c r="S17" s="4">
        <f t="shared" si="7"/>
        <v>1861.2800000000002</v>
      </c>
      <c r="T17" s="4">
        <f t="shared" si="8"/>
        <v>2093.94</v>
      </c>
      <c r="U17" s="4">
        <f t="shared" si="9"/>
        <v>2442.9300000000003</v>
      </c>
      <c r="V17" s="4">
        <f t="shared" si="10"/>
        <v>2791.92</v>
      </c>
      <c r="W17" s="4">
        <f t="shared" si="11"/>
        <v>3140.9100000000003</v>
      </c>
      <c r="X17" s="13"/>
      <c r="Y17" s="4">
        <f>L17*12</f>
        <v>2110.9272430365618</v>
      </c>
      <c r="Z17" s="4">
        <f>L17*14</f>
        <v>2462.7484502093221</v>
      </c>
      <c r="AA17" s="4">
        <f t="shared" si="12"/>
        <v>2638.6590537957022</v>
      </c>
      <c r="AB17" s="4">
        <f>L17*16</f>
        <v>2814.5696573820824</v>
      </c>
    </row>
    <row r="18" spans="1:28" s="6" customFormat="1" x14ac:dyDescent="0.25">
      <c r="A18" s="3">
        <v>43830</v>
      </c>
      <c r="B18" s="19">
        <v>39.18</v>
      </c>
      <c r="C18" s="21">
        <v>35.53</v>
      </c>
      <c r="D18" s="19">
        <v>15.213222200892581</v>
      </c>
      <c r="E18" s="19">
        <v>369.22785839068501</v>
      </c>
      <c r="F18" s="19">
        <v>914.49069999999995</v>
      </c>
      <c r="G18" s="19">
        <v>23.229600000000001</v>
      </c>
      <c r="H18" s="20">
        <v>3230.7819500904302</v>
      </c>
      <c r="I18" s="18">
        <v>8282.7275873988601</v>
      </c>
      <c r="J18" s="10"/>
      <c r="K18" s="36">
        <f t="shared" si="13"/>
        <v>139.47000000000003</v>
      </c>
      <c r="L18" s="36">
        <f t="shared" si="14"/>
        <v>197.71062255574194</v>
      </c>
      <c r="M18" s="18">
        <f t="shared" si="15"/>
        <v>23.164708898619271</v>
      </c>
      <c r="N18" s="18">
        <f t="shared" si="3"/>
        <v>16.340962909969864</v>
      </c>
      <c r="O18" s="10"/>
      <c r="P18" s="4">
        <f t="shared" si="4"/>
        <v>1673.6400000000003</v>
      </c>
      <c r="Q18" s="4">
        <f t="shared" si="5"/>
        <v>1952.5800000000004</v>
      </c>
      <c r="R18" s="4">
        <f t="shared" si="6"/>
        <v>2092.0500000000002</v>
      </c>
      <c r="S18" s="4">
        <f t="shared" si="7"/>
        <v>2231.5200000000004</v>
      </c>
      <c r="T18" s="4">
        <f t="shared" si="8"/>
        <v>2510.4600000000005</v>
      </c>
      <c r="U18" s="4">
        <f t="shared" si="9"/>
        <v>2928.8700000000008</v>
      </c>
      <c r="V18" s="4">
        <f t="shared" si="10"/>
        <v>3347.2800000000007</v>
      </c>
      <c r="W18" s="4">
        <f t="shared" si="11"/>
        <v>3765.6900000000005</v>
      </c>
      <c r="X18" s="10"/>
      <c r="Y18" s="4">
        <f>L18*12</f>
        <v>2372.5274706689033</v>
      </c>
      <c r="Z18" s="4">
        <f>L18*14</f>
        <v>2767.9487157803869</v>
      </c>
      <c r="AA18" s="4">
        <f t="shared" si="12"/>
        <v>2965.6593383361292</v>
      </c>
      <c r="AB18" s="4">
        <f>L18*16</f>
        <v>3163.369960891871</v>
      </c>
    </row>
    <row r="19" spans="1:28" s="6" customFormat="1" x14ac:dyDescent="0.25">
      <c r="A19" s="3">
        <v>43738</v>
      </c>
      <c r="B19" s="19">
        <v>39.81</v>
      </c>
      <c r="C19" s="21">
        <v>33.99</v>
      </c>
      <c r="D19" s="19">
        <v>14.801734274295193</v>
      </c>
      <c r="E19" s="19">
        <v>355.01641754705003</v>
      </c>
      <c r="F19" s="19">
        <v>902.94090000000006</v>
      </c>
      <c r="G19" s="19">
        <v>21.032299999999999</v>
      </c>
      <c r="H19" s="20">
        <v>2976.73727174433</v>
      </c>
      <c r="I19" s="18">
        <v>8299.9994118209033</v>
      </c>
      <c r="J19" s="10"/>
      <c r="K19" s="36">
        <f t="shared" si="13"/>
        <v>132.9</v>
      </c>
      <c r="L19" s="36">
        <f t="shared" si="14"/>
        <v>190.1195068939877</v>
      </c>
      <c r="M19" s="18">
        <f t="shared" si="15"/>
        <v>22.398324091379457</v>
      </c>
      <c r="N19" s="18">
        <f t="shared" si="3"/>
        <v>15.657190155685521</v>
      </c>
      <c r="O19" s="10"/>
      <c r="P19" s="4">
        <f t="shared" si="4"/>
        <v>1594.8000000000002</v>
      </c>
      <c r="Q19" s="4">
        <f t="shared" si="5"/>
        <v>1860.6000000000001</v>
      </c>
      <c r="R19" s="4">
        <f t="shared" si="6"/>
        <v>1993.5</v>
      </c>
      <c r="S19" s="4">
        <f t="shared" si="7"/>
        <v>2126.4</v>
      </c>
      <c r="T19" s="4">
        <f t="shared" si="8"/>
        <v>2392.2000000000003</v>
      </c>
      <c r="U19" s="4">
        <f t="shared" si="9"/>
        <v>2790.9</v>
      </c>
      <c r="V19" s="4">
        <f t="shared" si="10"/>
        <v>3189.6000000000004</v>
      </c>
      <c r="W19" s="4">
        <f t="shared" si="11"/>
        <v>3588.3</v>
      </c>
      <c r="X19" s="10"/>
      <c r="Y19" s="4">
        <f>L19*12</f>
        <v>2281.4340827278525</v>
      </c>
      <c r="Z19" s="4">
        <f>L19*14</f>
        <v>2661.6730965158276</v>
      </c>
      <c r="AA19" s="4">
        <f t="shared" si="12"/>
        <v>2851.7926034098155</v>
      </c>
      <c r="AB19" s="4">
        <f>L19*16</f>
        <v>3041.9121103038033</v>
      </c>
    </row>
    <row r="20" spans="1:28" s="6" customFormat="1" x14ac:dyDescent="0.25">
      <c r="A20" s="3">
        <v>43644</v>
      </c>
      <c r="B20" s="19">
        <v>40.14</v>
      </c>
      <c r="C20" s="21">
        <v>34.93</v>
      </c>
      <c r="D20" s="19">
        <v>14.242944144807993</v>
      </c>
      <c r="E20" s="19">
        <v>351.91174482776103</v>
      </c>
      <c r="F20" s="19">
        <v>884.74091429322095</v>
      </c>
      <c r="G20" s="19">
        <v>20.656704765818201</v>
      </c>
      <c r="H20" s="20">
        <v>2941.76</v>
      </c>
      <c r="I20" s="18">
        <v>8302.3379796843001</v>
      </c>
      <c r="J20" s="10"/>
      <c r="K20" s="36">
        <f t="shared" si="13"/>
        <v>135.26999999999998</v>
      </c>
      <c r="L20" s="36">
        <f t="shared" si="14"/>
        <v>191.34727474177811</v>
      </c>
      <c r="M20" s="18">
        <f t="shared" si="15"/>
        <v>21.747320174465887</v>
      </c>
      <c r="N20" s="18">
        <f t="shared" si="3"/>
        <v>15.37393205087392</v>
      </c>
      <c r="O20" s="10"/>
      <c r="P20" s="4">
        <f t="shared" si="4"/>
        <v>1623.2399999999998</v>
      </c>
      <c r="Q20" s="4">
        <f t="shared" si="5"/>
        <v>1893.7799999999997</v>
      </c>
      <c r="R20" s="4">
        <f t="shared" si="6"/>
        <v>2029.0499999999997</v>
      </c>
      <c r="S20" s="4">
        <f t="shared" si="7"/>
        <v>2164.3199999999997</v>
      </c>
      <c r="T20" s="4">
        <f t="shared" si="8"/>
        <v>2434.8599999999997</v>
      </c>
      <c r="U20" s="4">
        <f t="shared" si="9"/>
        <v>2840.6699999999996</v>
      </c>
      <c r="V20" s="4">
        <f t="shared" si="10"/>
        <v>3246.4799999999996</v>
      </c>
      <c r="W20" s="4">
        <f t="shared" si="11"/>
        <v>3652.2899999999995</v>
      </c>
      <c r="X20" s="10"/>
      <c r="Y20" s="4">
        <f>L20*12</f>
        <v>2296.1672969013371</v>
      </c>
      <c r="Z20" s="4">
        <f>L20*14</f>
        <v>2678.8618463848934</v>
      </c>
      <c r="AA20" s="4">
        <f t="shared" si="12"/>
        <v>2870.2091211266716</v>
      </c>
      <c r="AB20" s="4">
        <f>L20*16</f>
        <v>3061.5563958684497</v>
      </c>
    </row>
    <row r="21" spans="1:28" s="6" customFormat="1" x14ac:dyDescent="0.25">
      <c r="A21" s="3">
        <v>43553</v>
      </c>
      <c r="B21" s="19">
        <v>37.99</v>
      </c>
      <c r="C21" s="21">
        <v>35.020000000000003</v>
      </c>
      <c r="D21" s="19">
        <v>13.982721935746159</v>
      </c>
      <c r="E21" s="19">
        <v>338.85041002731901</v>
      </c>
      <c r="F21" s="19">
        <v>868.42129999999997</v>
      </c>
      <c r="G21" s="19">
        <v>17.878399999999999</v>
      </c>
      <c r="H21" s="20">
        <v>2834.4</v>
      </c>
      <c r="I21" s="18">
        <v>8332.8377390670303</v>
      </c>
      <c r="J21" s="10"/>
      <c r="K21" s="36">
        <f t="shared" si="13"/>
        <v>134.38999999999999</v>
      </c>
      <c r="L21" s="36">
        <f t="shared" si="14"/>
        <v>189.32691345140864</v>
      </c>
      <c r="M21" s="18">
        <f t="shared" si="15"/>
        <v>21.090854974328451</v>
      </c>
      <c r="N21" s="18">
        <f t="shared" si="3"/>
        <v>14.9709301669224</v>
      </c>
      <c r="O21" s="10"/>
      <c r="P21" s="4">
        <f t="shared" si="4"/>
        <v>1612.6799999999998</v>
      </c>
      <c r="Q21" s="4">
        <f t="shared" si="5"/>
        <v>1881.4599999999998</v>
      </c>
      <c r="R21" s="4">
        <f t="shared" si="6"/>
        <v>2015.85</v>
      </c>
      <c r="S21" s="4">
        <f t="shared" si="7"/>
        <v>2150.2399999999998</v>
      </c>
      <c r="T21" s="4">
        <f t="shared" si="8"/>
        <v>2419.0199999999995</v>
      </c>
      <c r="U21" s="4">
        <f t="shared" si="9"/>
        <v>2822.1899999999996</v>
      </c>
      <c r="V21" s="4">
        <f t="shared" si="10"/>
        <v>3225.3599999999997</v>
      </c>
      <c r="W21" s="4">
        <f t="shared" si="11"/>
        <v>3628.5299999999997</v>
      </c>
      <c r="X21" s="10"/>
      <c r="Y21" s="4">
        <f>L21*12</f>
        <v>2271.9229614169035</v>
      </c>
      <c r="Z21" s="4">
        <f>L21*14</f>
        <v>2650.5767883197209</v>
      </c>
      <c r="AA21" s="4">
        <f t="shared" si="12"/>
        <v>2839.9037017711298</v>
      </c>
      <c r="AB21" s="4">
        <f>L21*16</f>
        <v>3029.2306152225383</v>
      </c>
    </row>
    <row r="22" spans="1:28" s="6" customFormat="1" ht="12.75" x14ac:dyDescent="0.2">
      <c r="A22" s="3">
        <v>43465</v>
      </c>
      <c r="B22" s="19">
        <v>35.03</v>
      </c>
      <c r="C22" s="19">
        <v>28.96</v>
      </c>
      <c r="D22" s="19">
        <v>14.192106539138369</v>
      </c>
      <c r="E22" s="19">
        <v>346.70545462087</v>
      </c>
      <c r="F22" s="19">
        <v>851.62022431205105</v>
      </c>
      <c r="G22" s="19">
        <v>21.119499999999999</v>
      </c>
      <c r="H22" s="20">
        <v>2506.8471826272198</v>
      </c>
      <c r="I22" s="18">
        <v>8387.7875682931499</v>
      </c>
      <c r="J22" s="10"/>
      <c r="K22" s="36">
        <f t="shared" si="13"/>
        <v>132.38999999999999</v>
      </c>
      <c r="L22" s="36">
        <f t="shared" si="14"/>
        <v>186.13817808461687</v>
      </c>
      <c r="M22" s="18">
        <f t="shared" si="15"/>
        <v>18.935321267672936</v>
      </c>
      <c r="N22" s="18">
        <f t="shared" si="3"/>
        <v>13.46766798957078</v>
      </c>
      <c r="O22" s="10"/>
      <c r="P22" s="4">
        <f t="shared" si="4"/>
        <v>1588.6799999999998</v>
      </c>
      <c r="Q22" s="4">
        <f t="shared" si="5"/>
        <v>1853.4599999999998</v>
      </c>
      <c r="R22" s="4">
        <f t="shared" si="6"/>
        <v>1985.85</v>
      </c>
      <c r="S22" s="4">
        <f t="shared" si="7"/>
        <v>2118.2399999999998</v>
      </c>
      <c r="T22" s="4">
        <f t="shared" si="8"/>
        <v>2383.0199999999995</v>
      </c>
      <c r="U22" s="4">
        <f t="shared" si="9"/>
        <v>2780.1899999999996</v>
      </c>
      <c r="V22" s="4">
        <f t="shared" si="10"/>
        <v>3177.3599999999997</v>
      </c>
      <c r="W22" s="4">
        <f t="shared" si="11"/>
        <v>3574.5299999999997</v>
      </c>
      <c r="X22" s="10"/>
      <c r="Y22" s="4">
        <f>L22*12</f>
        <v>2233.6581370154026</v>
      </c>
      <c r="Z22" s="4">
        <f>L22*14</f>
        <v>2605.9344931846363</v>
      </c>
      <c r="AA22" s="4">
        <f t="shared" si="12"/>
        <v>2792.0726712692531</v>
      </c>
      <c r="AB22" s="4">
        <f>L22*16</f>
        <v>2978.2108493538699</v>
      </c>
    </row>
    <row r="23" spans="1:28" s="6" customFormat="1" ht="12.75" x14ac:dyDescent="0.2">
      <c r="A23" s="3">
        <v>43371</v>
      </c>
      <c r="B23" s="19">
        <v>41.38</v>
      </c>
      <c r="C23" s="19">
        <v>36.36</v>
      </c>
      <c r="D23" s="19">
        <v>13.6595021220856</v>
      </c>
      <c r="E23" s="19">
        <v>341.27368750750799</v>
      </c>
      <c r="F23" s="19">
        <v>843.57510000000002</v>
      </c>
      <c r="G23" s="19">
        <v>18.593599999999999</v>
      </c>
      <c r="H23" s="20">
        <v>2913.97813988603</v>
      </c>
      <c r="I23" s="18">
        <v>8434.9562335351893</v>
      </c>
      <c r="J23" s="10"/>
      <c r="K23" s="36">
        <f t="shared" si="13"/>
        <v>130.39000000000001</v>
      </c>
      <c r="L23" s="36">
        <f t="shared" si="14"/>
        <v>182.72899552484125</v>
      </c>
      <c r="M23" s="18">
        <f t="shared" si="15"/>
        <v>22.348171944827286</v>
      </c>
      <c r="N23" s="18">
        <f t="shared" si="3"/>
        <v>15.946993696957563</v>
      </c>
      <c r="O23" s="10"/>
      <c r="P23" s="4">
        <f t="shared" si="4"/>
        <v>1564.6800000000003</v>
      </c>
      <c r="Q23" s="4">
        <f t="shared" si="5"/>
        <v>1825.4600000000003</v>
      </c>
      <c r="R23" s="4">
        <f t="shared" si="6"/>
        <v>1955.8500000000001</v>
      </c>
      <c r="S23" s="4">
        <f t="shared" si="7"/>
        <v>2086.2400000000002</v>
      </c>
      <c r="T23" s="4">
        <f t="shared" si="8"/>
        <v>2347.0200000000004</v>
      </c>
      <c r="U23" s="4">
        <f t="shared" si="9"/>
        <v>2738.1900000000005</v>
      </c>
      <c r="V23" s="4">
        <f t="shared" si="10"/>
        <v>3129.3600000000006</v>
      </c>
      <c r="W23" s="4">
        <f t="shared" si="11"/>
        <v>3520.53</v>
      </c>
      <c r="X23" s="10"/>
      <c r="Y23" s="4">
        <f>L23*12</f>
        <v>2192.747946298095</v>
      </c>
      <c r="Z23" s="4">
        <f>L23*14</f>
        <v>2558.2059373477778</v>
      </c>
      <c r="AA23" s="4">
        <f t="shared" si="12"/>
        <v>2740.9349328726189</v>
      </c>
      <c r="AB23" s="4">
        <f>L23*16</f>
        <v>2923.66392839746</v>
      </c>
    </row>
    <row r="24" spans="1:28" s="6" customFormat="1" ht="12.75" x14ac:dyDescent="0.2">
      <c r="A24" s="3">
        <v>43280</v>
      </c>
      <c r="B24" s="19">
        <v>38.65</v>
      </c>
      <c r="C24" s="19">
        <v>34.049999999999997</v>
      </c>
      <c r="D24" s="19">
        <v>13.102582854438491</v>
      </c>
      <c r="E24" s="19">
        <v>334.63780255154398</v>
      </c>
      <c r="F24" s="19">
        <v>836.39139999999998</v>
      </c>
      <c r="G24" s="19">
        <v>18.595099999999999</v>
      </c>
      <c r="H24" s="20">
        <v>2718.37</v>
      </c>
      <c r="I24" s="18">
        <v>8474.3125401985908</v>
      </c>
      <c r="J24" s="10"/>
      <c r="K24" s="36">
        <f t="shared" si="13"/>
        <v>122.48</v>
      </c>
      <c r="L24" s="36">
        <f t="shared" si="14"/>
        <v>173.47029014897731</v>
      </c>
      <c r="M24" s="18">
        <f t="shared" si="15"/>
        <v>22.194399085564989</v>
      </c>
      <c r="N24" s="18">
        <f t="shared" si="3"/>
        <v>15.670522010803392</v>
      </c>
      <c r="O24" s="10"/>
      <c r="P24" s="4">
        <f t="shared" si="4"/>
        <v>1469.76</v>
      </c>
      <c r="Q24" s="4">
        <f t="shared" si="5"/>
        <v>1714.72</v>
      </c>
      <c r="R24" s="4">
        <f t="shared" si="6"/>
        <v>1837.2</v>
      </c>
      <c r="S24" s="4">
        <f t="shared" si="7"/>
        <v>1959.68</v>
      </c>
      <c r="T24" s="4">
        <f t="shared" si="8"/>
        <v>2204.64</v>
      </c>
      <c r="U24" s="4">
        <f t="shared" si="9"/>
        <v>2572.08</v>
      </c>
      <c r="V24" s="4">
        <f t="shared" si="10"/>
        <v>2939.52</v>
      </c>
      <c r="W24" s="4">
        <f t="shared" si="11"/>
        <v>3306.96</v>
      </c>
      <c r="X24" s="10"/>
      <c r="Y24" s="4">
        <f>L24*12</f>
        <v>2081.643481787728</v>
      </c>
      <c r="Z24" s="4">
        <f>L24*14</f>
        <v>2428.5840620856825</v>
      </c>
      <c r="AA24" s="4">
        <f t="shared" si="12"/>
        <v>2602.0543522346597</v>
      </c>
      <c r="AB24" s="4">
        <f>L24*16</f>
        <v>2775.524642383637</v>
      </c>
    </row>
    <row r="25" spans="1:28" s="6" customFormat="1" ht="12.75" x14ac:dyDescent="0.2">
      <c r="A25" s="3">
        <v>43188</v>
      </c>
      <c r="B25" s="19">
        <v>36.54</v>
      </c>
      <c r="C25" s="19">
        <v>33.020000000000003</v>
      </c>
      <c r="D25" s="19">
        <v>12.793986568954411</v>
      </c>
      <c r="E25" s="19">
        <v>320.388020623241</v>
      </c>
      <c r="F25" s="19">
        <v>833.44100000000003</v>
      </c>
      <c r="G25" s="19">
        <v>17.234999999999999</v>
      </c>
      <c r="H25" s="20">
        <v>2640.8659903292901</v>
      </c>
      <c r="I25" s="18">
        <v>8518.4082381580502</v>
      </c>
      <c r="J25" s="10"/>
      <c r="K25" s="36">
        <f t="shared" si="13"/>
        <v>115.44000000000001</v>
      </c>
      <c r="L25" s="36">
        <f t="shared" si="14"/>
        <v>165.44302958857324</v>
      </c>
      <c r="M25" s="18">
        <f t="shared" si="15"/>
        <v>22.876524517751992</v>
      </c>
      <c r="N25" s="18">
        <f t="shared" si="3"/>
        <v>15.962388967952558</v>
      </c>
      <c r="O25" s="10"/>
      <c r="P25" s="4">
        <f t="shared" si="4"/>
        <v>1385.2800000000002</v>
      </c>
      <c r="Q25" s="4">
        <f t="shared" si="5"/>
        <v>1616.16</v>
      </c>
      <c r="R25" s="4">
        <f t="shared" si="6"/>
        <v>1731.6000000000001</v>
      </c>
      <c r="S25" s="4">
        <f t="shared" si="7"/>
        <v>1847.0400000000002</v>
      </c>
      <c r="T25" s="4">
        <f t="shared" si="8"/>
        <v>2077.92</v>
      </c>
      <c r="U25" s="4">
        <f t="shared" si="9"/>
        <v>2424.2400000000002</v>
      </c>
      <c r="V25" s="4">
        <f t="shared" si="10"/>
        <v>2770.5600000000004</v>
      </c>
      <c r="W25" s="4">
        <f t="shared" si="11"/>
        <v>3116.88</v>
      </c>
      <c r="X25" s="10"/>
      <c r="Y25" s="4">
        <f>L25*12</f>
        <v>1985.3163550628788</v>
      </c>
      <c r="Z25" s="4">
        <f>L25*14</f>
        <v>2316.2024142400255</v>
      </c>
      <c r="AA25" s="4">
        <f t="shared" si="12"/>
        <v>2481.6454438285987</v>
      </c>
      <c r="AB25" s="4">
        <f>L25*16</f>
        <v>2647.0884734171718</v>
      </c>
    </row>
    <row r="26" spans="1:28" s="6" customFormat="1" ht="12.75" x14ac:dyDescent="0.2">
      <c r="A26" s="3">
        <v>43098</v>
      </c>
      <c r="B26" s="19">
        <v>33.85</v>
      </c>
      <c r="C26" s="19">
        <v>26.96</v>
      </c>
      <c r="D26" s="19">
        <v>12.782923979362749</v>
      </c>
      <c r="E26" s="19">
        <v>329.593203077623</v>
      </c>
      <c r="F26" s="19">
        <v>826.52099999999996</v>
      </c>
      <c r="G26" s="19">
        <v>18.617000000000001</v>
      </c>
      <c r="H26" s="20">
        <v>2673.6105231517399</v>
      </c>
      <c r="I26" s="18">
        <v>8535.7385215509803</v>
      </c>
      <c r="J26" s="10"/>
      <c r="K26" s="36">
        <f t="shared" si="13"/>
        <v>109.88</v>
      </c>
      <c r="L26" s="36">
        <f t="shared" si="14"/>
        <v>158.81201933560772</v>
      </c>
      <c r="M26" s="18">
        <f t="shared" si="15"/>
        <v>24.332094313357665</v>
      </c>
      <c r="N26" s="18">
        <f t="shared" si="3"/>
        <v>16.835064086061159</v>
      </c>
      <c r="O26" s="10"/>
      <c r="P26" s="4">
        <f t="shared" si="4"/>
        <v>1318.56</v>
      </c>
      <c r="Q26" s="4">
        <f t="shared" si="5"/>
        <v>1538.32</v>
      </c>
      <c r="R26" s="4">
        <f t="shared" si="6"/>
        <v>1648.1999999999998</v>
      </c>
      <c r="S26" s="4">
        <f t="shared" si="7"/>
        <v>1758.08</v>
      </c>
      <c r="T26" s="4">
        <f t="shared" si="8"/>
        <v>1977.84</v>
      </c>
      <c r="U26" s="4">
        <f t="shared" si="9"/>
        <v>2307.48</v>
      </c>
      <c r="V26" s="4">
        <f t="shared" si="10"/>
        <v>2637.12</v>
      </c>
      <c r="W26" s="4">
        <f t="shared" si="11"/>
        <v>2966.7599999999998</v>
      </c>
      <c r="X26" s="10"/>
      <c r="Y26" s="4">
        <f>L26*12</f>
        <v>1905.7442320272926</v>
      </c>
      <c r="Z26" s="4">
        <f>L26*14</f>
        <v>2223.3682706985082</v>
      </c>
      <c r="AA26" s="4">
        <f t="shared" si="12"/>
        <v>2382.1802900341158</v>
      </c>
      <c r="AB26" s="4">
        <f>L26*16</f>
        <v>2540.9923093697234</v>
      </c>
    </row>
    <row r="27" spans="1:28" s="6" customFormat="1" ht="12.75" x14ac:dyDescent="0.2">
      <c r="A27" s="3">
        <v>43008</v>
      </c>
      <c r="B27" s="19">
        <v>31.33</v>
      </c>
      <c r="C27" s="19">
        <v>28.45</v>
      </c>
      <c r="D27" s="19">
        <v>12.310796746221648</v>
      </c>
      <c r="E27" s="19">
        <v>308.22206192952501</v>
      </c>
      <c r="F27" s="19">
        <v>817.822</v>
      </c>
      <c r="G27" s="19">
        <v>16.326000000000001</v>
      </c>
      <c r="H27" s="20">
        <v>2519.3596719060702</v>
      </c>
      <c r="I27" s="18">
        <v>8565.2620982500011</v>
      </c>
      <c r="J27" s="10"/>
      <c r="K27" s="36">
        <f t="shared" si="13"/>
        <v>107.08</v>
      </c>
      <c r="L27" s="36">
        <f t="shared" si="14"/>
        <v>155.25310297806155</v>
      </c>
      <c r="M27" s="18">
        <f t="shared" si="15"/>
        <v>23.527826596059676</v>
      </c>
      <c r="N27" s="18">
        <f t="shared" si="3"/>
        <v>16.227435224029467</v>
      </c>
      <c r="O27" s="10"/>
      <c r="P27" s="4">
        <f t="shared" si="4"/>
        <v>1284.96</v>
      </c>
      <c r="Q27" s="4">
        <f t="shared" si="5"/>
        <v>1499.12</v>
      </c>
      <c r="R27" s="4">
        <f t="shared" si="6"/>
        <v>1606.2</v>
      </c>
      <c r="S27" s="4">
        <f t="shared" si="7"/>
        <v>1713.28</v>
      </c>
      <c r="T27" s="4">
        <f t="shared" si="8"/>
        <v>1927.44</v>
      </c>
      <c r="U27" s="4">
        <f t="shared" si="9"/>
        <v>2248.6799999999998</v>
      </c>
      <c r="V27" s="4">
        <f t="shared" si="10"/>
        <v>2569.92</v>
      </c>
      <c r="W27" s="4">
        <f t="shared" si="11"/>
        <v>2891.16</v>
      </c>
      <c r="X27" s="10"/>
      <c r="Y27" s="4">
        <f>L27*12</f>
        <v>1863.0372357367387</v>
      </c>
      <c r="Z27" s="4">
        <f>L27*14</f>
        <v>2173.5434416928615</v>
      </c>
      <c r="AA27" s="4">
        <f t="shared" si="12"/>
        <v>2328.7965446709231</v>
      </c>
      <c r="AB27" s="4">
        <f>L27*16</f>
        <v>2484.0496476489848</v>
      </c>
    </row>
    <row r="28" spans="1:28" s="6" customFormat="1" ht="12.75" x14ac:dyDescent="0.2">
      <c r="A28" s="3">
        <v>42916</v>
      </c>
      <c r="B28" s="19">
        <v>30.51</v>
      </c>
      <c r="C28" s="19">
        <v>27.01</v>
      </c>
      <c r="D28" s="19">
        <v>12.115322294034428</v>
      </c>
      <c r="E28" s="19">
        <v>300.98034948898999</v>
      </c>
      <c r="F28" s="19">
        <v>798.64400000000001</v>
      </c>
      <c r="G28" s="19">
        <v>15.231999999999999</v>
      </c>
      <c r="H28" s="20">
        <v>2423.4088910629698</v>
      </c>
      <c r="I28" s="18">
        <v>8567.296206939207</v>
      </c>
      <c r="J28" s="10"/>
      <c r="K28" s="36">
        <f t="shared" si="13"/>
        <v>104.02</v>
      </c>
      <c r="L28" s="36">
        <f t="shared" si="14"/>
        <v>151.23901941963774</v>
      </c>
      <c r="M28" s="18">
        <f t="shared" si="15"/>
        <v>23.297528274014322</v>
      </c>
      <c r="N28" s="18">
        <f t="shared" si="3"/>
        <v>16.023701425482137</v>
      </c>
      <c r="O28" s="10"/>
      <c r="P28" s="4">
        <f t="shared" si="4"/>
        <v>1248.24</v>
      </c>
      <c r="Q28" s="4">
        <f t="shared" si="5"/>
        <v>1456.28</v>
      </c>
      <c r="R28" s="4">
        <f t="shared" si="6"/>
        <v>1560.3</v>
      </c>
      <c r="S28" s="4">
        <f t="shared" si="7"/>
        <v>1664.32</v>
      </c>
      <c r="T28" s="4">
        <f t="shared" si="8"/>
        <v>1872.36</v>
      </c>
      <c r="U28" s="4">
        <f t="shared" si="9"/>
        <v>2184.42</v>
      </c>
      <c r="V28" s="4">
        <f t="shared" si="10"/>
        <v>2496.48</v>
      </c>
      <c r="W28" s="4">
        <f t="shared" si="11"/>
        <v>2808.54</v>
      </c>
      <c r="X28" s="10"/>
      <c r="Y28" s="4">
        <f>L28*12</f>
        <v>1814.8682330356528</v>
      </c>
      <c r="Z28" s="4">
        <f>L28*14</f>
        <v>2117.3462718749283</v>
      </c>
      <c r="AA28" s="4">
        <f t="shared" si="12"/>
        <v>2268.5852912945661</v>
      </c>
      <c r="AB28" s="4">
        <f>L28*16</f>
        <v>2419.8243107142039</v>
      </c>
    </row>
    <row r="29" spans="1:28" s="6" customFormat="1" ht="12.75" x14ac:dyDescent="0.2">
      <c r="A29" s="3">
        <v>42825</v>
      </c>
      <c r="B29" s="19">
        <v>28.82</v>
      </c>
      <c r="C29" s="19">
        <v>27.46</v>
      </c>
      <c r="D29" s="19">
        <v>11.722976315988888</v>
      </c>
      <c r="E29" s="19">
        <v>292.77906197216203</v>
      </c>
      <c r="F29" s="19">
        <v>785.17899999999997</v>
      </c>
      <c r="G29" s="19">
        <v>13.923</v>
      </c>
      <c r="H29" s="20">
        <v>2362.7182203972902</v>
      </c>
      <c r="I29" s="18">
        <v>8581.6303408986005</v>
      </c>
      <c r="J29" s="10"/>
      <c r="K29" s="36">
        <f t="shared" si="13"/>
        <v>100.29</v>
      </c>
      <c r="L29" s="36">
        <f t="shared" si="14"/>
        <v>146.67242385164215</v>
      </c>
      <c r="M29" s="18">
        <f t="shared" si="15"/>
        <v>23.558861505606643</v>
      </c>
      <c r="N29" s="18">
        <f t="shared" si="3"/>
        <v>16.108810084076598</v>
      </c>
      <c r="O29" s="10"/>
      <c r="P29" s="4">
        <f t="shared" si="4"/>
        <v>1203.48</v>
      </c>
      <c r="Q29" s="4">
        <f t="shared" si="5"/>
        <v>1404.0600000000002</v>
      </c>
      <c r="R29" s="4">
        <f t="shared" si="6"/>
        <v>1504.3500000000001</v>
      </c>
      <c r="S29" s="4">
        <f t="shared" si="7"/>
        <v>1604.64</v>
      </c>
      <c r="T29" s="4">
        <f t="shared" si="8"/>
        <v>1805.22</v>
      </c>
      <c r="U29" s="4">
        <f t="shared" si="9"/>
        <v>2106.09</v>
      </c>
      <c r="V29" s="4">
        <f t="shared" si="10"/>
        <v>2406.96</v>
      </c>
      <c r="W29" s="4">
        <f t="shared" si="11"/>
        <v>2707.8300000000004</v>
      </c>
      <c r="X29" s="10"/>
      <c r="Y29" s="4">
        <f>L29*12</f>
        <v>1760.0690862197057</v>
      </c>
      <c r="Z29" s="4">
        <f>L29*14</f>
        <v>2053.4139339229901</v>
      </c>
      <c r="AA29" s="4">
        <f t="shared" si="12"/>
        <v>2200.0863577746322</v>
      </c>
      <c r="AB29" s="4">
        <f>L29*16</f>
        <v>2346.7587816262744</v>
      </c>
    </row>
    <row r="30" spans="1:28" s="6" customFormat="1" ht="12.75" x14ac:dyDescent="0.2">
      <c r="A30" s="3">
        <v>42735</v>
      </c>
      <c r="B30" s="19">
        <v>27.9</v>
      </c>
      <c r="C30" s="19">
        <v>24.16</v>
      </c>
      <c r="D30" s="19">
        <v>12.024007621816583</v>
      </c>
      <c r="E30" s="19">
        <v>301.11551213454698</v>
      </c>
      <c r="F30" s="19">
        <v>768.98500000000001</v>
      </c>
      <c r="G30" s="19">
        <v>20.151</v>
      </c>
      <c r="H30" s="20">
        <v>2238.82668170754</v>
      </c>
      <c r="I30" s="18">
        <v>8606.2637598811798</v>
      </c>
      <c r="J30" s="10"/>
      <c r="K30" s="36">
        <f t="shared" si="13"/>
        <v>94.55</v>
      </c>
      <c r="L30" s="36">
        <f t="shared" si="14"/>
        <v>140.25060348529786</v>
      </c>
      <c r="M30" s="18">
        <f t="shared" si="15"/>
        <v>23.678759193099314</v>
      </c>
      <c r="N30" s="18">
        <f t="shared" si="3"/>
        <v>15.963044907270085</v>
      </c>
      <c r="O30" s="10"/>
      <c r="P30" s="4">
        <f t="shared" si="4"/>
        <v>1134.5999999999999</v>
      </c>
      <c r="Q30" s="4">
        <f t="shared" si="5"/>
        <v>1323.7</v>
      </c>
      <c r="R30" s="4">
        <f t="shared" si="6"/>
        <v>1418.25</v>
      </c>
      <c r="S30" s="4">
        <f t="shared" si="7"/>
        <v>1512.8</v>
      </c>
      <c r="T30" s="4">
        <f t="shared" si="8"/>
        <v>1701.8999999999999</v>
      </c>
      <c r="U30" s="4">
        <f t="shared" si="9"/>
        <v>1985.55</v>
      </c>
      <c r="V30" s="4">
        <f t="shared" si="10"/>
        <v>2269.1999999999998</v>
      </c>
      <c r="W30" s="4">
        <f t="shared" si="11"/>
        <v>2552.85</v>
      </c>
      <c r="X30" s="10"/>
      <c r="Y30" s="4">
        <f>L30*12</f>
        <v>1683.0072418235743</v>
      </c>
      <c r="Z30" s="4">
        <f>L30*14</f>
        <v>1963.5084487941699</v>
      </c>
      <c r="AA30" s="4">
        <f t="shared" si="12"/>
        <v>2103.7590522794681</v>
      </c>
      <c r="AB30" s="4">
        <f>L30*16</f>
        <v>2244.0096557647657</v>
      </c>
    </row>
    <row r="31" spans="1:28" s="6" customFormat="1" ht="12.75" x14ac:dyDescent="0.2">
      <c r="A31" s="3">
        <v>42643</v>
      </c>
      <c r="B31" s="19">
        <v>28.69</v>
      </c>
      <c r="C31" s="19">
        <v>25.39</v>
      </c>
      <c r="D31" s="19">
        <v>11.356713187797851</v>
      </c>
      <c r="E31" s="19">
        <v>290.93683358716402</v>
      </c>
      <c r="F31" s="19">
        <v>779.61400000000003</v>
      </c>
      <c r="G31" s="19">
        <v>15.146000000000001</v>
      </c>
      <c r="H31" s="20">
        <v>2168.2720896372798</v>
      </c>
      <c r="I31" s="18">
        <v>8643.5862699972895</v>
      </c>
      <c r="J31" s="10"/>
      <c r="K31" s="36">
        <f t="shared" si="13"/>
        <v>89.09</v>
      </c>
      <c r="L31" s="36">
        <f t="shared" si="14"/>
        <v>134.11569130774271</v>
      </c>
      <c r="M31" s="18">
        <f t="shared" si="15"/>
        <v>24.33799629180918</v>
      </c>
      <c r="N31" s="18">
        <f t="shared" si="3"/>
        <v>16.167176774729132</v>
      </c>
      <c r="O31" s="10"/>
      <c r="P31" s="4">
        <f t="shared" si="4"/>
        <v>1069.08</v>
      </c>
      <c r="Q31" s="4">
        <f t="shared" si="5"/>
        <v>1247.26</v>
      </c>
      <c r="R31" s="4">
        <f t="shared" si="6"/>
        <v>1336.3500000000001</v>
      </c>
      <c r="S31" s="4">
        <f t="shared" si="7"/>
        <v>1425.44</v>
      </c>
      <c r="T31" s="4">
        <f t="shared" si="8"/>
        <v>1603.6200000000001</v>
      </c>
      <c r="U31" s="4">
        <f t="shared" si="9"/>
        <v>1870.89</v>
      </c>
      <c r="V31" s="4">
        <f t="shared" si="10"/>
        <v>2138.16</v>
      </c>
      <c r="W31" s="4">
        <f t="shared" si="11"/>
        <v>2405.4300000000003</v>
      </c>
      <c r="X31" s="10"/>
      <c r="Y31" s="4">
        <f>L31*12</f>
        <v>1609.3882956929124</v>
      </c>
      <c r="Z31" s="4">
        <f>L31*14</f>
        <v>1877.6196783083979</v>
      </c>
      <c r="AA31" s="4">
        <f t="shared" si="12"/>
        <v>2011.7353696161406</v>
      </c>
      <c r="AB31" s="4">
        <f>L31*16</f>
        <v>2145.8510609238833</v>
      </c>
    </row>
    <row r="32" spans="1:28" s="6" customFormat="1" ht="12.75" x14ac:dyDescent="0.2">
      <c r="A32" s="3">
        <v>42551</v>
      </c>
      <c r="B32" s="19">
        <v>25.7</v>
      </c>
      <c r="C32" s="19">
        <v>23.28</v>
      </c>
      <c r="D32" s="19">
        <v>11.278726726038828</v>
      </c>
      <c r="E32" s="19">
        <v>284.59270983317998</v>
      </c>
      <c r="F32" s="19">
        <v>765.12300000000005</v>
      </c>
      <c r="G32" s="19">
        <v>15.311</v>
      </c>
      <c r="H32" s="20">
        <v>2098.8552265056101</v>
      </c>
      <c r="I32" s="18">
        <v>8667.9402527180337</v>
      </c>
      <c r="J32" s="10"/>
      <c r="K32" s="36">
        <f t="shared" si="13"/>
        <v>86.92</v>
      </c>
      <c r="L32" s="36">
        <f t="shared" si="14"/>
        <v>131.37987737776996</v>
      </c>
      <c r="M32" s="18">
        <f t="shared" si="15"/>
        <v>24.146976835085251</v>
      </c>
      <c r="N32" s="18">
        <f t="shared" si="3"/>
        <v>15.975469519358414</v>
      </c>
      <c r="O32" s="10"/>
      <c r="P32" s="4">
        <f t="shared" si="4"/>
        <v>1043.04</v>
      </c>
      <c r="Q32" s="4">
        <f t="shared" si="5"/>
        <v>1216.8800000000001</v>
      </c>
      <c r="R32" s="4">
        <f t="shared" si="6"/>
        <v>1303.8</v>
      </c>
      <c r="S32" s="4">
        <f t="shared" si="7"/>
        <v>1390.72</v>
      </c>
      <c r="T32" s="4">
        <f t="shared" si="8"/>
        <v>1564.56</v>
      </c>
      <c r="U32" s="4">
        <f t="shared" si="9"/>
        <v>1825.32</v>
      </c>
      <c r="V32" s="4">
        <f t="shared" si="10"/>
        <v>2086.08</v>
      </c>
      <c r="W32" s="4">
        <f t="shared" si="11"/>
        <v>2346.84</v>
      </c>
      <c r="X32" s="10"/>
      <c r="Y32" s="4">
        <f>L32*12</f>
        <v>1576.5585285332395</v>
      </c>
      <c r="Z32" s="4">
        <f>L32*14</f>
        <v>1839.3182832887794</v>
      </c>
      <c r="AA32" s="4">
        <f t="shared" si="12"/>
        <v>1970.6981606665495</v>
      </c>
      <c r="AB32" s="4">
        <f>L32*16</f>
        <v>2102.0780380443193</v>
      </c>
    </row>
    <row r="33" spans="1:28" s="6" customFormat="1" ht="12.75" x14ac:dyDescent="0.2">
      <c r="A33" s="3">
        <v>42460</v>
      </c>
      <c r="B33" s="19">
        <v>23.97</v>
      </c>
      <c r="C33" s="19">
        <v>21.72</v>
      </c>
      <c r="D33" s="19">
        <v>11.041155949644605</v>
      </c>
      <c r="E33" s="19">
        <v>274.03042801957099</v>
      </c>
      <c r="F33" s="19">
        <v>752.77099999999996</v>
      </c>
      <c r="G33" s="19">
        <v>14.475</v>
      </c>
      <c r="H33" s="20">
        <v>2059.7411766011501</v>
      </c>
      <c r="I33" s="18">
        <v>8718.7153627667958</v>
      </c>
      <c r="J33" s="10"/>
      <c r="K33" s="36">
        <f t="shared" si="13"/>
        <v>86.44</v>
      </c>
      <c r="L33" s="36">
        <f t="shared" si="14"/>
        <v>130.3159395932984</v>
      </c>
      <c r="M33" s="18">
        <f t="shared" si="15"/>
        <v>23.828565208250232</v>
      </c>
      <c r="N33" s="18">
        <f t="shared" si="3"/>
        <v>15.805750110304034</v>
      </c>
      <c r="O33" s="10"/>
      <c r="P33" s="4">
        <f t="shared" si="4"/>
        <v>1037.28</v>
      </c>
      <c r="Q33" s="4">
        <f t="shared" si="5"/>
        <v>1210.1599999999999</v>
      </c>
      <c r="R33" s="4">
        <f t="shared" si="6"/>
        <v>1296.5999999999999</v>
      </c>
      <c r="S33" s="4">
        <f t="shared" si="7"/>
        <v>1383.04</v>
      </c>
      <c r="T33" s="4">
        <f t="shared" si="8"/>
        <v>1555.92</v>
      </c>
      <c r="U33" s="4">
        <f t="shared" si="9"/>
        <v>1815.24</v>
      </c>
      <c r="V33" s="4">
        <f t="shared" si="10"/>
        <v>2074.56</v>
      </c>
      <c r="W33" s="4">
        <f t="shared" si="11"/>
        <v>2333.88</v>
      </c>
      <c r="X33" s="10"/>
      <c r="Y33" s="4">
        <f>L33*12</f>
        <v>1563.7912751195809</v>
      </c>
      <c r="Z33" s="4">
        <f>L33*14</f>
        <v>1824.4231543061776</v>
      </c>
      <c r="AA33" s="4">
        <f t="shared" si="12"/>
        <v>1954.7390938994758</v>
      </c>
      <c r="AB33" s="4">
        <f>L33*16</f>
        <v>2085.0550334927743</v>
      </c>
    </row>
    <row r="34" spans="1:28" s="5" customFormat="1" ht="12.75" x14ac:dyDescent="0.2">
      <c r="A34" s="3">
        <v>42369</v>
      </c>
      <c r="B34" s="19">
        <v>23.06</v>
      </c>
      <c r="C34" s="19">
        <v>18.7</v>
      </c>
      <c r="D34" s="19">
        <v>11.34909544426143</v>
      </c>
      <c r="E34" s="19">
        <v>288.87468018814099</v>
      </c>
      <c r="F34" s="19">
        <v>740.28700000000003</v>
      </c>
      <c r="G34" s="19">
        <v>18.097000000000001</v>
      </c>
      <c r="H34" s="20">
        <v>2043.9368626607099</v>
      </c>
      <c r="I34" s="18">
        <v>8757.3919584841387</v>
      </c>
      <c r="J34" s="10"/>
      <c r="K34" s="36">
        <f t="shared" si="13"/>
        <v>86.53</v>
      </c>
      <c r="L34" s="36">
        <f t="shared" si="14"/>
        <v>129.91788736093014</v>
      </c>
      <c r="M34" s="18">
        <f t="shared" si="15"/>
        <v>23.621135590670402</v>
      </c>
      <c r="N34" s="18">
        <f t="shared" si="3"/>
        <v>15.73252847764039</v>
      </c>
      <c r="O34" s="10"/>
      <c r="P34" s="4">
        <f t="shared" si="4"/>
        <v>1038.3600000000001</v>
      </c>
      <c r="Q34" s="4">
        <f t="shared" si="5"/>
        <v>1211.42</v>
      </c>
      <c r="R34" s="4">
        <f t="shared" si="6"/>
        <v>1297.95</v>
      </c>
      <c r="S34" s="4">
        <f t="shared" si="7"/>
        <v>1384.48</v>
      </c>
      <c r="T34" s="4">
        <f t="shared" si="8"/>
        <v>1557.54</v>
      </c>
      <c r="U34" s="4">
        <f t="shared" si="9"/>
        <v>1817.13</v>
      </c>
      <c r="V34" s="4">
        <f t="shared" si="10"/>
        <v>2076.7200000000003</v>
      </c>
      <c r="W34" s="4">
        <f t="shared" si="11"/>
        <v>2336.31</v>
      </c>
      <c r="X34" s="10"/>
      <c r="Y34" s="4">
        <f>L34*12</f>
        <v>1559.0146483311617</v>
      </c>
      <c r="Z34" s="4">
        <f>L34*14</f>
        <v>1818.850423053022</v>
      </c>
      <c r="AA34" s="4">
        <f t="shared" si="12"/>
        <v>1948.7683104139521</v>
      </c>
      <c r="AB34" s="4">
        <f>L34*16</f>
        <v>2078.6861977748822</v>
      </c>
    </row>
    <row r="35" spans="1:28" s="6" customFormat="1" ht="12.75" x14ac:dyDescent="0.2">
      <c r="A35" s="3">
        <v>42277</v>
      </c>
      <c r="B35" s="19">
        <v>25.44</v>
      </c>
      <c r="C35" s="19">
        <v>23.22</v>
      </c>
      <c r="D35" s="19">
        <v>10.7908992578251</v>
      </c>
      <c r="E35" s="19">
        <v>283.717152096576</v>
      </c>
      <c r="F35" s="19">
        <v>744.68</v>
      </c>
      <c r="G35" s="19">
        <v>16.494</v>
      </c>
      <c r="H35" s="20">
        <v>1920.0265516397001</v>
      </c>
      <c r="I35" s="18">
        <v>8810.5737632553573</v>
      </c>
      <c r="J35" s="10"/>
      <c r="K35" s="36">
        <f t="shared" si="13"/>
        <v>90.66</v>
      </c>
      <c r="L35" s="36">
        <f t="shared" si="14"/>
        <v>133.17039650947282</v>
      </c>
      <c r="M35" s="18">
        <f t="shared" si="15"/>
        <v>21.17832066666336</v>
      </c>
      <c r="N35" s="18">
        <f t="shared" si="3"/>
        <v>14.417818088445225</v>
      </c>
      <c r="O35" s="10"/>
      <c r="P35" s="4">
        <f t="shared" si="4"/>
        <v>1087.92</v>
      </c>
      <c r="Q35" s="4">
        <f t="shared" si="5"/>
        <v>1269.24</v>
      </c>
      <c r="R35" s="4">
        <f t="shared" si="6"/>
        <v>1359.8999999999999</v>
      </c>
      <c r="S35" s="4">
        <f t="shared" si="7"/>
        <v>1450.56</v>
      </c>
      <c r="T35" s="4">
        <f t="shared" si="8"/>
        <v>1631.8799999999999</v>
      </c>
      <c r="U35" s="4">
        <f t="shared" si="9"/>
        <v>1903.86</v>
      </c>
      <c r="V35" s="4">
        <f t="shared" si="10"/>
        <v>2175.84</v>
      </c>
      <c r="W35" s="4">
        <f t="shared" si="11"/>
        <v>2447.8199999999997</v>
      </c>
      <c r="X35" s="10"/>
      <c r="Y35" s="4">
        <f>L35*12</f>
        <v>1598.0447581136739</v>
      </c>
      <c r="Z35" s="4">
        <f>L35*14</f>
        <v>1864.3855511326196</v>
      </c>
      <c r="AA35" s="4">
        <f t="shared" si="12"/>
        <v>1997.5559476420924</v>
      </c>
      <c r="AB35" s="4">
        <f>L35*16</f>
        <v>2130.7263441515652</v>
      </c>
    </row>
    <row r="36" spans="1:28" s="6" customFormat="1" ht="12.75" x14ac:dyDescent="0.2">
      <c r="A36" s="3">
        <v>42185</v>
      </c>
      <c r="B36" s="19">
        <v>26.14</v>
      </c>
      <c r="C36" s="19">
        <v>22.8</v>
      </c>
      <c r="D36" s="19">
        <v>10.694788941567241</v>
      </c>
      <c r="E36" s="19">
        <v>281.348521023773</v>
      </c>
      <c r="F36" s="19">
        <v>735.9</v>
      </c>
      <c r="G36" s="19">
        <v>16.11</v>
      </c>
      <c r="H36" s="20">
        <v>2063.1118322236698</v>
      </c>
      <c r="I36" s="18">
        <v>8830.9881238439229</v>
      </c>
      <c r="J36" s="10"/>
      <c r="K36" s="36">
        <f t="shared" si="13"/>
        <v>94.91</v>
      </c>
      <c r="L36" s="36">
        <f t="shared" si="14"/>
        <v>136.65200180993395</v>
      </c>
      <c r="M36" s="18">
        <f t="shared" si="15"/>
        <v>21.737560133006742</v>
      </c>
      <c r="N36" s="18">
        <f t="shared" si="3"/>
        <v>15.097560261818948</v>
      </c>
      <c r="O36" s="10"/>
      <c r="P36" s="4">
        <f t="shared" si="4"/>
        <v>1138.92</v>
      </c>
      <c r="Q36" s="4">
        <f t="shared" si="5"/>
        <v>1328.74</v>
      </c>
      <c r="R36" s="4">
        <f t="shared" si="6"/>
        <v>1423.6499999999999</v>
      </c>
      <c r="S36" s="4">
        <f t="shared" si="7"/>
        <v>1518.56</v>
      </c>
      <c r="T36" s="4">
        <f t="shared" si="8"/>
        <v>1708.3799999999999</v>
      </c>
      <c r="U36" s="4">
        <f t="shared" si="9"/>
        <v>1993.11</v>
      </c>
      <c r="V36" s="4">
        <f t="shared" si="10"/>
        <v>2277.84</v>
      </c>
      <c r="W36" s="4">
        <f t="shared" si="11"/>
        <v>2562.5699999999997</v>
      </c>
      <c r="X36" s="10"/>
      <c r="Y36" s="4">
        <f>L36*12</f>
        <v>1639.8240217192074</v>
      </c>
      <c r="Z36" s="4">
        <f>L36*14</f>
        <v>1913.1280253390753</v>
      </c>
      <c r="AA36" s="4">
        <f t="shared" si="12"/>
        <v>2049.7800271490091</v>
      </c>
      <c r="AB36" s="4">
        <f>L36*16</f>
        <v>2186.4320289589432</v>
      </c>
    </row>
    <row r="37" spans="1:28" s="6" customFormat="1" ht="12.75" x14ac:dyDescent="0.2">
      <c r="A37" s="3">
        <v>42094</v>
      </c>
      <c r="B37" s="19">
        <v>25.81</v>
      </c>
      <c r="C37" s="19">
        <v>21.81</v>
      </c>
      <c r="D37" s="19">
        <v>10.55310371727637</v>
      </c>
      <c r="E37" s="19">
        <v>273.18781634784602</v>
      </c>
      <c r="F37" s="19">
        <v>729.29100000000005</v>
      </c>
      <c r="G37" s="19">
        <v>15.942</v>
      </c>
      <c r="H37" s="20">
        <v>2067.88724075851</v>
      </c>
      <c r="I37" s="18">
        <v>8851.2460232117392</v>
      </c>
      <c r="J37" s="10"/>
      <c r="K37" s="36">
        <f t="shared" si="13"/>
        <v>99.25</v>
      </c>
      <c r="L37" s="36">
        <f t="shared" si="14"/>
        <v>140.05660984693688</v>
      </c>
      <c r="M37" s="18">
        <f t="shared" si="15"/>
        <v>20.835135927037882</v>
      </c>
      <c r="N37" s="18">
        <f t="shared" si="3"/>
        <v>14.764652971526541</v>
      </c>
      <c r="O37" s="10"/>
      <c r="P37" s="4">
        <f t="shared" si="4"/>
        <v>1191</v>
      </c>
      <c r="Q37" s="4">
        <f t="shared" si="5"/>
        <v>1389.5</v>
      </c>
      <c r="R37" s="4">
        <f t="shared" si="6"/>
        <v>1488.75</v>
      </c>
      <c r="S37" s="4">
        <f t="shared" si="7"/>
        <v>1588</v>
      </c>
      <c r="T37" s="4">
        <f t="shared" si="8"/>
        <v>1786.5</v>
      </c>
      <c r="U37" s="4">
        <f t="shared" si="9"/>
        <v>2084.25</v>
      </c>
      <c r="V37" s="4">
        <f t="shared" si="10"/>
        <v>2382</v>
      </c>
      <c r="W37" s="4">
        <f t="shared" si="11"/>
        <v>2679.75</v>
      </c>
      <c r="X37" s="10"/>
      <c r="Y37" s="4">
        <f>L37*12</f>
        <v>1680.6793181632424</v>
      </c>
      <c r="Z37" s="4">
        <f>L37*14</f>
        <v>1960.7925378571163</v>
      </c>
      <c r="AA37" s="4">
        <f t="shared" si="12"/>
        <v>2100.8491477040534</v>
      </c>
      <c r="AB37" s="4">
        <f>L37*16</f>
        <v>2240.9057575509901</v>
      </c>
    </row>
    <row r="38" spans="1:28" s="6" customFormat="1" ht="12.75" x14ac:dyDescent="0.2">
      <c r="A38" s="3">
        <v>42004</v>
      </c>
      <c r="B38" s="19">
        <v>26.76</v>
      </c>
      <c r="C38" s="19">
        <v>22.83</v>
      </c>
      <c r="D38" s="19">
        <v>10.471604592804113</v>
      </c>
      <c r="E38" s="19">
        <v>297.91000000000003</v>
      </c>
      <c r="F38" s="19">
        <v>726.95600000000002</v>
      </c>
      <c r="G38" s="19">
        <v>19.837</v>
      </c>
      <c r="H38" s="20">
        <v>2058.9023788568802</v>
      </c>
      <c r="I38" s="18">
        <v>8861.5968892373949</v>
      </c>
      <c r="J38" s="10"/>
      <c r="K38" s="36">
        <f t="shared" si="13"/>
        <v>102.31</v>
      </c>
      <c r="L38" s="36">
        <f t="shared" si="14"/>
        <v>141.75314109272995</v>
      </c>
      <c r="M38" s="18">
        <f t="shared" si="15"/>
        <v>20.12415578982387</v>
      </c>
      <c r="N38" s="18">
        <f t="shared" si="3"/>
        <v>14.524562651560704</v>
      </c>
      <c r="O38" s="10"/>
      <c r="P38" s="4">
        <f t="shared" si="4"/>
        <v>1227.72</v>
      </c>
      <c r="Q38" s="4">
        <f t="shared" si="5"/>
        <v>1432.3400000000001</v>
      </c>
      <c r="R38" s="4">
        <f t="shared" si="6"/>
        <v>1534.65</v>
      </c>
      <c r="S38" s="4">
        <f t="shared" si="7"/>
        <v>1636.96</v>
      </c>
      <c r="T38" s="4">
        <f t="shared" si="8"/>
        <v>1841.58</v>
      </c>
      <c r="U38" s="4">
        <f t="shared" si="9"/>
        <v>2148.5100000000002</v>
      </c>
      <c r="V38" s="4">
        <f t="shared" si="10"/>
        <v>2455.44</v>
      </c>
      <c r="W38" s="4">
        <f t="shared" si="11"/>
        <v>2762.37</v>
      </c>
      <c r="X38" s="10"/>
      <c r="Y38" s="4">
        <f>L38*12</f>
        <v>1701.0376931127594</v>
      </c>
      <c r="Z38" s="4">
        <f>L38*14</f>
        <v>1984.5439752982193</v>
      </c>
      <c r="AA38" s="4">
        <f t="shared" si="12"/>
        <v>2126.2971163909492</v>
      </c>
      <c r="AB38" s="4">
        <f>L38*16</f>
        <v>2268.0502574836792</v>
      </c>
    </row>
    <row r="39" spans="1:28" s="6" customFormat="1" ht="12.75" x14ac:dyDescent="0.2">
      <c r="A39" s="3">
        <v>41912</v>
      </c>
      <c r="B39" s="19">
        <v>29.6</v>
      </c>
      <c r="C39" s="19">
        <v>27.47</v>
      </c>
      <c r="D39" s="19">
        <v>10.022504558286219</v>
      </c>
      <c r="E39" s="19">
        <v>293.08999999999997</v>
      </c>
      <c r="F39" s="19">
        <v>736.78</v>
      </c>
      <c r="G39" s="19">
        <v>17.847999999999999</v>
      </c>
      <c r="H39" s="20">
        <v>1972.28514504996</v>
      </c>
      <c r="I39" s="18">
        <v>8882.3475999999991</v>
      </c>
      <c r="J39" s="10"/>
      <c r="K39" s="36">
        <f t="shared" si="13"/>
        <v>105.96000000000001</v>
      </c>
      <c r="L39" s="36">
        <f t="shared" si="14"/>
        <v>144.45461129653307</v>
      </c>
      <c r="M39" s="18">
        <f t="shared" si="15"/>
        <v>18.613487590127971</v>
      </c>
      <c r="N39" s="18">
        <f t="shared" si="3"/>
        <v>13.653320772164889</v>
      </c>
      <c r="O39" s="10"/>
      <c r="P39" s="4">
        <f t="shared" si="4"/>
        <v>1271.52</v>
      </c>
      <c r="Q39" s="4">
        <f t="shared" si="5"/>
        <v>1483.44</v>
      </c>
      <c r="R39" s="4">
        <f t="shared" si="6"/>
        <v>1589.4</v>
      </c>
      <c r="S39" s="4">
        <f t="shared" si="7"/>
        <v>1695.3600000000001</v>
      </c>
      <c r="T39" s="4">
        <f t="shared" si="8"/>
        <v>1907.2800000000002</v>
      </c>
      <c r="U39" s="4">
        <f t="shared" si="9"/>
        <v>2225.1600000000003</v>
      </c>
      <c r="V39" s="4">
        <f t="shared" si="10"/>
        <v>2543.04</v>
      </c>
      <c r="W39" s="4">
        <f t="shared" si="11"/>
        <v>2860.92</v>
      </c>
      <c r="X39" s="10"/>
      <c r="Y39" s="4">
        <f>L39*12</f>
        <v>1733.4553355583969</v>
      </c>
      <c r="Z39" s="4">
        <f>L39*14</f>
        <v>2022.3645581514629</v>
      </c>
      <c r="AA39" s="4">
        <f t="shared" si="12"/>
        <v>2166.819169447996</v>
      </c>
      <c r="AB39" s="4">
        <f>L39*16</f>
        <v>2311.2737807445292</v>
      </c>
    </row>
    <row r="40" spans="1:28" s="6" customFormat="1" ht="12.75" x14ac:dyDescent="0.2">
      <c r="A40" s="3">
        <v>41820</v>
      </c>
      <c r="B40" s="19">
        <v>29.34</v>
      </c>
      <c r="C40" s="19">
        <v>27.14</v>
      </c>
      <c r="D40" s="19">
        <v>9.7593969785702033</v>
      </c>
      <c r="E40" s="19">
        <v>292.35472100317702</v>
      </c>
      <c r="F40" s="19">
        <v>733.83600000000001</v>
      </c>
      <c r="G40" s="19">
        <v>18.013000000000002</v>
      </c>
      <c r="H40" s="20">
        <v>1960.23124036383</v>
      </c>
      <c r="I40" s="18">
        <v>8878.5441630212063</v>
      </c>
      <c r="J40" s="10"/>
      <c r="K40" s="36">
        <f t="shared" si="13"/>
        <v>103.12</v>
      </c>
      <c r="L40" s="36">
        <f t="shared" si="14"/>
        <v>140.50067679692137</v>
      </c>
      <c r="M40" s="18">
        <f t="shared" si="15"/>
        <v>19.009224596235743</v>
      </c>
      <c r="N40" s="18">
        <f t="shared" si="3"/>
        <v>13.951756568383892</v>
      </c>
      <c r="O40" s="10"/>
      <c r="P40" s="4">
        <f t="shared" si="4"/>
        <v>1237.44</v>
      </c>
      <c r="Q40" s="4">
        <f t="shared" si="5"/>
        <v>1443.68</v>
      </c>
      <c r="R40" s="4">
        <f t="shared" si="6"/>
        <v>1546.8000000000002</v>
      </c>
      <c r="S40" s="4">
        <f t="shared" si="7"/>
        <v>1649.92</v>
      </c>
      <c r="T40" s="4">
        <f t="shared" si="8"/>
        <v>1856.16</v>
      </c>
      <c r="U40" s="4">
        <f t="shared" si="9"/>
        <v>2165.52</v>
      </c>
      <c r="V40" s="4">
        <f t="shared" si="10"/>
        <v>2474.88</v>
      </c>
      <c r="W40" s="4">
        <f t="shared" si="11"/>
        <v>2784.2400000000002</v>
      </c>
      <c r="X40" s="10"/>
      <c r="Y40" s="4">
        <f>L40*12</f>
        <v>1686.0081215630564</v>
      </c>
      <c r="Z40" s="4">
        <f>L40*14</f>
        <v>1967.009475156899</v>
      </c>
      <c r="AA40" s="4">
        <f t="shared" si="12"/>
        <v>2107.5101519538207</v>
      </c>
      <c r="AB40" s="4">
        <f>L40*16</f>
        <v>2248.0108287507419</v>
      </c>
    </row>
    <row r="41" spans="1:28" s="6" customFormat="1" ht="12.75" x14ac:dyDescent="0.2">
      <c r="A41" s="3">
        <v>41729</v>
      </c>
      <c r="B41" s="19">
        <v>27.32</v>
      </c>
      <c r="C41" s="19">
        <v>24.87</v>
      </c>
      <c r="D41" s="19">
        <v>9.1896349630694125</v>
      </c>
      <c r="E41" s="19">
        <v>279.96134939466799</v>
      </c>
      <c r="F41" s="19">
        <v>717.80899999999997</v>
      </c>
      <c r="G41" s="19">
        <v>16.411000000000001</v>
      </c>
      <c r="H41" s="20">
        <v>1872.33517921728</v>
      </c>
      <c r="I41" s="18">
        <v>8919.2166627820607</v>
      </c>
      <c r="J41" s="10"/>
      <c r="K41" s="36">
        <f t="shared" si="13"/>
        <v>100.85000000000001</v>
      </c>
      <c r="L41" s="36">
        <f t="shared" si="14"/>
        <v>137.07767907280652</v>
      </c>
      <c r="M41" s="18">
        <f t="shared" si="15"/>
        <v>18.5655446625412</v>
      </c>
      <c r="N41" s="18">
        <f t="shared" si="3"/>
        <v>13.65893551657539</v>
      </c>
      <c r="O41" s="10"/>
      <c r="P41" s="4">
        <f t="shared" si="4"/>
        <v>1210.2</v>
      </c>
      <c r="Q41" s="4">
        <f t="shared" si="5"/>
        <v>1411.9</v>
      </c>
      <c r="R41" s="4">
        <f t="shared" si="6"/>
        <v>1512.7500000000002</v>
      </c>
      <c r="S41" s="4">
        <f t="shared" si="7"/>
        <v>1613.6000000000001</v>
      </c>
      <c r="T41" s="4">
        <f t="shared" si="8"/>
        <v>1815.3000000000002</v>
      </c>
      <c r="U41" s="4">
        <f t="shared" si="9"/>
        <v>2117.8500000000004</v>
      </c>
      <c r="V41" s="4">
        <f t="shared" si="10"/>
        <v>2420.4</v>
      </c>
      <c r="W41" s="4">
        <f t="shared" si="11"/>
        <v>2722.9500000000003</v>
      </c>
      <c r="X41" s="10"/>
      <c r="Y41" s="4">
        <f>L41*12</f>
        <v>1644.9321488736782</v>
      </c>
      <c r="Z41" s="4">
        <f>L41*14</f>
        <v>1919.0875070192913</v>
      </c>
      <c r="AA41" s="4">
        <f t="shared" si="12"/>
        <v>2056.1651860920979</v>
      </c>
      <c r="AB41" s="4">
        <f>L41*16</f>
        <v>2193.2428651649043</v>
      </c>
    </row>
    <row r="42" spans="1:28" s="6" customFormat="1" ht="12.75" x14ac:dyDescent="0.2">
      <c r="A42" s="3">
        <v>41639</v>
      </c>
      <c r="B42" s="19">
        <v>28.25</v>
      </c>
      <c r="C42" s="19">
        <v>26.48</v>
      </c>
      <c r="D42" s="19">
        <v>9.5230747966072222</v>
      </c>
      <c r="E42" s="19">
        <v>289.458286214927</v>
      </c>
      <c r="F42" s="19">
        <v>715.83617158315599</v>
      </c>
      <c r="G42" s="19">
        <v>18.456</v>
      </c>
      <c r="H42" s="20">
        <v>1848.3565209419301</v>
      </c>
      <c r="I42" s="18">
        <v>8924.0267757337151</v>
      </c>
      <c r="J42" s="10"/>
      <c r="K42" s="36">
        <f t="shared" si="13"/>
        <v>100.2</v>
      </c>
      <c r="L42" s="36">
        <f t="shared" si="14"/>
        <v>135.19204410973714</v>
      </c>
      <c r="M42" s="18">
        <f t="shared" si="15"/>
        <v>18.446671865687925</v>
      </c>
      <c r="N42" s="18">
        <f t="shared" si="3"/>
        <v>13.672080580729995</v>
      </c>
      <c r="O42" s="10"/>
      <c r="P42" s="4">
        <f t="shared" si="4"/>
        <v>1202.4000000000001</v>
      </c>
      <c r="Q42" s="4">
        <f t="shared" si="5"/>
        <v>1402.8</v>
      </c>
      <c r="R42" s="4">
        <f t="shared" si="6"/>
        <v>1503</v>
      </c>
      <c r="S42" s="4">
        <f t="shared" si="7"/>
        <v>1603.2</v>
      </c>
      <c r="T42" s="4">
        <f t="shared" si="8"/>
        <v>1803.6000000000001</v>
      </c>
      <c r="U42" s="4">
        <f t="shared" si="9"/>
        <v>2104.2000000000003</v>
      </c>
      <c r="V42" s="4">
        <f t="shared" si="10"/>
        <v>2404.8000000000002</v>
      </c>
      <c r="W42" s="4">
        <f t="shared" si="11"/>
        <v>2705.4</v>
      </c>
      <c r="X42" s="10"/>
      <c r="Y42" s="4">
        <f>L42*12</f>
        <v>1622.3045293168457</v>
      </c>
      <c r="Z42" s="4">
        <f>L42*14</f>
        <v>1892.68861753632</v>
      </c>
      <c r="AA42" s="4">
        <f t="shared" si="12"/>
        <v>2027.880661646057</v>
      </c>
      <c r="AB42" s="4">
        <f>L42*16</f>
        <v>2163.0727057557942</v>
      </c>
    </row>
    <row r="43" spans="1:28" s="6" customFormat="1" ht="12.75" x14ac:dyDescent="0.2">
      <c r="A43" s="3">
        <v>41547</v>
      </c>
      <c r="B43" s="19">
        <v>26.92</v>
      </c>
      <c r="C43" s="19">
        <v>24.63</v>
      </c>
      <c r="D43" s="19">
        <v>8.9085700586745507</v>
      </c>
      <c r="E43" s="19">
        <v>279.41131033663498</v>
      </c>
      <c r="F43" s="19">
        <v>693.21969999999999</v>
      </c>
      <c r="G43" s="19">
        <v>16.643000000000001</v>
      </c>
      <c r="H43" s="20">
        <v>1681.54666211214</v>
      </c>
      <c r="I43" s="18">
        <v>8896.8576688014055</v>
      </c>
      <c r="J43" s="10"/>
      <c r="K43" s="36">
        <f t="shared" si="13"/>
        <v>94.37</v>
      </c>
      <c r="L43" s="36">
        <f t="shared" si="14"/>
        <v>128.77391138119913</v>
      </c>
      <c r="M43" s="18">
        <f t="shared" si="15"/>
        <v>17.818657010831195</v>
      </c>
      <c r="N43" s="18">
        <f t="shared" si="3"/>
        <v>13.058131449734347</v>
      </c>
      <c r="O43" s="10"/>
      <c r="P43" s="4">
        <f t="shared" si="4"/>
        <v>1132.44</v>
      </c>
      <c r="Q43" s="4">
        <f t="shared" si="5"/>
        <v>1321.18</v>
      </c>
      <c r="R43" s="4">
        <f t="shared" si="6"/>
        <v>1415.5500000000002</v>
      </c>
      <c r="S43" s="4">
        <f t="shared" si="7"/>
        <v>1509.92</v>
      </c>
      <c r="T43" s="4">
        <f t="shared" si="8"/>
        <v>1698.66</v>
      </c>
      <c r="U43" s="4">
        <f t="shared" si="9"/>
        <v>1981.77</v>
      </c>
      <c r="V43" s="4">
        <f t="shared" si="10"/>
        <v>2264.88</v>
      </c>
      <c r="W43" s="4">
        <f t="shared" si="11"/>
        <v>2547.9900000000002</v>
      </c>
      <c r="X43" s="10"/>
      <c r="Y43" s="4">
        <f>L43*12</f>
        <v>1545.2869365743895</v>
      </c>
      <c r="Z43" s="4">
        <f>L43*14</f>
        <v>1802.8347593367878</v>
      </c>
      <c r="AA43" s="4">
        <f t="shared" si="12"/>
        <v>1931.608670717987</v>
      </c>
      <c r="AB43" s="4">
        <f>L43*16</f>
        <v>2060.382582099186</v>
      </c>
    </row>
    <row r="44" spans="1:28" s="6" customFormat="1" ht="12.75" x14ac:dyDescent="0.2">
      <c r="A44" s="3">
        <v>41455</v>
      </c>
      <c r="B44" s="19">
        <v>26.36</v>
      </c>
      <c r="C44" s="19">
        <v>24.87</v>
      </c>
      <c r="D44" s="19">
        <v>8.6063992544553507</v>
      </c>
      <c r="E44" s="19">
        <v>277.16721895853601</v>
      </c>
      <c r="F44" s="19">
        <v>679.15099999999995</v>
      </c>
      <c r="G44" s="19">
        <v>16.253</v>
      </c>
      <c r="H44" s="20">
        <v>1606.27760773726</v>
      </c>
      <c r="I44" s="18">
        <v>8908.7683839313977</v>
      </c>
      <c r="J44" s="10"/>
      <c r="K44" s="36">
        <f t="shared" si="13"/>
        <v>90.950000000000017</v>
      </c>
      <c r="L44" s="36">
        <f t="shared" si="14"/>
        <v>124.2163413225246</v>
      </c>
      <c r="M44" s="18">
        <f t="shared" si="15"/>
        <v>17.661106187325561</v>
      </c>
      <c r="N44" s="18">
        <f t="shared" si="3"/>
        <v>12.931290606656983</v>
      </c>
      <c r="O44" s="10"/>
      <c r="P44" s="4">
        <f t="shared" si="4"/>
        <v>1091.4000000000001</v>
      </c>
      <c r="Q44" s="4">
        <f t="shared" si="5"/>
        <v>1273.3000000000002</v>
      </c>
      <c r="R44" s="4">
        <f t="shared" si="6"/>
        <v>1364.2500000000002</v>
      </c>
      <c r="S44" s="4">
        <f t="shared" si="7"/>
        <v>1455.2000000000003</v>
      </c>
      <c r="T44" s="4">
        <f t="shared" si="8"/>
        <v>1637.1000000000004</v>
      </c>
      <c r="U44" s="4">
        <f t="shared" si="9"/>
        <v>1909.9500000000003</v>
      </c>
      <c r="V44" s="4">
        <f t="shared" si="10"/>
        <v>2182.8000000000002</v>
      </c>
      <c r="W44" s="4">
        <f t="shared" si="11"/>
        <v>2455.6500000000005</v>
      </c>
      <c r="X44" s="10"/>
      <c r="Y44" s="4">
        <f>L44*12</f>
        <v>1490.5960958702951</v>
      </c>
      <c r="Z44" s="4">
        <f>L44*14</f>
        <v>1739.0287785153444</v>
      </c>
      <c r="AA44" s="4">
        <f t="shared" si="12"/>
        <v>1863.245119837869</v>
      </c>
      <c r="AB44" s="4">
        <f>L44*16</f>
        <v>1987.4614611603936</v>
      </c>
    </row>
    <row r="45" spans="1:28" s="6" customFormat="1" ht="12.75" x14ac:dyDescent="0.2">
      <c r="A45" s="3">
        <v>41364</v>
      </c>
      <c r="B45" s="19">
        <v>25.77</v>
      </c>
      <c r="C45" s="19">
        <v>24.22</v>
      </c>
      <c r="D45" s="19">
        <v>7.9539999999999997</v>
      </c>
      <c r="E45" s="19">
        <v>270.77348697590099</v>
      </c>
      <c r="F45" s="19">
        <v>679.08799999999997</v>
      </c>
      <c r="G45" s="19">
        <v>14.369</v>
      </c>
      <c r="H45" s="20">
        <v>1569.18587246845</v>
      </c>
      <c r="I45" s="18">
        <v>8908.3277121393021</v>
      </c>
      <c r="J45" s="10"/>
      <c r="K45" s="36">
        <f t="shared" si="13"/>
        <v>87.7</v>
      </c>
      <c r="L45" s="36">
        <f t="shared" si="14"/>
        <v>119.81194206806924</v>
      </c>
      <c r="M45" s="18">
        <f t="shared" si="15"/>
        <v>17.892655330312998</v>
      </c>
      <c r="N45" s="18">
        <f t="shared" si="3"/>
        <v>13.097074009341592</v>
      </c>
      <c r="O45" s="10"/>
      <c r="P45" s="4">
        <f t="shared" si="4"/>
        <v>1052.4000000000001</v>
      </c>
      <c r="Q45" s="4">
        <f t="shared" si="5"/>
        <v>1227.8</v>
      </c>
      <c r="R45" s="4">
        <f t="shared" si="6"/>
        <v>1315.5</v>
      </c>
      <c r="S45" s="4">
        <f t="shared" si="7"/>
        <v>1403.2</v>
      </c>
      <c r="T45" s="4">
        <f t="shared" si="8"/>
        <v>1578.6000000000001</v>
      </c>
      <c r="U45" s="4">
        <f t="shared" si="9"/>
        <v>1841.7</v>
      </c>
      <c r="V45" s="4">
        <f t="shared" si="10"/>
        <v>2104.8000000000002</v>
      </c>
      <c r="W45" s="4">
        <f t="shared" si="11"/>
        <v>2367.9</v>
      </c>
      <c r="X45" s="10"/>
      <c r="Y45" s="4">
        <f>L45*12</f>
        <v>1437.7433048168309</v>
      </c>
      <c r="Z45" s="4">
        <f>L45*14</f>
        <v>1677.3671889529694</v>
      </c>
      <c r="AA45" s="4">
        <f t="shared" si="12"/>
        <v>1797.1791310210388</v>
      </c>
      <c r="AB45" s="4">
        <f>L45*16</f>
        <v>1916.9910730891079</v>
      </c>
    </row>
    <row r="46" spans="1:28" s="6" customFormat="1" ht="12.75" x14ac:dyDescent="0.2">
      <c r="A46" s="3">
        <v>41274</v>
      </c>
      <c r="B46" s="19">
        <v>23.15</v>
      </c>
      <c r="C46" s="22">
        <v>20.65</v>
      </c>
      <c r="D46" s="19">
        <v>8.9349420680692422</v>
      </c>
      <c r="E46" s="19">
        <v>288.02527242203701</v>
      </c>
      <c r="F46" s="19">
        <v>666.96554487355195</v>
      </c>
      <c r="G46" s="19">
        <v>17.491</v>
      </c>
      <c r="H46" s="20">
        <v>1426.18797808055</v>
      </c>
      <c r="I46" s="18">
        <v>8934.6120189386565</v>
      </c>
      <c r="J46" s="10"/>
      <c r="K46" s="36">
        <f t="shared" si="13"/>
        <v>86.51</v>
      </c>
      <c r="L46" s="36">
        <f t="shared" si="14"/>
        <v>117.75694206806924</v>
      </c>
      <c r="M46" s="18">
        <f t="shared" si="15"/>
        <v>16.485816415218473</v>
      </c>
      <c r="N46" s="18">
        <f t="shared" si="3"/>
        <v>12.11128578097879</v>
      </c>
      <c r="O46" s="10"/>
      <c r="P46" s="4">
        <f t="shared" si="4"/>
        <v>1038.1200000000001</v>
      </c>
      <c r="Q46" s="4">
        <f t="shared" si="5"/>
        <v>1211.1400000000001</v>
      </c>
      <c r="R46" s="4">
        <f t="shared" si="6"/>
        <v>1297.6500000000001</v>
      </c>
      <c r="S46" s="4">
        <f t="shared" si="7"/>
        <v>1384.16</v>
      </c>
      <c r="T46" s="4">
        <f t="shared" si="8"/>
        <v>1557.18</v>
      </c>
      <c r="U46" s="4">
        <f t="shared" si="9"/>
        <v>1816.71</v>
      </c>
      <c r="V46" s="4">
        <f t="shared" si="10"/>
        <v>2076.2400000000002</v>
      </c>
      <c r="W46" s="4">
        <f t="shared" si="11"/>
        <v>2335.77</v>
      </c>
      <c r="X46" s="10"/>
      <c r="Y46" s="4">
        <f>L46*12</f>
        <v>1413.0833048168308</v>
      </c>
      <c r="Z46" s="4">
        <f>L46*14</f>
        <v>1648.5971889529692</v>
      </c>
      <c r="AA46" s="4">
        <f t="shared" si="12"/>
        <v>1766.3541310210385</v>
      </c>
      <c r="AB46" s="4">
        <f>L46*16</f>
        <v>1884.1110730891078</v>
      </c>
    </row>
    <row r="47" spans="1:28" s="6" customFormat="1" ht="12.75" x14ac:dyDescent="0.2">
      <c r="A47" s="3">
        <v>41182</v>
      </c>
      <c r="B47" s="19">
        <v>24</v>
      </c>
      <c r="C47" s="22">
        <v>21.21</v>
      </c>
      <c r="D47" s="19">
        <v>7.7709999999999999</v>
      </c>
      <c r="E47" s="19">
        <v>268.990078023313</v>
      </c>
      <c r="F47" s="19">
        <v>661.92600000000004</v>
      </c>
      <c r="G47" s="19">
        <v>16.222000000000001</v>
      </c>
      <c r="H47" s="20">
        <v>1440.67450263613</v>
      </c>
      <c r="I47" s="18">
        <v>8940.9645026443904</v>
      </c>
      <c r="J47" s="10"/>
      <c r="K47" s="36">
        <f t="shared" si="13"/>
        <v>86.5</v>
      </c>
      <c r="L47" s="36">
        <f t="shared" si="14"/>
        <v>116.09</v>
      </c>
      <c r="M47" s="18">
        <f t="shared" si="15"/>
        <v>16.655196562267399</v>
      </c>
      <c r="N47" s="18">
        <f t="shared" si="3"/>
        <v>12.409979349092342</v>
      </c>
      <c r="O47" s="10"/>
      <c r="P47" s="4">
        <f t="shared" si="4"/>
        <v>1038</v>
      </c>
      <c r="Q47" s="4">
        <f t="shared" si="5"/>
        <v>1211</v>
      </c>
      <c r="R47" s="4">
        <f t="shared" si="6"/>
        <v>1297.5</v>
      </c>
      <c r="S47" s="4">
        <f t="shared" si="7"/>
        <v>1384</v>
      </c>
      <c r="T47" s="4">
        <f t="shared" si="8"/>
        <v>1557</v>
      </c>
      <c r="U47" s="4">
        <f t="shared" si="9"/>
        <v>1816.5</v>
      </c>
      <c r="V47" s="4">
        <f t="shared" si="10"/>
        <v>2076</v>
      </c>
      <c r="W47" s="4">
        <f t="shared" si="11"/>
        <v>2335.5</v>
      </c>
      <c r="X47" s="10"/>
      <c r="Y47" s="4">
        <f>L47*12</f>
        <v>1393.08</v>
      </c>
      <c r="Z47" s="4">
        <f>L47*14</f>
        <v>1625.26</v>
      </c>
      <c r="AA47" s="4">
        <f t="shared" si="12"/>
        <v>1741.3500000000001</v>
      </c>
      <c r="AB47" s="4">
        <f>L47*16</f>
        <v>1857.44</v>
      </c>
    </row>
    <row r="48" spans="1:28" s="6" customFormat="1" ht="12.75" x14ac:dyDescent="0.2">
      <c r="A48" s="3">
        <v>41090</v>
      </c>
      <c r="B48" s="19">
        <v>25.43</v>
      </c>
      <c r="C48" s="22">
        <v>21.62</v>
      </c>
      <c r="D48" s="19">
        <v>7.4520000000000008</v>
      </c>
      <c r="E48" s="19">
        <v>268.02612885919899</v>
      </c>
      <c r="F48" s="19">
        <v>639.44500000000005</v>
      </c>
      <c r="G48" s="19">
        <v>15.685</v>
      </c>
      <c r="H48" s="20">
        <v>1362.1587454406599</v>
      </c>
      <c r="I48" s="18">
        <v>9032.0668731581882</v>
      </c>
      <c r="J48" s="10"/>
      <c r="K48" s="36">
        <f t="shared" si="13"/>
        <v>87.92</v>
      </c>
      <c r="L48" s="36">
        <f t="shared" si="14"/>
        <v>116.24000000000001</v>
      </c>
      <c r="M48" s="18">
        <f t="shared" si="15"/>
        <v>15.493161344866468</v>
      </c>
      <c r="N48" s="18">
        <f t="shared" si="3"/>
        <v>11.718502627672573</v>
      </c>
      <c r="O48" s="10"/>
      <c r="P48" s="4">
        <f t="shared" si="4"/>
        <v>1055.04</v>
      </c>
      <c r="Q48" s="4">
        <f t="shared" si="5"/>
        <v>1230.8800000000001</v>
      </c>
      <c r="R48" s="4">
        <f t="shared" si="6"/>
        <v>1318.8</v>
      </c>
      <c r="S48" s="4">
        <f t="shared" si="7"/>
        <v>1406.72</v>
      </c>
      <c r="T48" s="4">
        <f t="shared" si="8"/>
        <v>1582.56</v>
      </c>
      <c r="U48" s="4">
        <f t="shared" si="9"/>
        <v>1846.32</v>
      </c>
      <c r="V48" s="4">
        <f t="shared" si="10"/>
        <v>2110.08</v>
      </c>
      <c r="W48" s="4">
        <f t="shared" si="11"/>
        <v>2373.84</v>
      </c>
      <c r="X48" s="10"/>
      <c r="Y48" s="4">
        <f>L48*12</f>
        <v>1394.88</v>
      </c>
      <c r="Z48" s="4">
        <f>L48*14</f>
        <v>1627.3600000000001</v>
      </c>
      <c r="AA48" s="4">
        <f t="shared" si="12"/>
        <v>1743.6000000000001</v>
      </c>
      <c r="AB48" s="4">
        <f>L48*16</f>
        <v>1859.8400000000001</v>
      </c>
    </row>
    <row r="49" spans="1:28" s="5" customFormat="1" ht="12.75" x14ac:dyDescent="0.2">
      <c r="A49" s="3">
        <v>40999</v>
      </c>
      <c r="B49" s="19">
        <v>24.24</v>
      </c>
      <c r="C49" s="22">
        <v>23.03</v>
      </c>
      <c r="D49" s="19">
        <v>7.0889999999999995</v>
      </c>
      <c r="E49" s="22">
        <v>267.32911421688101</v>
      </c>
      <c r="F49" s="19">
        <v>633.04399999999998</v>
      </c>
      <c r="G49" s="19">
        <v>14.33</v>
      </c>
      <c r="H49" s="20">
        <v>1408.46786041941</v>
      </c>
      <c r="I49" s="18">
        <v>9038.3664138794684</v>
      </c>
      <c r="J49" s="10"/>
      <c r="K49" s="36">
        <f t="shared" si="13"/>
        <v>88.539999999999992</v>
      </c>
      <c r="L49" s="36">
        <f t="shared" si="14"/>
        <v>115.893</v>
      </c>
      <c r="M49" s="18">
        <f t="shared" si="15"/>
        <v>15.907701156758643</v>
      </c>
      <c r="N49" s="18">
        <f t="shared" si="3"/>
        <v>12.153174569813622</v>
      </c>
      <c r="O49" s="10"/>
      <c r="P49" s="4">
        <f t="shared" si="4"/>
        <v>1062.48</v>
      </c>
      <c r="Q49" s="4">
        <f t="shared" si="5"/>
        <v>1239.56</v>
      </c>
      <c r="R49" s="4">
        <f t="shared" si="6"/>
        <v>1328.1</v>
      </c>
      <c r="S49" s="4">
        <f t="shared" si="7"/>
        <v>1416.6399999999999</v>
      </c>
      <c r="T49" s="4">
        <f t="shared" si="8"/>
        <v>1593.7199999999998</v>
      </c>
      <c r="U49" s="4">
        <f t="shared" si="9"/>
        <v>1859.34</v>
      </c>
      <c r="V49" s="4">
        <f t="shared" si="10"/>
        <v>2124.96</v>
      </c>
      <c r="W49" s="4">
        <f t="shared" si="11"/>
        <v>2390.58</v>
      </c>
      <c r="X49" s="10"/>
      <c r="Y49" s="4">
        <f>L49*12</f>
        <v>1390.7159999999999</v>
      </c>
      <c r="Z49" s="4">
        <f>L49*14</f>
        <v>1622.502</v>
      </c>
      <c r="AA49" s="4">
        <f t="shared" si="12"/>
        <v>1738.395</v>
      </c>
      <c r="AB49" s="4">
        <f>L49*16</f>
        <v>1854.288</v>
      </c>
    </row>
    <row r="50" spans="1:28" s="5" customFormat="1" ht="12.75" x14ac:dyDescent="0.2">
      <c r="A50" s="3">
        <v>40908</v>
      </c>
      <c r="B50" s="19">
        <v>23.73</v>
      </c>
      <c r="C50" s="19">
        <v>20.64</v>
      </c>
      <c r="D50" s="19">
        <v>7.2779999999999996</v>
      </c>
      <c r="E50" s="19">
        <v>272.64031390908002</v>
      </c>
      <c r="F50" s="19">
        <v>613.14099999999996</v>
      </c>
      <c r="G50" s="19">
        <v>16.018999999999998</v>
      </c>
      <c r="H50" s="20">
        <v>1257.60480453436</v>
      </c>
      <c r="I50" s="18">
        <v>9052.9295525719863</v>
      </c>
      <c r="J50" s="10"/>
      <c r="K50" s="36">
        <f t="shared" si="13"/>
        <v>86.949999999999989</v>
      </c>
      <c r="L50" s="36">
        <f t="shared" si="14"/>
        <v>113.375</v>
      </c>
      <c r="M50" s="18">
        <f t="shared" si="15"/>
        <v>14.463540017646466</v>
      </c>
      <c r="N50" s="18">
        <f t="shared" si="3"/>
        <v>11.09243488012666</v>
      </c>
      <c r="O50" s="10"/>
      <c r="P50" s="4">
        <f t="shared" si="4"/>
        <v>1043.3999999999999</v>
      </c>
      <c r="Q50" s="4">
        <f t="shared" si="5"/>
        <v>1217.2999999999997</v>
      </c>
      <c r="R50" s="4">
        <f t="shared" si="6"/>
        <v>1304.2499999999998</v>
      </c>
      <c r="S50" s="4">
        <f t="shared" si="7"/>
        <v>1391.1999999999998</v>
      </c>
      <c r="T50" s="4">
        <f t="shared" si="8"/>
        <v>1565.1</v>
      </c>
      <c r="U50" s="4">
        <f t="shared" si="9"/>
        <v>1825.9499999999998</v>
      </c>
      <c r="V50" s="4">
        <f t="shared" si="10"/>
        <v>2086.7999999999997</v>
      </c>
      <c r="W50" s="4">
        <f t="shared" si="11"/>
        <v>2347.6499999999996</v>
      </c>
      <c r="X50" s="10"/>
      <c r="Y50" s="4">
        <f>L50*12</f>
        <v>1360.5</v>
      </c>
      <c r="Z50" s="4">
        <f>L50*14</f>
        <v>1587.25</v>
      </c>
      <c r="AA50" s="4">
        <f t="shared" si="12"/>
        <v>1700.625</v>
      </c>
      <c r="AB50" s="4">
        <f>L50*16</f>
        <v>1814</v>
      </c>
    </row>
    <row r="51" spans="1:28" s="6" customFormat="1" ht="12.75" x14ac:dyDescent="0.2">
      <c r="A51" s="3">
        <v>40816</v>
      </c>
      <c r="B51" s="19">
        <v>25.29</v>
      </c>
      <c r="C51" s="19">
        <v>22.63</v>
      </c>
      <c r="D51" s="19">
        <v>6.5010000000000003</v>
      </c>
      <c r="E51" s="19">
        <v>265.98951123115501</v>
      </c>
      <c r="F51" s="19">
        <v>613.1832917151894</v>
      </c>
      <c r="G51" s="19">
        <v>15.07</v>
      </c>
      <c r="H51" s="20">
        <v>1131.42036008329</v>
      </c>
      <c r="I51" s="18">
        <v>9106.3778823031171</v>
      </c>
      <c r="J51" s="10"/>
      <c r="K51" s="36">
        <f t="shared" si="13"/>
        <v>86.98</v>
      </c>
      <c r="L51" s="36">
        <f t="shared" si="14"/>
        <v>112.161</v>
      </c>
      <c r="M51" s="18">
        <f t="shared" si="15"/>
        <v>13.007822029010002</v>
      </c>
      <c r="N51" s="18">
        <f t="shared" si="3"/>
        <v>10.087466767265717</v>
      </c>
      <c r="O51" s="10"/>
      <c r="P51" s="4">
        <f t="shared" si="4"/>
        <v>1043.76</v>
      </c>
      <c r="Q51" s="4">
        <f t="shared" si="5"/>
        <v>1217.72</v>
      </c>
      <c r="R51" s="4">
        <f t="shared" si="6"/>
        <v>1304.7</v>
      </c>
      <c r="S51" s="4">
        <f t="shared" si="7"/>
        <v>1391.68</v>
      </c>
      <c r="T51" s="4">
        <f t="shared" si="8"/>
        <v>1565.64</v>
      </c>
      <c r="U51" s="4">
        <f t="shared" si="9"/>
        <v>1826.5800000000002</v>
      </c>
      <c r="V51" s="4">
        <f t="shared" si="10"/>
        <v>2087.52</v>
      </c>
      <c r="W51" s="4">
        <f t="shared" si="11"/>
        <v>2348.46</v>
      </c>
      <c r="X51" s="10"/>
      <c r="Y51" s="4">
        <f>L51*12</f>
        <v>1345.932</v>
      </c>
      <c r="Z51" s="4">
        <f>L51*14</f>
        <v>1570.2539999999999</v>
      </c>
      <c r="AA51" s="4">
        <f t="shared" si="12"/>
        <v>1682.415</v>
      </c>
      <c r="AB51" s="4">
        <f>L51*16</f>
        <v>1794.576</v>
      </c>
    </row>
    <row r="52" spans="1:28" s="6" customFormat="1" ht="12.75" x14ac:dyDescent="0.2">
      <c r="A52" s="3">
        <v>40724</v>
      </c>
      <c r="B52" s="19">
        <v>24.86</v>
      </c>
      <c r="C52" s="19">
        <v>22.24</v>
      </c>
      <c r="D52" s="19">
        <v>6.4849999999999994</v>
      </c>
      <c r="E52" s="19">
        <v>263.31438175987398</v>
      </c>
      <c r="F52" s="19">
        <v>613.08012017590318</v>
      </c>
      <c r="G52" s="19">
        <v>14.367000000000001</v>
      </c>
      <c r="H52" s="20">
        <v>1320.63904926284</v>
      </c>
      <c r="I52" s="18">
        <v>9102.5309256209111</v>
      </c>
      <c r="J52" s="10"/>
      <c r="K52" s="36">
        <f t="shared" si="13"/>
        <v>83.86999999999999</v>
      </c>
      <c r="L52" s="36">
        <f t="shared" si="14"/>
        <v>108.21100000000001</v>
      </c>
      <c r="M52" s="18">
        <f t="shared" si="15"/>
        <v>15.74626265962609</v>
      </c>
      <c r="N52" s="18">
        <f t="shared" si="3"/>
        <v>12.204295767184851</v>
      </c>
      <c r="O52" s="10"/>
      <c r="P52" s="4">
        <f t="shared" si="4"/>
        <v>1006.4399999999998</v>
      </c>
      <c r="Q52" s="4">
        <f t="shared" si="5"/>
        <v>1174.1799999999998</v>
      </c>
      <c r="R52" s="4">
        <f t="shared" si="6"/>
        <v>1258.05</v>
      </c>
      <c r="S52" s="4">
        <f t="shared" si="7"/>
        <v>1341.9199999999998</v>
      </c>
      <c r="T52" s="4">
        <f t="shared" si="8"/>
        <v>1509.6599999999999</v>
      </c>
      <c r="U52" s="4">
        <f t="shared" si="9"/>
        <v>1761.2699999999998</v>
      </c>
      <c r="V52" s="4">
        <f t="shared" si="10"/>
        <v>2012.8799999999997</v>
      </c>
      <c r="W52" s="4">
        <f t="shared" si="11"/>
        <v>2264.4899999999998</v>
      </c>
      <c r="X52" s="10"/>
      <c r="Y52" s="4">
        <f>L52*12</f>
        <v>1298.5320000000002</v>
      </c>
      <c r="Z52" s="4">
        <f>L52*14</f>
        <v>1514.9540000000002</v>
      </c>
      <c r="AA52" s="4">
        <f t="shared" si="12"/>
        <v>1623.1650000000002</v>
      </c>
      <c r="AB52" s="4">
        <f>L52*16</f>
        <v>1731.3760000000002</v>
      </c>
    </row>
    <row r="53" spans="1:28" s="6" customFormat="1" ht="12.75" x14ac:dyDescent="0.2">
      <c r="A53" s="3">
        <v>40633</v>
      </c>
      <c r="B53" s="19">
        <v>22.56</v>
      </c>
      <c r="C53" s="19">
        <v>21.44</v>
      </c>
      <c r="D53" s="19">
        <v>6.1609999999999996</v>
      </c>
      <c r="E53" s="19">
        <v>250.89030199550999</v>
      </c>
      <c r="F53" s="19">
        <v>594.04829271969299</v>
      </c>
      <c r="G53" s="19">
        <v>12.379</v>
      </c>
      <c r="H53" s="20">
        <v>1325.82671751112</v>
      </c>
      <c r="I53" s="18">
        <v>9102.0463785836964</v>
      </c>
      <c r="J53" s="10"/>
      <c r="K53" s="36">
        <f t="shared" si="13"/>
        <v>81.31</v>
      </c>
      <c r="L53" s="36">
        <f t="shared" si="14"/>
        <v>104.741</v>
      </c>
      <c r="M53" s="18">
        <f t="shared" si="15"/>
        <v>16.305826067041199</v>
      </c>
      <c r="N53" s="18">
        <f t="shared" si="3"/>
        <v>12.658144542358007</v>
      </c>
      <c r="O53" s="10"/>
      <c r="P53" s="4">
        <f t="shared" si="4"/>
        <v>975.72</v>
      </c>
      <c r="Q53" s="4">
        <f t="shared" si="5"/>
        <v>1138.3400000000001</v>
      </c>
      <c r="R53" s="4">
        <f t="shared" si="6"/>
        <v>1219.6500000000001</v>
      </c>
      <c r="S53" s="4">
        <f t="shared" si="7"/>
        <v>1300.96</v>
      </c>
      <c r="T53" s="4">
        <f t="shared" si="8"/>
        <v>1463.58</v>
      </c>
      <c r="U53" s="4">
        <f t="shared" si="9"/>
        <v>1707.51</v>
      </c>
      <c r="V53" s="4">
        <f t="shared" si="10"/>
        <v>1951.44</v>
      </c>
      <c r="W53" s="4">
        <f t="shared" si="11"/>
        <v>2195.37</v>
      </c>
      <c r="X53" s="10"/>
      <c r="Y53" s="4">
        <f>L53*12</f>
        <v>1256.8920000000001</v>
      </c>
      <c r="Z53" s="4">
        <f>L53*14</f>
        <v>1466.374</v>
      </c>
      <c r="AA53" s="4">
        <f t="shared" si="12"/>
        <v>1571.115</v>
      </c>
      <c r="AB53" s="4">
        <f>L53*16</f>
        <v>1675.856</v>
      </c>
    </row>
    <row r="54" spans="1:28" s="5" customFormat="1" ht="12.75" x14ac:dyDescent="0.2">
      <c r="A54" s="3">
        <v>40543</v>
      </c>
      <c r="B54" s="19">
        <v>21.93</v>
      </c>
      <c r="C54" s="19">
        <v>20.67</v>
      </c>
      <c r="D54" s="19">
        <v>6.0340000000000007</v>
      </c>
      <c r="E54" s="19">
        <v>252.73245271247052</v>
      </c>
      <c r="F54" s="19">
        <v>579.14031982866686</v>
      </c>
      <c r="G54" s="19">
        <v>15.988</v>
      </c>
      <c r="H54" s="20">
        <v>1257.63598797798</v>
      </c>
      <c r="I54" s="18">
        <v>9088.3485396189699</v>
      </c>
      <c r="J54" s="10"/>
      <c r="K54" s="36">
        <f t="shared" si="13"/>
        <v>77.349999999999994</v>
      </c>
      <c r="L54" s="36">
        <f t="shared" si="14"/>
        <v>100.07900000000001</v>
      </c>
      <c r="M54" s="18">
        <f t="shared" si="15"/>
        <v>16.259030225959666</v>
      </c>
      <c r="N54" s="18">
        <f t="shared" si="3"/>
        <v>12.566432398185233</v>
      </c>
      <c r="O54" s="10"/>
      <c r="P54" s="4">
        <f t="shared" si="4"/>
        <v>928.19999999999993</v>
      </c>
      <c r="Q54" s="4">
        <f t="shared" si="5"/>
        <v>1082.8999999999999</v>
      </c>
      <c r="R54" s="4">
        <f t="shared" si="6"/>
        <v>1160.25</v>
      </c>
      <c r="S54" s="4">
        <f t="shared" si="7"/>
        <v>1237.5999999999999</v>
      </c>
      <c r="T54" s="4">
        <f t="shared" si="8"/>
        <v>1392.3</v>
      </c>
      <c r="U54" s="4">
        <f t="shared" si="9"/>
        <v>1624.35</v>
      </c>
      <c r="V54" s="4">
        <f t="shared" si="10"/>
        <v>1856.3999999999999</v>
      </c>
      <c r="W54" s="4">
        <f t="shared" si="11"/>
        <v>2088.4499999999998</v>
      </c>
      <c r="X54" s="10"/>
      <c r="Y54" s="4">
        <f>L54*12</f>
        <v>1200.9480000000001</v>
      </c>
      <c r="Z54" s="4">
        <f>L54*14</f>
        <v>1401.1060000000002</v>
      </c>
      <c r="AA54" s="4">
        <f t="shared" si="12"/>
        <v>1501.1850000000002</v>
      </c>
      <c r="AB54" s="4">
        <f>L54*16</f>
        <v>1601.2640000000001</v>
      </c>
    </row>
    <row r="55" spans="1:28" s="5" customFormat="1" x14ac:dyDescent="0.25">
      <c r="A55" s="3">
        <v>40451</v>
      </c>
      <c r="B55" s="19">
        <v>21.56</v>
      </c>
      <c r="C55" s="19">
        <v>19.52</v>
      </c>
      <c r="D55" s="19">
        <v>5.6609999999999996</v>
      </c>
      <c r="E55" s="19">
        <v>240.83775488503525</v>
      </c>
      <c r="F55" s="23">
        <v>567.94647979018941</v>
      </c>
      <c r="G55" s="19"/>
      <c r="H55" s="24">
        <v>1141.20115690593</v>
      </c>
      <c r="I55" s="18">
        <v>9057.378058469867</v>
      </c>
      <c r="J55" s="10"/>
      <c r="K55" s="36">
        <f t="shared" si="13"/>
        <v>71.860000000000014</v>
      </c>
      <c r="L55" s="36">
        <f t="shared" si="14"/>
        <v>94.213000000000008</v>
      </c>
      <c r="M55" s="18">
        <f t="shared" si="15"/>
        <v>15.880895587335511</v>
      </c>
      <c r="N55" s="18">
        <f t="shared" si="3"/>
        <v>12.112990318808762</v>
      </c>
      <c r="O55" s="10"/>
      <c r="P55" s="4">
        <f t="shared" si="4"/>
        <v>862.32000000000016</v>
      </c>
      <c r="Q55" s="4">
        <f t="shared" si="5"/>
        <v>1006.0400000000002</v>
      </c>
      <c r="R55" s="4">
        <f t="shared" si="6"/>
        <v>1077.9000000000001</v>
      </c>
      <c r="S55" s="4">
        <f t="shared" si="7"/>
        <v>1149.7600000000002</v>
      </c>
      <c r="T55" s="4">
        <f t="shared" si="8"/>
        <v>1293.4800000000002</v>
      </c>
      <c r="U55" s="4">
        <f t="shared" si="9"/>
        <v>1509.0600000000004</v>
      </c>
      <c r="V55" s="4">
        <f t="shared" si="10"/>
        <v>1724.6400000000003</v>
      </c>
      <c r="W55" s="4">
        <f t="shared" si="11"/>
        <v>1940.2200000000003</v>
      </c>
      <c r="X55" s="10"/>
      <c r="Y55" s="4">
        <f>L55*12</f>
        <v>1130.556</v>
      </c>
      <c r="Z55" s="4">
        <f>L55*14</f>
        <v>1318.9820000000002</v>
      </c>
      <c r="AA55" s="4">
        <f t="shared" si="12"/>
        <v>1413.1950000000002</v>
      </c>
      <c r="AB55" s="4">
        <f>L55*16</f>
        <v>1507.4080000000001</v>
      </c>
    </row>
    <row r="56" spans="1:28" s="5" customFormat="1" ht="12.75" x14ac:dyDescent="0.2">
      <c r="A56" s="3">
        <v>40359</v>
      </c>
      <c r="B56" s="19">
        <v>20.9</v>
      </c>
      <c r="C56" s="19">
        <v>19.68</v>
      </c>
      <c r="D56" s="19">
        <v>5.5750000000000002</v>
      </c>
      <c r="E56" s="19">
        <v>236.75355514653191</v>
      </c>
      <c r="F56" s="19">
        <v>541.60259896188109</v>
      </c>
      <c r="G56" s="19"/>
      <c r="H56" s="20">
        <v>1030.71008330308</v>
      </c>
      <c r="I56" s="18">
        <v>9044.8147006774816</v>
      </c>
      <c r="J56" s="10"/>
      <c r="K56" s="36">
        <f t="shared" si="13"/>
        <v>67.099999999999994</v>
      </c>
      <c r="L56" s="36">
        <f t="shared" si="14"/>
        <v>89.137</v>
      </c>
      <c r="M56" s="18">
        <f t="shared" si="15"/>
        <v>15.360806010478093</v>
      </c>
      <c r="N56" s="18">
        <f t="shared" si="3"/>
        <v>11.563212619934259</v>
      </c>
      <c r="O56" s="10"/>
      <c r="P56" s="4">
        <f t="shared" si="4"/>
        <v>805.19999999999993</v>
      </c>
      <c r="Q56" s="4">
        <f t="shared" si="5"/>
        <v>939.39999999999986</v>
      </c>
      <c r="R56" s="4">
        <f t="shared" si="6"/>
        <v>1006.4999999999999</v>
      </c>
      <c r="S56" s="4">
        <f t="shared" si="7"/>
        <v>1073.5999999999999</v>
      </c>
      <c r="T56" s="4">
        <f t="shared" si="8"/>
        <v>1207.8</v>
      </c>
      <c r="U56" s="4">
        <f t="shared" si="9"/>
        <v>1409.1</v>
      </c>
      <c r="V56" s="4">
        <f t="shared" si="10"/>
        <v>1610.3999999999999</v>
      </c>
      <c r="W56" s="4">
        <f t="shared" si="11"/>
        <v>1811.6999999999998</v>
      </c>
      <c r="X56" s="10"/>
      <c r="Y56" s="4">
        <f>L56*12</f>
        <v>1069.644</v>
      </c>
      <c r="Z56" s="4">
        <f>L56*14</f>
        <v>1247.9180000000001</v>
      </c>
      <c r="AA56" s="4">
        <f t="shared" si="12"/>
        <v>1337.0550000000001</v>
      </c>
      <c r="AB56" s="4">
        <f>L56*16</f>
        <v>1426.192</v>
      </c>
    </row>
    <row r="57" spans="1:28" s="5" customFormat="1" ht="12.75" x14ac:dyDescent="0.2">
      <c r="A57" s="3">
        <v>40268</v>
      </c>
      <c r="B57" s="19">
        <v>19.38</v>
      </c>
      <c r="C57" s="19">
        <v>17.48</v>
      </c>
      <c r="D57" s="19">
        <v>5.4589999999999996</v>
      </c>
      <c r="E57" s="19">
        <v>232.38219753036418</v>
      </c>
      <c r="F57" s="19">
        <v>530.94691410645248</v>
      </c>
      <c r="G57" s="19"/>
      <c r="H57" s="20">
        <v>1169.43119269817</v>
      </c>
      <c r="I57" s="18">
        <v>9030.0347000000002</v>
      </c>
      <c r="J57" s="10"/>
      <c r="K57" s="36">
        <f t="shared" si="13"/>
        <v>60.929999999999993</v>
      </c>
      <c r="L57" s="36">
        <f t="shared" si="14"/>
        <v>82.834000000000003</v>
      </c>
      <c r="M57" s="18">
        <f t="shared" si="15"/>
        <v>19.193027945152963</v>
      </c>
      <c r="N57" s="18">
        <f t="shared" si="3"/>
        <v>14.117767978102831</v>
      </c>
      <c r="O57" s="10"/>
      <c r="P57" s="4">
        <f t="shared" si="4"/>
        <v>731.15999999999985</v>
      </c>
      <c r="Q57" s="4">
        <f t="shared" si="5"/>
        <v>853.01999999999987</v>
      </c>
      <c r="R57" s="4">
        <f t="shared" si="6"/>
        <v>913.94999999999993</v>
      </c>
      <c r="S57" s="4">
        <f t="shared" si="7"/>
        <v>974.87999999999988</v>
      </c>
      <c r="T57" s="4">
        <f t="shared" si="8"/>
        <v>1096.7399999999998</v>
      </c>
      <c r="U57" s="4">
        <f t="shared" si="9"/>
        <v>1279.5299999999997</v>
      </c>
      <c r="V57" s="4">
        <f t="shared" si="10"/>
        <v>1462.3199999999997</v>
      </c>
      <c r="W57" s="4">
        <f t="shared" si="11"/>
        <v>1645.11</v>
      </c>
      <c r="X57" s="10"/>
      <c r="Y57" s="4">
        <f>L57*12</f>
        <v>994.00800000000004</v>
      </c>
      <c r="Z57" s="4">
        <f>L57*14</f>
        <v>1159.6759999999999</v>
      </c>
      <c r="AA57" s="4">
        <f t="shared" si="12"/>
        <v>1242.51</v>
      </c>
      <c r="AB57" s="4">
        <f>L57*16</f>
        <v>1325.3440000000001</v>
      </c>
    </row>
    <row r="58" spans="1:28" s="6" customFormat="1" x14ac:dyDescent="0.25">
      <c r="A58" s="3">
        <v>40178</v>
      </c>
      <c r="B58" s="25">
        <v>17.16</v>
      </c>
      <c r="C58" s="25">
        <v>15.18</v>
      </c>
      <c r="D58" s="19">
        <v>5.6579999999999995</v>
      </c>
      <c r="E58" s="19">
        <v>236.01673819999999</v>
      </c>
      <c r="F58" s="26">
        <v>513.57730084661841</v>
      </c>
      <c r="G58" s="19"/>
      <c r="H58" s="27">
        <v>1115.0999999999999</v>
      </c>
      <c r="I58" s="18">
        <v>8902.8253557231092</v>
      </c>
      <c r="J58" s="10"/>
      <c r="K58" s="36">
        <f t="shared" si="13"/>
        <v>50.97</v>
      </c>
      <c r="L58" s="36">
        <f t="shared" si="14"/>
        <v>73.374999999999986</v>
      </c>
      <c r="M58" s="18">
        <f t="shared" si="15"/>
        <v>21.877575044143612</v>
      </c>
      <c r="N58" s="18">
        <f t="shared" si="3"/>
        <v>15.197274275979559</v>
      </c>
      <c r="O58" s="10"/>
      <c r="P58" s="4">
        <f t="shared" si="4"/>
        <v>611.64</v>
      </c>
      <c r="Q58" s="4">
        <f t="shared" si="5"/>
        <v>713.57999999999993</v>
      </c>
      <c r="R58" s="4">
        <f t="shared" si="6"/>
        <v>764.55</v>
      </c>
      <c r="S58" s="4">
        <f t="shared" si="7"/>
        <v>815.52</v>
      </c>
      <c r="T58" s="4">
        <f t="shared" si="8"/>
        <v>917.46</v>
      </c>
      <c r="U58" s="4">
        <f t="shared" si="9"/>
        <v>1070.3699999999999</v>
      </c>
      <c r="V58" s="4">
        <f t="shared" si="10"/>
        <v>1223.28</v>
      </c>
      <c r="W58" s="4">
        <f t="shared" si="11"/>
        <v>1376.19</v>
      </c>
      <c r="X58" s="10"/>
      <c r="Y58" s="4">
        <f>L58*12</f>
        <v>880.49999999999977</v>
      </c>
      <c r="Z58" s="4">
        <f>L58*14</f>
        <v>1027.2499999999998</v>
      </c>
      <c r="AA58" s="4">
        <f t="shared" si="12"/>
        <v>1100.6249999999998</v>
      </c>
      <c r="AB58" s="4">
        <f>L58*16</f>
        <v>1173.9999999999998</v>
      </c>
    </row>
    <row r="59" spans="1:28" s="5" customFormat="1" ht="12.75" x14ac:dyDescent="0.2">
      <c r="A59" s="3">
        <v>40086</v>
      </c>
      <c r="B59" s="28">
        <v>15.78</v>
      </c>
      <c r="C59" s="28">
        <v>14.76</v>
      </c>
      <c r="D59" s="19">
        <v>5.3449999999999998</v>
      </c>
      <c r="E59" s="19">
        <v>227.34055003206151</v>
      </c>
      <c r="F59" s="19">
        <v>498.42921196649672</v>
      </c>
      <c r="G59" s="19"/>
      <c r="H59" s="20">
        <v>1057.0786000000001</v>
      </c>
      <c r="I59" s="18">
        <v>8832.3742000000002</v>
      </c>
      <c r="J59" s="10"/>
      <c r="K59" s="36">
        <f t="shared" si="13"/>
        <v>12.54</v>
      </c>
      <c r="L59" s="36">
        <f t="shared" si="14"/>
        <v>36.441000000000003</v>
      </c>
      <c r="M59" s="18">
        <f t="shared" si="15"/>
        <v>84.296539074960137</v>
      </c>
      <c r="N59" s="18">
        <f t="shared" si="3"/>
        <v>29.007947092560578</v>
      </c>
      <c r="O59" s="10"/>
      <c r="P59" s="4">
        <f t="shared" si="4"/>
        <v>150.47999999999999</v>
      </c>
      <c r="Q59" s="4">
        <f t="shared" si="5"/>
        <v>175.56</v>
      </c>
      <c r="R59" s="4">
        <f t="shared" si="6"/>
        <v>188.1</v>
      </c>
      <c r="S59" s="4">
        <f t="shared" si="7"/>
        <v>200.64</v>
      </c>
      <c r="T59" s="4">
        <f t="shared" si="8"/>
        <v>225.71999999999997</v>
      </c>
      <c r="U59" s="4">
        <f t="shared" si="9"/>
        <v>263.33999999999997</v>
      </c>
      <c r="V59" s="4">
        <f t="shared" si="10"/>
        <v>300.95999999999998</v>
      </c>
      <c r="W59" s="4">
        <f t="shared" si="11"/>
        <v>338.58</v>
      </c>
      <c r="X59" s="10"/>
      <c r="Y59" s="4">
        <f>L59*12</f>
        <v>437.29200000000003</v>
      </c>
      <c r="Z59" s="4">
        <f>L59*14</f>
        <v>510.17400000000004</v>
      </c>
      <c r="AA59" s="4">
        <f t="shared" si="12"/>
        <v>546.61500000000001</v>
      </c>
      <c r="AB59" s="4">
        <f>L59*16</f>
        <v>583.05600000000004</v>
      </c>
    </row>
    <row r="60" spans="1:28" s="5" customFormat="1" ht="12.75" x14ac:dyDescent="0.2">
      <c r="A60" s="3">
        <v>39994</v>
      </c>
      <c r="B60" s="19">
        <v>13.81</v>
      </c>
      <c r="C60" s="19">
        <v>13.51</v>
      </c>
      <c r="D60" s="19">
        <v>5.4420000000000002</v>
      </c>
      <c r="E60" s="19">
        <v>223.24161849502852</v>
      </c>
      <c r="F60" s="19">
        <v>487.68598366842139</v>
      </c>
      <c r="G60" s="19"/>
      <c r="H60" s="20">
        <v>919.32</v>
      </c>
      <c r="I60" s="18">
        <v>8750.8333000000002</v>
      </c>
      <c r="J60" s="10"/>
      <c r="K60" s="36">
        <f t="shared" si="13"/>
        <v>7.5100000000000016</v>
      </c>
      <c r="L60" s="36">
        <f t="shared" si="14"/>
        <v>33.103999999999999</v>
      </c>
      <c r="M60" s="18">
        <f t="shared" si="15"/>
        <v>122.41278295605856</v>
      </c>
      <c r="N60" s="18">
        <f t="shared" si="3"/>
        <v>27.770662155630742</v>
      </c>
      <c r="O60" s="10"/>
      <c r="P60" s="4">
        <f t="shared" si="4"/>
        <v>90.120000000000019</v>
      </c>
      <c r="Q60" s="4">
        <f t="shared" si="5"/>
        <v>105.14000000000001</v>
      </c>
      <c r="R60" s="4">
        <f t="shared" si="6"/>
        <v>112.65000000000002</v>
      </c>
      <c r="S60" s="4">
        <f t="shared" si="7"/>
        <v>120.16000000000003</v>
      </c>
      <c r="T60" s="4">
        <f t="shared" si="8"/>
        <v>135.18000000000004</v>
      </c>
      <c r="U60" s="4">
        <f t="shared" si="9"/>
        <v>157.71000000000004</v>
      </c>
      <c r="V60" s="4">
        <f t="shared" si="10"/>
        <v>180.24000000000004</v>
      </c>
      <c r="W60" s="4">
        <f t="shared" si="11"/>
        <v>202.77000000000004</v>
      </c>
      <c r="X60" s="10"/>
      <c r="Y60" s="4">
        <f>L60*12</f>
        <v>397.24799999999999</v>
      </c>
      <c r="Z60" s="4">
        <f>L60*14</f>
        <v>463.45600000000002</v>
      </c>
      <c r="AA60" s="4">
        <f t="shared" si="12"/>
        <v>496.56</v>
      </c>
      <c r="AB60" s="4">
        <f>L60*16</f>
        <v>529.66399999999999</v>
      </c>
    </row>
    <row r="61" spans="1:28" s="5" customFormat="1" x14ac:dyDescent="0.25">
      <c r="A61" s="3">
        <v>39903</v>
      </c>
      <c r="B61" s="19">
        <v>10.11</v>
      </c>
      <c r="C61" s="19">
        <v>7.52</v>
      </c>
      <c r="D61" s="19">
        <v>5.96</v>
      </c>
      <c r="E61" s="23">
        <v>221.79686295628164</v>
      </c>
      <c r="F61" s="19">
        <v>449.42648592524574</v>
      </c>
      <c r="G61" s="19"/>
      <c r="H61" s="20">
        <v>797.86699999999996</v>
      </c>
      <c r="I61" s="18">
        <v>8682.6355000000003</v>
      </c>
      <c r="J61" s="10"/>
      <c r="K61" s="36">
        <f t="shared" si="13"/>
        <v>6.8599999999999994</v>
      </c>
      <c r="L61" s="36">
        <f t="shared" si="14"/>
        <v>34.115000000000002</v>
      </c>
      <c r="M61" s="18">
        <f t="shared" si="15"/>
        <v>116.30714285714286</v>
      </c>
      <c r="N61" s="18">
        <f t="shared" si="3"/>
        <v>23.387571449509011</v>
      </c>
      <c r="O61" s="10"/>
      <c r="P61" s="4">
        <f t="shared" si="4"/>
        <v>82.32</v>
      </c>
      <c r="Q61" s="4">
        <f t="shared" si="5"/>
        <v>96.039999999999992</v>
      </c>
      <c r="R61" s="4">
        <f t="shared" si="6"/>
        <v>102.89999999999999</v>
      </c>
      <c r="S61" s="4">
        <f t="shared" si="7"/>
        <v>109.75999999999999</v>
      </c>
      <c r="T61" s="4">
        <f t="shared" si="8"/>
        <v>123.47999999999999</v>
      </c>
      <c r="U61" s="4">
        <f t="shared" si="9"/>
        <v>144.06</v>
      </c>
      <c r="V61" s="4">
        <f t="shared" si="10"/>
        <v>164.64</v>
      </c>
      <c r="W61" s="4">
        <f t="shared" si="11"/>
        <v>185.21999999999997</v>
      </c>
      <c r="X61" s="10"/>
      <c r="Y61" s="4">
        <f>L61*12</f>
        <v>409.38</v>
      </c>
      <c r="Z61" s="4">
        <f>L61*14</f>
        <v>477.61</v>
      </c>
      <c r="AA61" s="4">
        <f t="shared" si="12"/>
        <v>511.72500000000002</v>
      </c>
      <c r="AB61" s="4">
        <f>L61*16</f>
        <v>545.84</v>
      </c>
    </row>
    <row r="62" spans="1:28" s="7" customFormat="1" x14ac:dyDescent="0.25">
      <c r="A62" s="3">
        <v>39813</v>
      </c>
      <c r="B62" s="25">
        <v>-0.09</v>
      </c>
      <c r="C62" s="29">
        <v>-23.25</v>
      </c>
      <c r="D62" s="23">
        <v>7.1540000000000008</v>
      </c>
      <c r="E62" s="23">
        <v>230.21</v>
      </c>
      <c r="F62" s="23">
        <v>451.37291648250073</v>
      </c>
      <c r="G62" s="23"/>
      <c r="H62" s="24">
        <v>903.25</v>
      </c>
      <c r="I62" s="18">
        <v>8692.8475999999991</v>
      </c>
      <c r="J62" s="10"/>
      <c r="K62" s="36">
        <f t="shared" si="13"/>
        <v>14.879999999999999</v>
      </c>
      <c r="L62" s="36">
        <f t="shared" si="14"/>
        <v>43.266999999999996</v>
      </c>
      <c r="M62" s="18">
        <f t="shared" si="15"/>
        <v>60.70228494623656</v>
      </c>
      <c r="N62" s="18">
        <f t="shared" si="3"/>
        <v>20.876187394550122</v>
      </c>
      <c r="O62" s="10"/>
      <c r="P62" s="4">
        <f t="shared" si="4"/>
        <v>178.56</v>
      </c>
      <c r="Q62" s="4">
        <f t="shared" si="5"/>
        <v>208.32</v>
      </c>
      <c r="R62" s="4">
        <f t="shared" si="6"/>
        <v>223.2</v>
      </c>
      <c r="S62" s="4">
        <f t="shared" si="7"/>
        <v>238.07999999999998</v>
      </c>
      <c r="T62" s="4">
        <f t="shared" si="8"/>
        <v>267.83999999999997</v>
      </c>
      <c r="U62" s="4">
        <f t="shared" si="9"/>
        <v>312.47999999999996</v>
      </c>
      <c r="V62" s="4">
        <f t="shared" si="10"/>
        <v>357.12</v>
      </c>
      <c r="W62" s="4">
        <f t="shared" si="11"/>
        <v>401.76</v>
      </c>
      <c r="X62" s="10"/>
      <c r="Y62" s="4">
        <f>L62*12</f>
        <v>519.20399999999995</v>
      </c>
      <c r="Z62" s="4">
        <f>L62*14</f>
        <v>605.73799999999994</v>
      </c>
      <c r="AA62" s="4">
        <f t="shared" si="12"/>
        <v>649.00499999999988</v>
      </c>
      <c r="AB62" s="4">
        <f>L62*16</f>
        <v>692.27199999999993</v>
      </c>
    </row>
    <row r="63" spans="1:28" s="7" customFormat="1" x14ac:dyDescent="0.25">
      <c r="A63" s="3">
        <v>39721</v>
      </c>
      <c r="B63" s="30">
        <v>15.96</v>
      </c>
      <c r="C63" s="30">
        <v>9.73</v>
      </c>
      <c r="D63" s="23">
        <v>7.0380000000000003</v>
      </c>
      <c r="E63" s="23">
        <v>268</v>
      </c>
      <c r="F63" s="23">
        <v>514.60126886877242</v>
      </c>
      <c r="G63" s="23"/>
      <c r="H63" s="24">
        <v>1166.361418</v>
      </c>
      <c r="I63" s="31">
        <v>8729.2458999999999</v>
      </c>
      <c r="J63" s="10"/>
      <c r="K63" s="36">
        <f t="shared" si="13"/>
        <v>45.949999999999996</v>
      </c>
      <c r="L63" s="36">
        <f t="shared" si="14"/>
        <v>74.803999999999988</v>
      </c>
      <c r="M63" s="18">
        <f t="shared" si="15"/>
        <v>25.383273514689883</v>
      </c>
      <c r="N63" s="18">
        <f t="shared" si="3"/>
        <v>15.592233276295387</v>
      </c>
      <c r="O63" s="10"/>
      <c r="P63" s="4">
        <f t="shared" si="4"/>
        <v>551.4</v>
      </c>
      <c r="Q63" s="4">
        <f t="shared" si="5"/>
        <v>643.29999999999995</v>
      </c>
      <c r="R63" s="4">
        <f t="shared" si="6"/>
        <v>689.24999999999989</v>
      </c>
      <c r="S63" s="4">
        <f t="shared" si="7"/>
        <v>735.19999999999993</v>
      </c>
      <c r="T63" s="4">
        <f t="shared" si="8"/>
        <v>827.09999999999991</v>
      </c>
      <c r="U63" s="4">
        <f t="shared" si="9"/>
        <v>964.94999999999993</v>
      </c>
      <c r="V63" s="4">
        <f t="shared" si="10"/>
        <v>1102.8</v>
      </c>
      <c r="W63" s="4">
        <f t="shared" si="11"/>
        <v>1240.6499999999999</v>
      </c>
      <c r="X63" s="10"/>
      <c r="Y63" s="4">
        <f>L63*12</f>
        <v>897.64799999999991</v>
      </c>
      <c r="Z63" s="4">
        <f>L63*14</f>
        <v>1047.2559999999999</v>
      </c>
      <c r="AA63" s="4">
        <f t="shared" si="12"/>
        <v>1122.0599999999997</v>
      </c>
      <c r="AB63" s="4">
        <f>L63*16</f>
        <v>1196.8639999999998</v>
      </c>
    </row>
    <row r="64" spans="1:28" s="7" customFormat="1" x14ac:dyDescent="0.25">
      <c r="A64" s="3">
        <v>39629</v>
      </c>
      <c r="B64" s="30">
        <v>17.02</v>
      </c>
      <c r="C64" s="30">
        <v>12.86</v>
      </c>
      <c r="D64" s="23">
        <v>7.1029999999999998</v>
      </c>
      <c r="E64" s="23">
        <v>278.52999999999997</v>
      </c>
      <c r="F64" s="23">
        <v>530.69654458236732</v>
      </c>
      <c r="G64" s="23"/>
      <c r="H64" s="24">
        <v>1280.001</v>
      </c>
      <c r="I64" s="31">
        <v>8720.7541000000001</v>
      </c>
      <c r="J64" s="10"/>
      <c r="K64" s="36">
        <f t="shared" si="13"/>
        <v>51.37</v>
      </c>
      <c r="L64" s="36">
        <f t="shared" si="14"/>
        <v>80.082000000000008</v>
      </c>
      <c r="M64" s="18">
        <f t="shared" si="15"/>
        <v>24.917286353903059</v>
      </c>
      <c r="N64" s="18">
        <f t="shared" si="3"/>
        <v>15.98362927998801</v>
      </c>
      <c r="O64" s="10"/>
      <c r="P64" s="4">
        <f t="shared" si="4"/>
        <v>616.43999999999994</v>
      </c>
      <c r="Q64" s="4">
        <f t="shared" si="5"/>
        <v>719.18</v>
      </c>
      <c r="R64" s="4">
        <f t="shared" si="6"/>
        <v>770.55</v>
      </c>
      <c r="S64" s="4">
        <f t="shared" si="7"/>
        <v>821.92</v>
      </c>
      <c r="T64" s="4">
        <f t="shared" si="8"/>
        <v>924.66</v>
      </c>
      <c r="U64" s="4">
        <f t="shared" si="9"/>
        <v>1078.77</v>
      </c>
      <c r="V64" s="4">
        <f t="shared" si="10"/>
        <v>1232.8799999999999</v>
      </c>
      <c r="W64" s="4">
        <f t="shared" si="11"/>
        <v>1386.99</v>
      </c>
      <c r="X64" s="10"/>
      <c r="Y64" s="4">
        <f>L64*12</f>
        <v>960.98400000000015</v>
      </c>
      <c r="Z64" s="4">
        <f>L64*14</f>
        <v>1121.1480000000001</v>
      </c>
      <c r="AA64" s="4">
        <f t="shared" si="12"/>
        <v>1201.23</v>
      </c>
      <c r="AB64" s="4">
        <f>L64*16</f>
        <v>1281.3120000000001</v>
      </c>
    </row>
    <row r="65" spans="1:28" s="7" customFormat="1" x14ac:dyDescent="0.25">
      <c r="A65" s="3">
        <v>39538</v>
      </c>
      <c r="B65" s="23">
        <v>16.62</v>
      </c>
      <c r="C65" s="29">
        <v>15.54</v>
      </c>
      <c r="D65" s="23">
        <v>7.0920000000000005</v>
      </c>
      <c r="E65" s="23">
        <v>265.72000000000003</v>
      </c>
      <c r="F65" s="23">
        <v>530.94319319221881</v>
      </c>
      <c r="G65" s="23"/>
      <c r="H65" s="24">
        <v>1322.703</v>
      </c>
      <c r="I65" s="31">
        <v>8702.3924999999999</v>
      </c>
      <c r="J65" s="10"/>
      <c r="K65" s="36">
        <f t="shared" si="13"/>
        <v>60.390744314722937</v>
      </c>
      <c r="L65" s="36">
        <f t="shared" si="14"/>
        <v>88.69274431472293</v>
      </c>
      <c r="M65" s="18">
        <f t="shared" si="15"/>
        <v>21.902412613211197</v>
      </c>
      <c r="N65" s="18">
        <f t="shared" si="3"/>
        <v>14.913316869601386</v>
      </c>
      <c r="O65" s="10"/>
      <c r="P65" s="4">
        <f t="shared" si="4"/>
        <v>724.68893177667519</v>
      </c>
      <c r="Q65" s="4">
        <f t="shared" si="5"/>
        <v>845.47042040612109</v>
      </c>
      <c r="R65" s="4">
        <f t="shared" si="6"/>
        <v>905.86116472084404</v>
      </c>
      <c r="S65" s="4">
        <f t="shared" si="7"/>
        <v>966.251909035567</v>
      </c>
      <c r="T65" s="4">
        <f t="shared" si="8"/>
        <v>1087.0333976650129</v>
      </c>
      <c r="U65" s="4">
        <f t="shared" si="9"/>
        <v>1268.2056306091818</v>
      </c>
      <c r="V65" s="4">
        <f t="shared" si="10"/>
        <v>1449.3778635533504</v>
      </c>
      <c r="W65" s="4">
        <f t="shared" si="11"/>
        <v>1630.5500964975192</v>
      </c>
      <c r="X65" s="10"/>
      <c r="Y65" s="4">
        <f>L65*12</f>
        <v>1064.3129317766752</v>
      </c>
      <c r="Z65" s="4">
        <f>L65*14</f>
        <v>1241.6984204061209</v>
      </c>
      <c r="AA65" s="4">
        <f t="shared" si="12"/>
        <v>1330.391164720844</v>
      </c>
      <c r="AB65" s="4">
        <f>L65*16</f>
        <v>1419.0839090355669</v>
      </c>
    </row>
    <row r="66" spans="1:28" s="7" customFormat="1" x14ac:dyDescent="0.25">
      <c r="A66" s="3">
        <v>39447</v>
      </c>
      <c r="B66" s="25">
        <v>15.22</v>
      </c>
      <c r="C66" s="23">
        <v>7.82</v>
      </c>
      <c r="D66" s="23">
        <v>7.6209999999999996</v>
      </c>
      <c r="E66" s="23">
        <v>268.16000000000003</v>
      </c>
      <c r="F66" s="23">
        <v>529.59494130262988</v>
      </c>
      <c r="G66" s="23"/>
      <c r="H66" s="24">
        <v>1468.3552</v>
      </c>
      <c r="I66" s="31">
        <v>8763.4436999999998</v>
      </c>
      <c r="J66" s="10"/>
      <c r="K66" s="36">
        <f t="shared" si="13"/>
        <v>66.180744314722929</v>
      </c>
      <c r="L66" s="36">
        <f t="shared" si="14"/>
        <v>93.912744314722943</v>
      </c>
      <c r="M66" s="18">
        <f t="shared" si="15"/>
        <v>22.187045721595815</v>
      </c>
      <c r="N66" s="18">
        <f t="shared" si="3"/>
        <v>15.635313510583911</v>
      </c>
      <c r="O66" s="10"/>
      <c r="P66" s="4">
        <f t="shared" si="4"/>
        <v>794.16893177667521</v>
      </c>
      <c r="Q66" s="4">
        <f t="shared" si="5"/>
        <v>926.53042040612104</v>
      </c>
      <c r="R66" s="4">
        <f t="shared" si="6"/>
        <v>992.71116472084395</v>
      </c>
      <c r="S66" s="4">
        <f t="shared" si="7"/>
        <v>1058.8919090355669</v>
      </c>
      <c r="T66" s="4">
        <f t="shared" si="8"/>
        <v>1191.2533976650127</v>
      </c>
      <c r="U66" s="4">
        <f t="shared" si="9"/>
        <v>1389.7956306091814</v>
      </c>
      <c r="V66" s="4">
        <f t="shared" si="10"/>
        <v>1588.3378635533504</v>
      </c>
      <c r="W66" s="4">
        <f t="shared" si="11"/>
        <v>1786.8800964975192</v>
      </c>
      <c r="X66" s="10"/>
      <c r="Y66" s="4">
        <f>L66*12</f>
        <v>1126.9529317766753</v>
      </c>
      <c r="Z66" s="4">
        <f>L66*14</f>
        <v>1314.7784204061213</v>
      </c>
      <c r="AA66" s="4">
        <f t="shared" si="12"/>
        <v>1408.6911647208442</v>
      </c>
      <c r="AB66" s="4">
        <f>L66*16</f>
        <v>1502.6039090355671</v>
      </c>
    </row>
    <row r="67" spans="1:28" s="7" customFormat="1" x14ac:dyDescent="0.25">
      <c r="A67" s="3">
        <v>39355</v>
      </c>
      <c r="B67" s="25">
        <v>20.87</v>
      </c>
      <c r="C67" s="23">
        <v>15.15</v>
      </c>
      <c r="D67" s="23">
        <v>6.8960000000000008</v>
      </c>
      <c r="E67" s="23">
        <v>258.81</v>
      </c>
      <c r="F67" s="23">
        <v>524.00041600880786</v>
      </c>
      <c r="G67" s="23"/>
      <c r="H67" s="24">
        <v>1526.7470000000001</v>
      </c>
      <c r="I67" s="31">
        <v>8822.4987000000001</v>
      </c>
      <c r="J67" s="10"/>
      <c r="K67" s="36">
        <f t="shared" si="13"/>
        <v>78.600744314722931</v>
      </c>
      <c r="L67" s="36">
        <f t="shared" si="14"/>
        <v>105.57874431472294</v>
      </c>
      <c r="M67" s="18">
        <f t="shared" si="15"/>
        <v>19.424078147234805</v>
      </c>
      <c r="N67" s="18">
        <f t="shared" ref="N67:N130" si="16">H67/L67</f>
        <v>14.460742168412922</v>
      </c>
      <c r="O67" s="10"/>
      <c r="P67" s="4">
        <f t="shared" ref="P67:P130" si="17">K67*12</f>
        <v>943.20893177667517</v>
      </c>
      <c r="Q67" s="4">
        <f t="shared" ref="Q67:Q130" si="18">K67*14</f>
        <v>1100.4104204061209</v>
      </c>
      <c r="R67" s="4">
        <f t="shared" ref="R67:R130" si="19">K67*15</f>
        <v>1179.0111647208439</v>
      </c>
      <c r="S67" s="4">
        <f t="shared" ref="S67:S130" si="20">K67*16</f>
        <v>1257.6119090355669</v>
      </c>
      <c r="T67" s="4">
        <f t="shared" ref="T67:T130" si="21">K67*18</f>
        <v>1414.8133976650129</v>
      </c>
      <c r="U67" s="4">
        <f t="shared" ref="U67:U130" si="22">K67*21</f>
        <v>1650.6156306091816</v>
      </c>
      <c r="V67" s="4">
        <f t="shared" ref="V67:V130" si="23">K67*24</f>
        <v>1886.4178635533503</v>
      </c>
      <c r="W67" s="4">
        <f t="shared" ref="W67:W130" si="24">K67*27</f>
        <v>2122.2200964975191</v>
      </c>
      <c r="X67" s="10"/>
      <c r="Y67" s="4">
        <f>L67*12</f>
        <v>1266.9449317766753</v>
      </c>
      <c r="Z67" s="4">
        <f>L67*14</f>
        <v>1478.1024204061212</v>
      </c>
      <c r="AA67" s="4">
        <f t="shared" ref="AA67:AA130" si="25">L67*15</f>
        <v>1583.6811647208442</v>
      </c>
      <c r="AB67" s="4">
        <f>L67*16</f>
        <v>1689.259909035567</v>
      </c>
    </row>
    <row r="68" spans="1:28" s="7" customFormat="1" x14ac:dyDescent="0.25">
      <c r="A68" s="3">
        <v>39263</v>
      </c>
      <c r="B68" s="23">
        <v>24.06</v>
      </c>
      <c r="C68" s="23">
        <v>21.880744314722936</v>
      </c>
      <c r="D68" s="23">
        <v>6.6930000000000005</v>
      </c>
      <c r="E68" s="23">
        <v>255.63</v>
      </c>
      <c r="F68" s="23">
        <v>516.91282982492737</v>
      </c>
      <c r="G68" s="23"/>
      <c r="H68" s="24">
        <v>1503.3486</v>
      </c>
      <c r="I68" s="31">
        <v>8879.9933999999994</v>
      </c>
      <c r="J68" s="10"/>
      <c r="K68" s="36">
        <f t="shared" si="13"/>
        <v>84.920744314722924</v>
      </c>
      <c r="L68" s="36">
        <f t="shared" si="14"/>
        <v>111.09074431472293</v>
      </c>
      <c r="M68" s="18">
        <f t="shared" si="15"/>
        <v>17.70296070920519</v>
      </c>
      <c r="N68" s="18">
        <f t="shared" si="16"/>
        <v>13.532617944668504</v>
      </c>
      <c r="O68" s="10"/>
      <c r="P68" s="4">
        <f t="shared" si="17"/>
        <v>1019.0489317766751</v>
      </c>
      <c r="Q68" s="4">
        <f t="shared" si="18"/>
        <v>1188.8904204061209</v>
      </c>
      <c r="R68" s="4">
        <f t="shared" si="19"/>
        <v>1273.8111647208439</v>
      </c>
      <c r="S68" s="4">
        <f t="shared" si="20"/>
        <v>1358.7319090355668</v>
      </c>
      <c r="T68" s="4">
        <f t="shared" si="21"/>
        <v>1528.5733976650126</v>
      </c>
      <c r="U68" s="4">
        <f t="shared" si="22"/>
        <v>1783.3356306091814</v>
      </c>
      <c r="V68" s="4">
        <f t="shared" si="23"/>
        <v>2038.0978635533502</v>
      </c>
      <c r="W68" s="4">
        <f t="shared" si="24"/>
        <v>2292.860096497519</v>
      </c>
      <c r="X68" s="10"/>
      <c r="Y68" s="4">
        <f>L68*12</f>
        <v>1333.0889317766751</v>
      </c>
      <c r="Z68" s="4">
        <f>L68*14</f>
        <v>1555.270420406121</v>
      </c>
      <c r="AA68" s="4">
        <f t="shared" si="25"/>
        <v>1666.3611647208438</v>
      </c>
      <c r="AB68" s="4">
        <f>L68*16</f>
        <v>1777.4519090355668</v>
      </c>
    </row>
    <row r="69" spans="1:28" s="7" customFormat="1" x14ac:dyDescent="0.25">
      <c r="A69" s="3">
        <v>39172</v>
      </c>
      <c r="B69" s="25">
        <v>22.39</v>
      </c>
      <c r="C69" s="23">
        <v>21.33</v>
      </c>
      <c r="D69" s="23">
        <v>6.5220000000000002</v>
      </c>
      <c r="E69" s="23">
        <v>242.48</v>
      </c>
      <c r="F69" s="23">
        <v>508.99357409777878</v>
      </c>
      <c r="G69" s="23"/>
      <c r="H69" s="24">
        <v>1420.864</v>
      </c>
      <c r="I69" s="31">
        <v>8942.6689999999999</v>
      </c>
      <c r="J69" s="10"/>
      <c r="K69" s="36">
        <f t="shared" si="13"/>
        <v>83.149999999999991</v>
      </c>
      <c r="L69" s="36">
        <f t="shared" si="14"/>
        <v>108.64399999999999</v>
      </c>
      <c r="M69" s="18">
        <f t="shared" si="15"/>
        <v>17.087961515333735</v>
      </c>
      <c r="N69" s="18">
        <f t="shared" si="16"/>
        <v>13.078163543315785</v>
      </c>
      <c r="O69" s="10"/>
      <c r="P69" s="4">
        <f t="shared" si="17"/>
        <v>997.8</v>
      </c>
      <c r="Q69" s="4">
        <f t="shared" si="18"/>
        <v>1164.0999999999999</v>
      </c>
      <c r="R69" s="4">
        <f t="shared" si="19"/>
        <v>1247.2499999999998</v>
      </c>
      <c r="S69" s="4">
        <f t="shared" si="20"/>
        <v>1330.3999999999999</v>
      </c>
      <c r="T69" s="4">
        <f t="shared" si="21"/>
        <v>1496.6999999999998</v>
      </c>
      <c r="U69" s="4">
        <f t="shared" si="22"/>
        <v>1746.1499999999999</v>
      </c>
      <c r="V69" s="4">
        <f t="shared" si="23"/>
        <v>1995.6</v>
      </c>
      <c r="W69" s="4">
        <f t="shared" si="24"/>
        <v>2245.0499999999997</v>
      </c>
      <c r="X69" s="10"/>
      <c r="Y69" s="4">
        <f>L69*12</f>
        <v>1303.7279999999998</v>
      </c>
      <c r="Z69" s="4">
        <f>L69*14</f>
        <v>1521.0159999999998</v>
      </c>
      <c r="AA69" s="4">
        <f t="shared" si="25"/>
        <v>1629.6599999999999</v>
      </c>
      <c r="AB69" s="4">
        <f>L69*16</f>
        <v>1738.3039999999999</v>
      </c>
    </row>
    <row r="70" spans="1:28" s="7" customFormat="1" x14ac:dyDescent="0.25">
      <c r="A70" s="3">
        <v>39082</v>
      </c>
      <c r="B70" s="25">
        <v>21.99</v>
      </c>
      <c r="C70" s="23">
        <v>20.239999999999998</v>
      </c>
      <c r="D70" s="23">
        <v>6.867</v>
      </c>
      <c r="E70" s="23">
        <v>248.2</v>
      </c>
      <c r="F70" s="23">
        <v>504.39474860000001</v>
      </c>
      <c r="G70" s="23"/>
      <c r="H70" s="24">
        <v>1418.3005000000001</v>
      </c>
      <c r="I70" s="31">
        <v>8974.7255000000005</v>
      </c>
      <c r="J70" s="10"/>
      <c r="K70" s="36">
        <f t="shared" si="13"/>
        <v>81.509999999999991</v>
      </c>
      <c r="L70" s="36">
        <f t="shared" si="14"/>
        <v>106.39400000000001</v>
      </c>
      <c r="M70" s="18">
        <f t="shared" si="15"/>
        <v>17.40032511348301</v>
      </c>
      <c r="N70" s="18">
        <f t="shared" si="16"/>
        <v>13.330643645318345</v>
      </c>
      <c r="O70" s="10"/>
      <c r="P70" s="4">
        <f t="shared" si="17"/>
        <v>978.11999999999989</v>
      </c>
      <c r="Q70" s="4">
        <f t="shared" si="18"/>
        <v>1141.1399999999999</v>
      </c>
      <c r="R70" s="4">
        <f t="shared" si="19"/>
        <v>1222.6499999999999</v>
      </c>
      <c r="S70" s="4">
        <f t="shared" si="20"/>
        <v>1304.1599999999999</v>
      </c>
      <c r="T70" s="4">
        <f t="shared" si="21"/>
        <v>1467.1799999999998</v>
      </c>
      <c r="U70" s="4">
        <f t="shared" si="22"/>
        <v>1711.7099999999998</v>
      </c>
      <c r="V70" s="4">
        <f t="shared" si="23"/>
        <v>1956.2399999999998</v>
      </c>
      <c r="W70" s="4">
        <f t="shared" si="24"/>
        <v>2200.7699999999995</v>
      </c>
      <c r="X70" s="10"/>
      <c r="Y70" s="4">
        <f>L70*12</f>
        <v>1276.7280000000001</v>
      </c>
      <c r="Z70" s="4">
        <f>L70*14</f>
        <v>1489.5160000000001</v>
      </c>
      <c r="AA70" s="4">
        <f t="shared" si="25"/>
        <v>1595.91</v>
      </c>
      <c r="AB70" s="4">
        <f>L70*16</f>
        <v>1702.3040000000001</v>
      </c>
    </row>
    <row r="71" spans="1:28" s="7" customFormat="1" x14ac:dyDescent="0.25">
      <c r="A71" s="3">
        <v>38990</v>
      </c>
      <c r="B71" s="23">
        <v>23.03</v>
      </c>
      <c r="C71" s="23">
        <v>21.47</v>
      </c>
      <c r="D71" s="23">
        <v>6.0879999999999992</v>
      </c>
      <c r="E71" s="23">
        <v>239.8</v>
      </c>
      <c r="F71" s="23">
        <v>491.9583404</v>
      </c>
      <c r="G71" s="23"/>
      <c r="H71" s="24">
        <v>1335.847</v>
      </c>
      <c r="I71" s="31">
        <v>8997.9269999999997</v>
      </c>
      <c r="J71" s="10"/>
      <c r="K71" s="36">
        <f t="shared" si="13"/>
        <v>78.569999999999993</v>
      </c>
      <c r="L71" s="36">
        <f t="shared" si="14"/>
        <v>102.666</v>
      </c>
      <c r="M71" s="18">
        <f t="shared" si="15"/>
        <v>17.001998218149421</v>
      </c>
      <c r="N71" s="18">
        <f t="shared" si="16"/>
        <v>13.011581244034053</v>
      </c>
      <c r="O71" s="10"/>
      <c r="P71" s="4">
        <f t="shared" si="17"/>
        <v>942.83999999999992</v>
      </c>
      <c r="Q71" s="4">
        <f t="shared" si="18"/>
        <v>1099.98</v>
      </c>
      <c r="R71" s="4">
        <f t="shared" si="19"/>
        <v>1178.55</v>
      </c>
      <c r="S71" s="4">
        <f t="shared" si="20"/>
        <v>1257.1199999999999</v>
      </c>
      <c r="T71" s="4">
        <f t="shared" si="21"/>
        <v>1414.2599999999998</v>
      </c>
      <c r="U71" s="4">
        <f t="shared" si="22"/>
        <v>1649.9699999999998</v>
      </c>
      <c r="V71" s="4">
        <f t="shared" si="23"/>
        <v>1885.6799999999998</v>
      </c>
      <c r="W71" s="4">
        <f t="shared" si="24"/>
        <v>2121.39</v>
      </c>
      <c r="X71" s="10"/>
      <c r="Y71" s="4">
        <f>L71*12</f>
        <v>1231.992</v>
      </c>
      <c r="Z71" s="4">
        <f>L71*14</f>
        <v>1437.3240000000001</v>
      </c>
      <c r="AA71" s="4">
        <f t="shared" si="25"/>
        <v>1539.99</v>
      </c>
      <c r="AB71" s="4">
        <f>L71*16</f>
        <v>1642.6559999999999</v>
      </c>
    </row>
    <row r="72" spans="1:28" s="7" customFormat="1" x14ac:dyDescent="0.25">
      <c r="A72" s="3">
        <v>38898</v>
      </c>
      <c r="B72" s="23">
        <v>21.95</v>
      </c>
      <c r="C72" s="23">
        <v>20.11</v>
      </c>
      <c r="D72" s="23">
        <v>6.0170000000000003</v>
      </c>
      <c r="E72" s="23">
        <v>234.71</v>
      </c>
      <c r="F72" s="32">
        <v>474.91132299999998</v>
      </c>
      <c r="G72" s="23"/>
      <c r="H72" s="33">
        <v>1270.2</v>
      </c>
      <c r="I72" s="31">
        <v>9051.2029000000002</v>
      </c>
      <c r="J72" s="10"/>
      <c r="K72" s="36">
        <f t="shared" ref="K72:K135" si="26">SUM(C72:C75)</f>
        <v>74.489999999999995</v>
      </c>
      <c r="L72" s="36">
        <f t="shared" ref="L72:L135" si="27">SUM(C72:D75)</f>
        <v>97.927000000000007</v>
      </c>
      <c r="M72" s="18">
        <f t="shared" ref="M72:M135" si="28">H72/K72</f>
        <v>17.051953282319776</v>
      </c>
      <c r="N72" s="18">
        <f t="shared" si="16"/>
        <v>12.970886476661185</v>
      </c>
      <c r="O72" s="10"/>
      <c r="P72" s="4">
        <f t="shared" si="17"/>
        <v>893.87999999999988</v>
      </c>
      <c r="Q72" s="4">
        <f t="shared" si="18"/>
        <v>1042.8599999999999</v>
      </c>
      <c r="R72" s="4">
        <f t="shared" si="19"/>
        <v>1117.3499999999999</v>
      </c>
      <c r="S72" s="4">
        <f t="shared" si="20"/>
        <v>1191.8399999999999</v>
      </c>
      <c r="T72" s="4">
        <f t="shared" si="21"/>
        <v>1340.82</v>
      </c>
      <c r="U72" s="4">
        <f t="shared" si="22"/>
        <v>1564.29</v>
      </c>
      <c r="V72" s="4">
        <f t="shared" si="23"/>
        <v>1787.7599999999998</v>
      </c>
      <c r="W72" s="4">
        <f t="shared" si="24"/>
        <v>2011.2299999999998</v>
      </c>
      <c r="X72" s="10"/>
      <c r="Y72" s="4">
        <f>L72*12</f>
        <v>1175.124</v>
      </c>
      <c r="Z72" s="4">
        <f>L72*14</f>
        <v>1370.9780000000001</v>
      </c>
      <c r="AA72" s="4">
        <f t="shared" si="25"/>
        <v>1468.9050000000002</v>
      </c>
      <c r="AB72" s="4">
        <f>L72*16</f>
        <v>1566.8320000000001</v>
      </c>
    </row>
    <row r="73" spans="1:28" s="7" customFormat="1" x14ac:dyDescent="0.25">
      <c r="A73" s="3">
        <v>38807</v>
      </c>
      <c r="B73" s="23">
        <v>20.75</v>
      </c>
      <c r="C73" s="23">
        <v>19.690000000000001</v>
      </c>
      <c r="D73" s="23">
        <v>5.9119999999999999</v>
      </c>
      <c r="E73" s="23">
        <v>229.8</v>
      </c>
      <c r="F73" s="23">
        <v>468.62847649999998</v>
      </c>
      <c r="G73" s="23"/>
      <c r="H73" s="24">
        <v>1294.83</v>
      </c>
      <c r="I73" s="31">
        <v>9004.8040999999994</v>
      </c>
      <c r="J73" s="10"/>
      <c r="K73" s="36">
        <f t="shared" si="26"/>
        <v>72.67</v>
      </c>
      <c r="L73" s="36">
        <f t="shared" si="27"/>
        <v>95.454000000000008</v>
      </c>
      <c r="M73" s="18">
        <f t="shared" si="28"/>
        <v>17.817944131003163</v>
      </c>
      <c r="N73" s="18">
        <f t="shared" si="16"/>
        <v>13.564963228361304</v>
      </c>
      <c r="O73" s="10"/>
      <c r="P73" s="4">
        <f t="shared" si="17"/>
        <v>872.04</v>
      </c>
      <c r="Q73" s="4">
        <f t="shared" si="18"/>
        <v>1017.38</v>
      </c>
      <c r="R73" s="4">
        <f t="shared" si="19"/>
        <v>1090.05</v>
      </c>
      <c r="S73" s="4">
        <f t="shared" si="20"/>
        <v>1162.72</v>
      </c>
      <c r="T73" s="4">
        <f t="shared" si="21"/>
        <v>1308.06</v>
      </c>
      <c r="U73" s="4">
        <f t="shared" si="22"/>
        <v>1526.07</v>
      </c>
      <c r="V73" s="4">
        <f t="shared" si="23"/>
        <v>1744.08</v>
      </c>
      <c r="W73" s="4">
        <f t="shared" si="24"/>
        <v>1962.0900000000001</v>
      </c>
      <c r="X73" s="10"/>
      <c r="Y73" s="4">
        <f>L73*12</f>
        <v>1145.4480000000001</v>
      </c>
      <c r="Z73" s="4">
        <f>L73*14</f>
        <v>1336.3560000000002</v>
      </c>
      <c r="AA73" s="4">
        <f t="shared" si="25"/>
        <v>1431.8100000000002</v>
      </c>
      <c r="AB73" s="4">
        <f>L73*16</f>
        <v>1527.2640000000001</v>
      </c>
    </row>
    <row r="74" spans="1:28" s="7" customFormat="1" x14ac:dyDescent="0.25">
      <c r="A74" s="3">
        <v>38717</v>
      </c>
      <c r="B74" s="23">
        <v>20.190000000000001</v>
      </c>
      <c r="C74" s="23">
        <v>17.3</v>
      </c>
      <c r="D74" s="23">
        <v>6.0790000000000006</v>
      </c>
      <c r="E74" s="23">
        <v>232.52</v>
      </c>
      <c r="F74" s="23">
        <v>453.06040000000002</v>
      </c>
      <c r="G74" s="23"/>
      <c r="H74" s="24">
        <v>1248.29</v>
      </c>
      <c r="I74" s="31">
        <v>9015.9647999999997</v>
      </c>
      <c r="J74" s="10"/>
      <c r="K74" s="36">
        <f t="shared" si="26"/>
        <v>69.83</v>
      </c>
      <c r="L74" s="36">
        <f t="shared" si="27"/>
        <v>92.045999999999992</v>
      </c>
      <c r="M74" s="18">
        <f t="shared" si="28"/>
        <v>17.876127738794214</v>
      </c>
      <c r="N74" s="18">
        <f t="shared" si="16"/>
        <v>13.561588770831976</v>
      </c>
      <c r="O74" s="10"/>
      <c r="P74" s="4">
        <f t="shared" si="17"/>
        <v>837.96</v>
      </c>
      <c r="Q74" s="4">
        <f t="shared" si="18"/>
        <v>977.62</v>
      </c>
      <c r="R74" s="4">
        <f t="shared" si="19"/>
        <v>1047.45</v>
      </c>
      <c r="S74" s="4">
        <f t="shared" si="20"/>
        <v>1117.28</v>
      </c>
      <c r="T74" s="4">
        <f t="shared" si="21"/>
        <v>1256.94</v>
      </c>
      <c r="U74" s="4">
        <f t="shared" si="22"/>
        <v>1466.43</v>
      </c>
      <c r="V74" s="4">
        <f t="shared" si="23"/>
        <v>1675.92</v>
      </c>
      <c r="W74" s="4">
        <f t="shared" si="24"/>
        <v>1885.4099999999999</v>
      </c>
      <c r="X74" s="10"/>
      <c r="Y74" s="4">
        <f>L74*12</f>
        <v>1104.5519999999999</v>
      </c>
      <c r="Z74" s="4">
        <f>L74*14</f>
        <v>1288.6439999999998</v>
      </c>
      <c r="AA74" s="4">
        <f t="shared" si="25"/>
        <v>1380.6899999999998</v>
      </c>
      <c r="AB74" s="4">
        <f>L74*16</f>
        <v>1472.7359999999999</v>
      </c>
    </row>
    <row r="75" spans="1:28" s="7" customFormat="1" x14ac:dyDescent="0.25">
      <c r="A75" s="3">
        <v>38625</v>
      </c>
      <c r="B75" s="23">
        <v>18.84</v>
      </c>
      <c r="C75" s="23">
        <v>17.39</v>
      </c>
      <c r="D75" s="23">
        <v>5.4290000000000003</v>
      </c>
      <c r="E75" s="23">
        <v>220.9</v>
      </c>
      <c r="F75" s="23">
        <v>441.76600000000002</v>
      </c>
      <c r="G75" s="23"/>
      <c r="H75" s="24">
        <v>1228.81</v>
      </c>
      <c r="I75" s="31">
        <v>9018.9580000000005</v>
      </c>
      <c r="J75" s="10"/>
      <c r="K75" s="36">
        <f t="shared" si="26"/>
        <v>66.47</v>
      </c>
      <c r="L75" s="36">
        <f t="shared" si="27"/>
        <v>87.941000000000003</v>
      </c>
      <c r="M75" s="18">
        <f t="shared" si="28"/>
        <v>18.486685722882502</v>
      </c>
      <c r="N75" s="18">
        <f t="shared" si="16"/>
        <v>13.9731183407057</v>
      </c>
      <c r="O75" s="10"/>
      <c r="P75" s="4">
        <f t="shared" si="17"/>
        <v>797.64</v>
      </c>
      <c r="Q75" s="4">
        <f t="shared" si="18"/>
        <v>930.57999999999993</v>
      </c>
      <c r="R75" s="4">
        <f t="shared" si="19"/>
        <v>997.05</v>
      </c>
      <c r="S75" s="4">
        <f t="shared" si="20"/>
        <v>1063.52</v>
      </c>
      <c r="T75" s="4">
        <f t="shared" si="21"/>
        <v>1196.46</v>
      </c>
      <c r="U75" s="4">
        <f t="shared" si="22"/>
        <v>1395.87</v>
      </c>
      <c r="V75" s="4">
        <f t="shared" si="23"/>
        <v>1595.28</v>
      </c>
      <c r="W75" s="4">
        <f t="shared" si="24"/>
        <v>1794.69</v>
      </c>
      <c r="X75" s="10"/>
      <c r="Y75" s="4">
        <f>L75*12</f>
        <v>1055.2919999999999</v>
      </c>
      <c r="Z75" s="4">
        <f>L75*14</f>
        <v>1231.174</v>
      </c>
      <c r="AA75" s="4">
        <f t="shared" si="25"/>
        <v>1319.115</v>
      </c>
      <c r="AB75" s="4">
        <f>L75*16</f>
        <v>1407.056</v>
      </c>
    </row>
    <row r="76" spans="1:28" s="7" customFormat="1" x14ac:dyDescent="0.25">
      <c r="A76" s="3">
        <v>38533</v>
      </c>
      <c r="B76" s="23">
        <v>19.420000000000002</v>
      </c>
      <c r="C76" s="23">
        <v>18.29</v>
      </c>
      <c r="D76" s="23">
        <v>5.3639999999999999</v>
      </c>
      <c r="E76" s="23">
        <v>214.8</v>
      </c>
      <c r="F76" s="23">
        <v>436.89609999999999</v>
      </c>
      <c r="G76" s="23"/>
      <c r="H76" s="24">
        <v>1191.33</v>
      </c>
      <c r="I76" s="31">
        <v>9141.0503000000008</v>
      </c>
      <c r="J76" s="10"/>
      <c r="K76" s="36">
        <f t="shared" si="26"/>
        <v>63.26</v>
      </c>
      <c r="L76" s="36">
        <f t="shared" si="27"/>
        <v>84.184999999999988</v>
      </c>
      <c r="M76" s="18">
        <f t="shared" si="28"/>
        <v>18.832279481504901</v>
      </c>
      <c r="N76" s="18">
        <f t="shared" si="16"/>
        <v>14.15133337292867</v>
      </c>
      <c r="O76" s="10"/>
      <c r="P76" s="4">
        <f t="shared" si="17"/>
        <v>759.12</v>
      </c>
      <c r="Q76" s="4">
        <f t="shared" si="18"/>
        <v>885.64</v>
      </c>
      <c r="R76" s="4">
        <f t="shared" si="19"/>
        <v>948.9</v>
      </c>
      <c r="S76" s="4">
        <f t="shared" si="20"/>
        <v>1012.16</v>
      </c>
      <c r="T76" s="4">
        <f t="shared" si="21"/>
        <v>1138.68</v>
      </c>
      <c r="U76" s="4">
        <f t="shared" si="22"/>
        <v>1328.46</v>
      </c>
      <c r="V76" s="4">
        <f t="shared" si="23"/>
        <v>1518.24</v>
      </c>
      <c r="W76" s="4">
        <f t="shared" si="24"/>
        <v>1708.02</v>
      </c>
      <c r="X76" s="10"/>
      <c r="Y76" s="4">
        <f>L76*12</f>
        <v>1010.2199999999998</v>
      </c>
      <c r="Z76" s="4">
        <f>L76*14</f>
        <v>1178.5899999999999</v>
      </c>
      <c r="AA76" s="4">
        <f t="shared" si="25"/>
        <v>1262.7749999999999</v>
      </c>
      <c r="AB76" s="4">
        <f>L76*16</f>
        <v>1346.9599999999998</v>
      </c>
    </row>
    <row r="77" spans="1:28" s="7" customFormat="1" x14ac:dyDescent="0.25">
      <c r="A77" s="3">
        <v>38442</v>
      </c>
      <c r="B77" s="23">
        <v>18</v>
      </c>
      <c r="C77" s="23">
        <v>16.850000000000001</v>
      </c>
      <c r="D77" s="23">
        <v>5.3440000000000003</v>
      </c>
      <c r="E77" s="23">
        <v>206.1</v>
      </c>
      <c r="F77" s="23">
        <v>426.7921</v>
      </c>
      <c r="G77" s="23"/>
      <c r="H77" s="24">
        <v>1180.5899999999999</v>
      </c>
      <c r="I77" s="31">
        <v>9164.7469000000001</v>
      </c>
      <c r="J77" s="10"/>
      <c r="K77" s="36">
        <f t="shared" si="26"/>
        <v>60.22</v>
      </c>
      <c r="L77" s="36">
        <f t="shared" si="27"/>
        <v>80.445000000000007</v>
      </c>
      <c r="M77" s="18">
        <f t="shared" si="28"/>
        <v>19.604616406509464</v>
      </c>
      <c r="N77" s="18">
        <f t="shared" si="16"/>
        <v>14.675741189632665</v>
      </c>
      <c r="O77" s="10"/>
      <c r="P77" s="4">
        <f t="shared" si="17"/>
        <v>722.64</v>
      </c>
      <c r="Q77" s="4">
        <f t="shared" si="18"/>
        <v>843.07999999999993</v>
      </c>
      <c r="R77" s="4">
        <f t="shared" si="19"/>
        <v>903.3</v>
      </c>
      <c r="S77" s="4">
        <f t="shared" si="20"/>
        <v>963.52</v>
      </c>
      <c r="T77" s="4">
        <f t="shared" si="21"/>
        <v>1083.96</v>
      </c>
      <c r="U77" s="4">
        <f t="shared" si="22"/>
        <v>1264.6199999999999</v>
      </c>
      <c r="V77" s="4">
        <f t="shared" si="23"/>
        <v>1445.28</v>
      </c>
      <c r="W77" s="4">
        <f t="shared" si="24"/>
        <v>1625.94</v>
      </c>
      <c r="X77" s="10"/>
      <c r="Y77" s="4">
        <f>L77*12</f>
        <v>965.34000000000015</v>
      </c>
      <c r="Z77" s="4">
        <f>L77*14</f>
        <v>1126.23</v>
      </c>
      <c r="AA77" s="4">
        <f t="shared" si="25"/>
        <v>1206.6750000000002</v>
      </c>
      <c r="AB77" s="4">
        <f>L77*16</f>
        <v>1287.1200000000001</v>
      </c>
    </row>
    <row r="78" spans="1:28" s="7" customFormat="1" x14ac:dyDescent="0.25">
      <c r="A78" s="3">
        <v>38352</v>
      </c>
      <c r="B78" s="23">
        <v>17.95</v>
      </c>
      <c r="C78" s="23">
        <v>13.94</v>
      </c>
      <c r="D78" s="23">
        <v>5.3339999999999996</v>
      </c>
      <c r="E78" s="23">
        <v>210.14</v>
      </c>
      <c r="F78" s="23">
        <v>414.74900000000002</v>
      </c>
      <c r="G78" s="23"/>
      <c r="H78" s="24">
        <v>1211.92</v>
      </c>
      <c r="I78" s="31">
        <v>9314.6450000000004</v>
      </c>
      <c r="J78" s="10"/>
      <c r="K78" s="36">
        <f t="shared" si="26"/>
        <v>58.55</v>
      </c>
      <c r="L78" s="36">
        <f t="shared" si="27"/>
        <v>77.992000000000019</v>
      </c>
      <c r="M78" s="18">
        <f t="shared" si="28"/>
        <v>20.698889837745519</v>
      </c>
      <c r="N78" s="18">
        <f t="shared" si="16"/>
        <v>15.539029644066055</v>
      </c>
      <c r="O78" s="10"/>
      <c r="P78" s="4">
        <f t="shared" si="17"/>
        <v>702.59999999999991</v>
      </c>
      <c r="Q78" s="4">
        <f t="shared" si="18"/>
        <v>819.69999999999993</v>
      </c>
      <c r="R78" s="4">
        <f t="shared" si="19"/>
        <v>878.25</v>
      </c>
      <c r="S78" s="4">
        <f t="shared" si="20"/>
        <v>936.8</v>
      </c>
      <c r="T78" s="4">
        <f t="shared" si="21"/>
        <v>1053.8999999999999</v>
      </c>
      <c r="U78" s="4">
        <f t="shared" si="22"/>
        <v>1229.55</v>
      </c>
      <c r="V78" s="4">
        <f t="shared" si="23"/>
        <v>1405.1999999999998</v>
      </c>
      <c r="W78" s="4">
        <f t="shared" si="24"/>
        <v>1580.85</v>
      </c>
      <c r="X78" s="10"/>
      <c r="Y78" s="4">
        <f>L78*12</f>
        <v>935.90400000000022</v>
      </c>
      <c r="Z78" s="4">
        <f>L78*14</f>
        <v>1091.8880000000004</v>
      </c>
      <c r="AA78" s="4">
        <f t="shared" si="25"/>
        <v>1169.8800000000003</v>
      </c>
      <c r="AB78" s="4">
        <f>L78*16</f>
        <v>1247.8720000000003</v>
      </c>
    </row>
    <row r="79" spans="1:28" s="7" customFormat="1" x14ac:dyDescent="0.25">
      <c r="A79" s="3">
        <v>38260</v>
      </c>
      <c r="B79" s="23">
        <v>16.88</v>
      </c>
      <c r="C79" s="23">
        <v>14.18</v>
      </c>
      <c r="D79" s="23">
        <v>4.8830000000000009</v>
      </c>
      <c r="E79" s="23">
        <v>197.06</v>
      </c>
      <c r="F79" s="23">
        <v>402.51560000000001</v>
      </c>
      <c r="G79" s="23"/>
      <c r="H79" s="24">
        <v>1114.58</v>
      </c>
      <c r="I79" s="31">
        <v>9328.8960999999999</v>
      </c>
      <c r="J79" s="10"/>
      <c r="K79" s="36">
        <f t="shared" si="26"/>
        <v>57.769999999999996</v>
      </c>
      <c r="L79" s="36">
        <f t="shared" si="27"/>
        <v>76.932999999999993</v>
      </c>
      <c r="M79" s="18">
        <f t="shared" si="28"/>
        <v>19.293404881426348</v>
      </c>
      <c r="N79" s="18">
        <f t="shared" si="16"/>
        <v>14.487671090429336</v>
      </c>
      <c r="O79" s="10"/>
      <c r="P79" s="4">
        <f t="shared" si="17"/>
        <v>693.24</v>
      </c>
      <c r="Q79" s="4">
        <f t="shared" si="18"/>
        <v>808.78</v>
      </c>
      <c r="R79" s="4">
        <f t="shared" si="19"/>
        <v>866.55</v>
      </c>
      <c r="S79" s="4">
        <f t="shared" si="20"/>
        <v>924.31999999999994</v>
      </c>
      <c r="T79" s="4">
        <f t="shared" si="21"/>
        <v>1039.8599999999999</v>
      </c>
      <c r="U79" s="4">
        <f t="shared" si="22"/>
        <v>1213.1699999999998</v>
      </c>
      <c r="V79" s="4">
        <f t="shared" si="23"/>
        <v>1386.48</v>
      </c>
      <c r="W79" s="4">
        <f t="shared" si="24"/>
        <v>1559.79</v>
      </c>
      <c r="X79" s="10"/>
      <c r="Y79" s="4">
        <f>L79*12</f>
        <v>923.19599999999991</v>
      </c>
      <c r="Z79" s="4">
        <f>L79*14</f>
        <v>1077.0619999999999</v>
      </c>
      <c r="AA79" s="4">
        <f t="shared" si="25"/>
        <v>1153.9949999999999</v>
      </c>
      <c r="AB79" s="4">
        <f>L79*16</f>
        <v>1230.9279999999999</v>
      </c>
    </row>
    <row r="80" spans="1:28" s="7" customFormat="1" x14ac:dyDescent="0.25">
      <c r="A80" s="3">
        <v>38168</v>
      </c>
      <c r="B80" s="23">
        <v>16.98</v>
      </c>
      <c r="C80" s="23">
        <v>15.25</v>
      </c>
      <c r="D80" s="23">
        <v>4.6639999999999997</v>
      </c>
      <c r="E80" s="23">
        <v>193.64</v>
      </c>
      <c r="F80" s="23">
        <v>386.22980000000001</v>
      </c>
      <c r="G80" s="23"/>
      <c r="H80" s="24">
        <v>1140.8399999999999</v>
      </c>
      <c r="I80" s="31">
        <v>9311.9321999999993</v>
      </c>
      <c r="J80" s="10"/>
      <c r="K80" s="36">
        <f t="shared" si="26"/>
        <v>56.150000000000006</v>
      </c>
      <c r="L80" s="36">
        <f t="shared" si="27"/>
        <v>74.751999999999995</v>
      </c>
      <c r="M80" s="18">
        <f t="shared" si="28"/>
        <v>20.317720391807654</v>
      </c>
      <c r="N80" s="18">
        <f t="shared" si="16"/>
        <v>15.261665239726026</v>
      </c>
      <c r="O80" s="10"/>
      <c r="P80" s="4">
        <f t="shared" si="17"/>
        <v>673.80000000000007</v>
      </c>
      <c r="Q80" s="4">
        <f t="shared" si="18"/>
        <v>786.10000000000014</v>
      </c>
      <c r="R80" s="4">
        <f t="shared" si="19"/>
        <v>842.25000000000011</v>
      </c>
      <c r="S80" s="4">
        <f t="shared" si="20"/>
        <v>898.40000000000009</v>
      </c>
      <c r="T80" s="4">
        <f t="shared" si="21"/>
        <v>1010.7</v>
      </c>
      <c r="U80" s="4">
        <f t="shared" si="22"/>
        <v>1179.1500000000001</v>
      </c>
      <c r="V80" s="4">
        <f t="shared" si="23"/>
        <v>1347.6000000000001</v>
      </c>
      <c r="W80" s="4">
        <f t="shared" si="24"/>
        <v>1516.0500000000002</v>
      </c>
      <c r="X80" s="10"/>
      <c r="Y80" s="4">
        <f>L80*12</f>
        <v>897.02399999999989</v>
      </c>
      <c r="Z80" s="4">
        <f>L80*14</f>
        <v>1046.528</v>
      </c>
      <c r="AA80" s="4">
        <f t="shared" si="25"/>
        <v>1121.28</v>
      </c>
      <c r="AB80" s="4">
        <f>L80*16</f>
        <v>1196.0319999999999</v>
      </c>
    </row>
    <row r="81" spans="1:28" s="7" customFormat="1" x14ac:dyDescent="0.25">
      <c r="A81" s="3">
        <v>38077</v>
      </c>
      <c r="B81" s="23">
        <v>15.87</v>
      </c>
      <c r="C81" s="23">
        <v>15.18</v>
      </c>
      <c r="D81" s="23">
        <v>4.5609999999999999</v>
      </c>
      <c r="E81" s="23">
        <v>187.33</v>
      </c>
      <c r="F81" s="23">
        <v>376.47480000000002</v>
      </c>
      <c r="G81" s="23"/>
      <c r="H81" s="24">
        <v>1126.21</v>
      </c>
      <c r="I81" s="31">
        <v>9288.9621999999999</v>
      </c>
      <c r="J81" s="10"/>
      <c r="K81" s="36">
        <f t="shared" si="26"/>
        <v>52</v>
      </c>
      <c r="L81" s="36">
        <f t="shared" si="27"/>
        <v>70.024000000000001</v>
      </c>
      <c r="M81" s="18">
        <f t="shared" si="28"/>
        <v>21.657884615384617</v>
      </c>
      <c r="N81" s="18">
        <f t="shared" si="16"/>
        <v>16.083200045698618</v>
      </c>
      <c r="O81" s="10"/>
      <c r="P81" s="4">
        <f t="shared" si="17"/>
        <v>624</v>
      </c>
      <c r="Q81" s="4">
        <f t="shared" si="18"/>
        <v>728</v>
      </c>
      <c r="R81" s="4">
        <f t="shared" si="19"/>
        <v>780</v>
      </c>
      <c r="S81" s="4">
        <f t="shared" si="20"/>
        <v>832</v>
      </c>
      <c r="T81" s="4">
        <f t="shared" si="21"/>
        <v>936</v>
      </c>
      <c r="U81" s="4">
        <f t="shared" si="22"/>
        <v>1092</v>
      </c>
      <c r="V81" s="4">
        <f t="shared" si="23"/>
        <v>1248</v>
      </c>
      <c r="W81" s="4">
        <f t="shared" si="24"/>
        <v>1404</v>
      </c>
      <c r="X81" s="10"/>
      <c r="Y81" s="4">
        <f>L81*12</f>
        <v>840.28800000000001</v>
      </c>
      <c r="Z81" s="4">
        <f>L81*14</f>
        <v>980.33600000000001</v>
      </c>
      <c r="AA81" s="4">
        <f t="shared" si="25"/>
        <v>1050.3600000000001</v>
      </c>
      <c r="AB81" s="4">
        <f>L81*16</f>
        <v>1120.384</v>
      </c>
    </row>
    <row r="82" spans="1:28" s="7" customFormat="1" x14ac:dyDescent="0.25">
      <c r="A82" s="3">
        <v>37986</v>
      </c>
      <c r="B82" s="23">
        <v>14.88</v>
      </c>
      <c r="C82" s="23">
        <v>13.16</v>
      </c>
      <c r="D82" s="23">
        <v>5.0549999999999997</v>
      </c>
      <c r="E82" s="23">
        <v>178.85</v>
      </c>
      <c r="F82" s="23">
        <v>367.1737</v>
      </c>
      <c r="G82" s="23"/>
      <c r="H82" s="24">
        <v>1111.92</v>
      </c>
      <c r="I82" s="31">
        <v>9250.5098999999991</v>
      </c>
      <c r="J82" s="10"/>
      <c r="K82" s="36">
        <f t="shared" si="26"/>
        <v>48.74</v>
      </c>
      <c r="L82" s="36">
        <f t="shared" si="27"/>
        <v>66.125</v>
      </c>
      <c r="M82" s="18">
        <f t="shared" si="28"/>
        <v>22.813295034878951</v>
      </c>
      <c r="N82" s="18">
        <f t="shared" si="16"/>
        <v>16.815425330812854</v>
      </c>
      <c r="O82" s="10"/>
      <c r="P82" s="4">
        <f t="shared" si="17"/>
        <v>584.88</v>
      </c>
      <c r="Q82" s="4">
        <f t="shared" si="18"/>
        <v>682.36</v>
      </c>
      <c r="R82" s="4">
        <f t="shared" si="19"/>
        <v>731.1</v>
      </c>
      <c r="S82" s="4">
        <f t="shared" si="20"/>
        <v>779.84</v>
      </c>
      <c r="T82" s="4">
        <f t="shared" si="21"/>
        <v>877.32</v>
      </c>
      <c r="U82" s="4">
        <f t="shared" si="22"/>
        <v>1023.5400000000001</v>
      </c>
      <c r="V82" s="4">
        <f t="shared" si="23"/>
        <v>1169.76</v>
      </c>
      <c r="W82" s="4">
        <f t="shared" si="24"/>
        <v>1315.98</v>
      </c>
      <c r="X82" s="10"/>
      <c r="Y82" s="4">
        <f>L82*12</f>
        <v>793.5</v>
      </c>
      <c r="Z82" s="4">
        <f>L82*14</f>
        <v>925.75</v>
      </c>
      <c r="AA82" s="4">
        <f t="shared" si="25"/>
        <v>991.875</v>
      </c>
      <c r="AB82" s="4">
        <f>L82*16</f>
        <v>1058</v>
      </c>
    </row>
    <row r="83" spans="1:28" s="7" customFormat="1" x14ac:dyDescent="0.25">
      <c r="A83" s="3">
        <v>37894</v>
      </c>
      <c r="B83" s="23">
        <v>14.41</v>
      </c>
      <c r="C83" s="23">
        <v>12.56</v>
      </c>
      <c r="D83" s="23">
        <v>4.3220000000000001</v>
      </c>
      <c r="E83" s="23">
        <v>179.6</v>
      </c>
      <c r="F83" s="23">
        <v>351.89240000000001</v>
      </c>
      <c r="G83" s="23"/>
      <c r="H83" s="24">
        <v>995.97</v>
      </c>
      <c r="I83" s="31">
        <v>9244.9465999999993</v>
      </c>
      <c r="J83" s="10"/>
      <c r="K83" s="36">
        <f t="shared" si="26"/>
        <v>38.58</v>
      </c>
      <c r="L83" s="36">
        <f t="shared" si="27"/>
        <v>55.165999999999997</v>
      </c>
      <c r="M83" s="18">
        <f t="shared" si="28"/>
        <v>25.815707620528773</v>
      </c>
      <c r="N83" s="18">
        <f t="shared" si="16"/>
        <v>18.054055033897694</v>
      </c>
      <c r="O83" s="10"/>
      <c r="P83" s="4">
        <f t="shared" si="17"/>
        <v>462.96</v>
      </c>
      <c r="Q83" s="4">
        <f t="shared" si="18"/>
        <v>540.12</v>
      </c>
      <c r="R83" s="4">
        <f t="shared" si="19"/>
        <v>578.69999999999993</v>
      </c>
      <c r="S83" s="4">
        <f t="shared" si="20"/>
        <v>617.28</v>
      </c>
      <c r="T83" s="4">
        <f t="shared" si="21"/>
        <v>694.43999999999994</v>
      </c>
      <c r="U83" s="4">
        <f t="shared" si="22"/>
        <v>810.18</v>
      </c>
      <c r="V83" s="4">
        <f t="shared" si="23"/>
        <v>925.92</v>
      </c>
      <c r="W83" s="4">
        <f t="shared" si="24"/>
        <v>1041.6599999999999</v>
      </c>
      <c r="X83" s="10"/>
      <c r="Y83" s="4">
        <f>L83*12</f>
        <v>661.99199999999996</v>
      </c>
      <c r="Z83" s="4">
        <f>L83*14</f>
        <v>772.32399999999996</v>
      </c>
      <c r="AA83" s="4">
        <f t="shared" si="25"/>
        <v>827.49</v>
      </c>
      <c r="AB83" s="4">
        <f>L83*16</f>
        <v>882.65599999999995</v>
      </c>
    </row>
    <row r="84" spans="1:28" s="7" customFormat="1" x14ac:dyDescent="0.25">
      <c r="A84" s="3">
        <v>37802</v>
      </c>
      <c r="B84" s="23">
        <v>12.92</v>
      </c>
      <c r="C84" s="23">
        <v>11.1</v>
      </c>
      <c r="D84" s="23">
        <v>4.0860000000000003</v>
      </c>
      <c r="E84" s="23">
        <v>181.15</v>
      </c>
      <c r="F84" s="23">
        <v>346.3186</v>
      </c>
      <c r="G84" s="23"/>
      <c r="H84" s="24">
        <v>974.5</v>
      </c>
      <c r="I84" s="31">
        <v>9236.5445</v>
      </c>
      <c r="J84" s="10"/>
      <c r="K84" s="36">
        <f t="shared" si="26"/>
        <v>34.549999999999997</v>
      </c>
      <c r="L84" s="36">
        <f t="shared" si="27"/>
        <v>50.715000000000003</v>
      </c>
      <c r="M84" s="18">
        <f t="shared" si="28"/>
        <v>28.205499276411</v>
      </c>
      <c r="N84" s="18">
        <f t="shared" si="16"/>
        <v>19.21522232081238</v>
      </c>
      <c r="O84" s="10"/>
      <c r="P84" s="4">
        <f t="shared" si="17"/>
        <v>414.59999999999997</v>
      </c>
      <c r="Q84" s="4">
        <f t="shared" si="18"/>
        <v>483.69999999999993</v>
      </c>
      <c r="R84" s="4">
        <f t="shared" si="19"/>
        <v>518.25</v>
      </c>
      <c r="S84" s="4">
        <f t="shared" si="20"/>
        <v>552.79999999999995</v>
      </c>
      <c r="T84" s="4">
        <f t="shared" si="21"/>
        <v>621.9</v>
      </c>
      <c r="U84" s="4">
        <f t="shared" si="22"/>
        <v>725.55</v>
      </c>
      <c r="V84" s="4">
        <f t="shared" si="23"/>
        <v>829.19999999999993</v>
      </c>
      <c r="W84" s="4">
        <f t="shared" si="24"/>
        <v>932.84999999999991</v>
      </c>
      <c r="X84" s="10"/>
      <c r="Y84" s="4">
        <f>L84*12</f>
        <v>608.58000000000004</v>
      </c>
      <c r="Z84" s="4">
        <f>L84*14</f>
        <v>710.01</v>
      </c>
      <c r="AA84" s="4">
        <f t="shared" si="25"/>
        <v>760.72500000000002</v>
      </c>
      <c r="AB84" s="4">
        <f>L84*16</f>
        <v>811.44</v>
      </c>
    </row>
    <row r="85" spans="1:28" x14ac:dyDescent="0.25">
      <c r="A85" s="3">
        <v>37711</v>
      </c>
      <c r="B85" s="23">
        <v>12.48</v>
      </c>
      <c r="C85" s="23">
        <v>11.92</v>
      </c>
      <c r="D85" s="23">
        <v>3.9220000000000002</v>
      </c>
      <c r="E85" s="23">
        <v>171.21</v>
      </c>
      <c r="F85" s="23">
        <v>328.72280000000001</v>
      </c>
      <c r="G85" s="23"/>
      <c r="H85" s="24">
        <v>848.18</v>
      </c>
      <c r="I85" s="31">
        <v>9227.6358</v>
      </c>
      <c r="J85" s="10"/>
      <c r="K85" s="36">
        <f t="shared" si="26"/>
        <v>30.32</v>
      </c>
      <c r="L85" s="36">
        <f t="shared" si="27"/>
        <v>46.543999999999997</v>
      </c>
      <c r="M85" s="18">
        <f t="shared" si="28"/>
        <v>27.974274406332452</v>
      </c>
      <c r="N85" s="18">
        <f t="shared" si="16"/>
        <v>18.22318666208319</v>
      </c>
      <c r="O85" s="10"/>
      <c r="P85" s="4">
        <f t="shared" si="17"/>
        <v>363.84000000000003</v>
      </c>
      <c r="Q85" s="4">
        <f t="shared" si="18"/>
        <v>424.48</v>
      </c>
      <c r="R85" s="4">
        <f t="shared" si="19"/>
        <v>454.8</v>
      </c>
      <c r="S85" s="4">
        <f t="shared" si="20"/>
        <v>485.12</v>
      </c>
      <c r="T85" s="4">
        <f t="shared" si="21"/>
        <v>545.76</v>
      </c>
      <c r="U85" s="4">
        <f t="shared" si="22"/>
        <v>636.72</v>
      </c>
      <c r="V85" s="4">
        <f t="shared" si="23"/>
        <v>727.68000000000006</v>
      </c>
      <c r="W85" s="4">
        <f t="shared" si="24"/>
        <v>818.64</v>
      </c>
      <c r="X85" s="10"/>
      <c r="Y85" s="4">
        <f>L85*12</f>
        <v>558.52800000000002</v>
      </c>
      <c r="Z85" s="4">
        <f>L85*14</f>
        <v>651.61599999999999</v>
      </c>
      <c r="AA85" s="4">
        <f t="shared" si="25"/>
        <v>698.16</v>
      </c>
      <c r="AB85" s="4">
        <f>L85*16</f>
        <v>744.70399999999995</v>
      </c>
    </row>
    <row r="86" spans="1:28" x14ac:dyDescent="0.25">
      <c r="A86" s="3">
        <v>37621</v>
      </c>
      <c r="B86" s="23">
        <v>11.94</v>
      </c>
      <c r="C86" s="23">
        <v>3</v>
      </c>
      <c r="D86" s="23">
        <v>4.2560000000000002</v>
      </c>
      <c r="E86" s="23">
        <v>165.94</v>
      </c>
      <c r="F86" s="23">
        <v>321.71940000000001</v>
      </c>
      <c r="G86" s="23"/>
      <c r="H86" s="24">
        <v>879.82</v>
      </c>
      <c r="I86" s="31">
        <v>9214.8461000000007</v>
      </c>
      <c r="J86" s="10"/>
      <c r="K86" s="36">
        <f t="shared" si="26"/>
        <v>27.589999999999996</v>
      </c>
      <c r="L86" s="36">
        <f t="shared" si="27"/>
        <v>43.663999999999994</v>
      </c>
      <c r="M86" s="18">
        <f t="shared" si="28"/>
        <v>31.889090250090618</v>
      </c>
      <c r="N86" s="18">
        <f t="shared" si="16"/>
        <v>20.149780139245149</v>
      </c>
      <c r="O86" s="10"/>
      <c r="P86" s="4">
        <f t="shared" si="17"/>
        <v>331.07999999999993</v>
      </c>
      <c r="Q86" s="4">
        <f t="shared" si="18"/>
        <v>386.25999999999993</v>
      </c>
      <c r="R86" s="4">
        <f t="shared" si="19"/>
        <v>413.84999999999997</v>
      </c>
      <c r="S86" s="4">
        <f t="shared" si="20"/>
        <v>441.43999999999994</v>
      </c>
      <c r="T86" s="4">
        <f t="shared" si="21"/>
        <v>496.61999999999995</v>
      </c>
      <c r="U86" s="4">
        <f t="shared" si="22"/>
        <v>579.38999999999987</v>
      </c>
      <c r="V86" s="4">
        <f t="shared" si="23"/>
        <v>662.15999999999985</v>
      </c>
      <c r="W86" s="4">
        <f t="shared" si="24"/>
        <v>744.93</v>
      </c>
      <c r="X86" s="10"/>
      <c r="Y86" s="4">
        <f>L86*12</f>
        <v>523.96799999999996</v>
      </c>
      <c r="Z86" s="4">
        <f>L86*14</f>
        <v>611.29599999999994</v>
      </c>
      <c r="AA86" s="4">
        <f t="shared" si="25"/>
        <v>654.95999999999992</v>
      </c>
      <c r="AB86" s="4">
        <f>L86*16</f>
        <v>698.62399999999991</v>
      </c>
    </row>
    <row r="87" spans="1:28" x14ac:dyDescent="0.25">
      <c r="A87" s="3">
        <v>37529</v>
      </c>
      <c r="B87" s="23">
        <v>11.61</v>
      </c>
      <c r="C87" s="23">
        <v>8.5299999999999994</v>
      </c>
      <c r="D87" s="23">
        <v>3.9009999999999998</v>
      </c>
      <c r="E87" s="23">
        <v>166.12</v>
      </c>
      <c r="F87" s="23">
        <v>334.91730000000001</v>
      </c>
      <c r="G87" s="23"/>
      <c r="H87" s="24">
        <v>815.28</v>
      </c>
      <c r="I87" s="31">
        <v>9221.83</v>
      </c>
      <c r="J87" s="10"/>
      <c r="K87" s="36">
        <f t="shared" si="26"/>
        <v>30.039999999999996</v>
      </c>
      <c r="L87" s="36">
        <f t="shared" si="27"/>
        <v>45.838999999999999</v>
      </c>
      <c r="M87" s="18">
        <f t="shared" si="28"/>
        <v>27.139813581890817</v>
      </c>
      <c r="N87" s="18">
        <f t="shared" si="16"/>
        <v>17.785728309954404</v>
      </c>
      <c r="O87" s="10"/>
      <c r="P87" s="4">
        <f t="shared" si="17"/>
        <v>360.47999999999996</v>
      </c>
      <c r="Q87" s="4">
        <f t="shared" si="18"/>
        <v>420.55999999999995</v>
      </c>
      <c r="R87" s="4">
        <f t="shared" si="19"/>
        <v>450.59999999999991</v>
      </c>
      <c r="S87" s="4">
        <f t="shared" si="20"/>
        <v>480.63999999999993</v>
      </c>
      <c r="T87" s="4">
        <f t="shared" si="21"/>
        <v>540.71999999999991</v>
      </c>
      <c r="U87" s="4">
        <f t="shared" si="22"/>
        <v>630.83999999999992</v>
      </c>
      <c r="V87" s="4">
        <f t="shared" si="23"/>
        <v>720.95999999999992</v>
      </c>
      <c r="W87" s="4">
        <f t="shared" si="24"/>
        <v>811.07999999999993</v>
      </c>
      <c r="X87" s="10"/>
      <c r="Y87" s="4">
        <f>L87*12</f>
        <v>550.06799999999998</v>
      </c>
      <c r="Z87" s="4">
        <f>L87*14</f>
        <v>641.74599999999998</v>
      </c>
      <c r="AA87" s="4">
        <f t="shared" si="25"/>
        <v>687.58500000000004</v>
      </c>
      <c r="AB87" s="4">
        <f>L87*16</f>
        <v>733.42399999999998</v>
      </c>
    </row>
    <row r="88" spans="1:28" x14ac:dyDescent="0.25">
      <c r="A88" s="3">
        <v>37437</v>
      </c>
      <c r="B88" s="23">
        <v>11.64</v>
      </c>
      <c r="C88" s="23">
        <v>6.87</v>
      </c>
      <c r="D88" s="23">
        <v>4.1449999999999996</v>
      </c>
      <c r="E88" s="23">
        <v>175.33</v>
      </c>
      <c r="F88" s="23">
        <v>329.5215</v>
      </c>
      <c r="G88" s="23"/>
      <c r="H88" s="24">
        <v>989.81</v>
      </c>
      <c r="I88" s="31">
        <v>9184.1200000000008</v>
      </c>
      <c r="J88" s="10"/>
      <c r="K88" s="36">
        <f t="shared" si="26"/>
        <v>26.74</v>
      </c>
      <c r="L88" s="36">
        <f t="shared" si="27"/>
        <v>42.778999999999989</v>
      </c>
      <c r="M88" s="18">
        <f t="shared" si="28"/>
        <v>37.016080777860886</v>
      </c>
      <c r="N88" s="18">
        <f t="shared" si="16"/>
        <v>23.137754505715424</v>
      </c>
      <c r="O88" s="10"/>
      <c r="P88" s="4">
        <f t="shared" si="17"/>
        <v>320.88</v>
      </c>
      <c r="Q88" s="4">
        <f t="shared" si="18"/>
        <v>374.35999999999996</v>
      </c>
      <c r="R88" s="4">
        <f t="shared" si="19"/>
        <v>401.09999999999997</v>
      </c>
      <c r="S88" s="4">
        <f t="shared" si="20"/>
        <v>427.84</v>
      </c>
      <c r="T88" s="4">
        <f t="shared" si="21"/>
        <v>481.32</v>
      </c>
      <c r="U88" s="4">
        <f t="shared" si="22"/>
        <v>561.54</v>
      </c>
      <c r="V88" s="4">
        <f t="shared" si="23"/>
        <v>641.76</v>
      </c>
      <c r="W88" s="4">
        <f t="shared" si="24"/>
        <v>721.9799999999999</v>
      </c>
      <c r="X88" s="10"/>
      <c r="Y88" s="4">
        <f>L88*12</f>
        <v>513.34799999999984</v>
      </c>
      <c r="Z88" s="4">
        <f>L88*14</f>
        <v>598.90599999999984</v>
      </c>
      <c r="AA88" s="4">
        <f t="shared" si="25"/>
        <v>641.68499999999983</v>
      </c>
      <c r="AB88" s="4">
        <f>L88*16</f>
        <v>684.46399999999983</v>
      </c>
    </row>
    <row r="89" spans="1:28" x14ac:dyDescent="0.25">
      <c r="A89" s="3">
        <v>37346</v>
      </c>
      <c r="B89" s="23">
        <v>10.85</v>
      </c>
      <c r="C89" s="23">
        <v>9.19</v>
      </c>
      <c r="D89" s="23">
        <v>3.7720000000000002</v>
      </c>
      <c r="E89" s="23">
        <v>167.2</v>
      </c>
      <c r="F89" s="23">
        <v>332.74009999999998</v>
      </c>
      <c r="G89" s="23"/>
      <c r="H89" s="24">
        <v>1147.3900000000001</v>
      </c>
      <c r="I89" s="31">
        <v>9152.85</v>
      </c>
      <c r="J89" s="10"/>
      <c r="K89" s="36">
        <f t="shared" si="26"/>
        <v>24.700000000000003</v>
      </c>
      <c r="L89" s="36">
        <f t="shared" si="27"/>
        <v>40.43</v>
      </c>
      <c r="M89" s="18">
        <f t="shared" si="28"/>
        <v>46.453036437246965</v>
      </c>
      <c r="N89" s="18">
        <f t="shared" si="16"/>
        <v>28.379668562948307</v>
      </c>
      <c r="O89" s="10"/>
      <c r="P89" s="4">
        <f t="shared" si="17"/>
        <v>296.40000000000003</v>
      </c>
      <c r="Q89" s="4">
        <f t="shared" si="18"/>
        <v>345.80000000000007</v>
      </c>
      <c r="R89" s="4">
        <f t="shared" si="19"/>
        <v>370.50000000000006</v>
      </c>
      <c r="S89" s="4">
        <f t="shared" si="20"/>
        <v>395.20000000000005</v>
      </c>
      <c r="T89" s="4">
        <f t="shared" si="21"/>
        <v>444.6</v>
      </c>
      <c r="U89" s="4">
        <f t="shared" si="22"/>
        <v>518.70000000000005</v>
      </c>
      <c r="V89" s="4">
        <f t="shared" si="23"/>
        <v>592.80000000000007</v>
      </c>
      <c r="W89" s="4">
        <f t="shared" si="24"/>
        <v>666.90000000000009</v>
      </c>
      <c r="X89" s="10"/>
      <c r="Y89" s="4">
        <f>L89*12</f>
        <v>485.15999999999997</v>
      </c>
      <c r="Z89" s="4">
        <f>L89*14</f>
        <v>566.02</v>
      </c>
      <c r="AA89" s="4">
        <f t="shared" si="25"/>
        <v>606.45000000000005</v>
      </c>
      <c r="AB89" s="4">
        <f>L89*16</f>
        <v>646.88</v>
      </c>
    </row>
    <row r="90" spans="1:28" x14ac:dyDescent="0.25">
      <c r="A90" s="3">
        <v>37256</v>
      </c>
      <c r="B90" s="23">
        <v>9.94</v>
      </c>
      <c r="C90" s="23">
        <v>5.45</v>
      </c>
      <c r="D90" s="23">
        <v>3.9809999999999999</v>
      </c>
      <c r="E90" s="23">
        <v>189.1</v>
      </c>
      <c r="F90" s="23">
        <v>338.37380000000002</v>
      </c>
      <c r="G90" s="23"/>
      <c r="H90" s="24">
        <v>1148.08</v>
      </c>
      <c r="I90" s="31">
        <v>9113.82</v>
      </c>
      <c r="J90" s="10"/>
      <c r="K90" s="36">
        <f t="shared" si="26"/>
        <v>24.689999999999998</v>
      </c>
      <c r="L90" s="36">
        <f t="shared" si="27"/>
        <v>40.429999999999993</v>
      </c>
      <c r="M90" s="18">
        <f t="shared" si="28"/>
        <v>46.499797488861887</v>
      </c>
      <c r="N90" s="18">
        <f t="shared" si="16"/>
        <v>28.396735097699732</v>
      </c>
      <c r="O90" s="10"/>
      <c r="P90" s="4">
        <f t="shared" si="17"/>
        <v>296.27999999999997</v>
      </c>
      <c r="Q90" s="4">
        <f t="shared" si="18"/>
        <v>345.65999999999997</v>
      </c>
      <c r="R90" s="4">
        <f t="shared" si="19"/>
        <v>370.34999999999997</v>
      </c>
      <c r="S90" s="4">
        <f t="shared" si="20"/>
        <v>395.03999999999996</v>
      </c>
      <c r="T90" s="4">
        <f t="shared" si="21"/>
        <v>444.41999999999996</v>
      </c>
      <c r="U90" s="4">
        <f t="shared" si="22"/>
        <v>518.49</v>
      </c>
      <c r="V90" s="4">
        <f t="shared" si="23"/>
        <v>592.55999999999995</v>
      </c>
      <c r="W90" s="4">
        <f t="shared" si="24"/>
        <v>666.62999999999988</v>
      </c>
      <c r="X90" s="10"/>
      <c r="Y90" s="4">
        <f>L90*12</f>
        <v>485.15999999999991</v>
      </c>
      <c r="Z90" s="4">
        <f>L90*14</f>
        <v>566.01999999999987</v>
      </c>
      <c r="AA90" s="4">
        <f t="shared" si="25"/>
        <v>606.44999999999993</v>
      </c>
      <c r="AB90" s="4">
        <f>L90*16</f>
        <v>646.87999999999988</v>
      </c>
    </row>
    <row r="91" spans="1:28" x14ac:dyDescent="0.25">
      <c r="A91" s="3">
        <v>37164</v>
      </c>
      <c r="B91" s="23">
        <v>9.16</v>
      </c>
      <c r="C91" s="23">
        <v>5.23</v>
      </c>
      <c r="D91" s="23">
        <v>4.141</v>
      </c>
      <c r="E91" s="23">
        <v>178.68</v>
      </c>
      <c r="F91" s="23">
        <v>339.3972</v>
      </c>
      <c r="G91" s="23"/>
      <c r="H91" s="24">
        <v>1040.94</v>
      </c>
      <c r="I91" s="31">
        <v>9065.58</v>
      </c>
      <c r="J91" s="10"/>
      <c r="K91" s="36">
        <f t="shared" si="26"/>
        <v>28.310000000000002</v>
      </c>
      <c r="L91" s="36">
        <f t="shared" si="27"/>
        <v>44.045999999999999</v>
      </c>
      <c r="M91" s="18">
        <f t="shared" si="28"/>
        <v>36.769339456022607</v>
      </c>
      <c r="N91" s="18">
        <f t="shared" si="16"/>
        <v>23.633020024519823</v>
      </c>
      <c r="O91" s="10"/>
      <c r="P91" s="4">
        <f t="shared" si="17"/>
        <v>339.72</v>
      </c>
      <c r="Q91" s="4">
        <f t="shared" si="18"/>
        <v>396.34000000000003</v>
      </c>
      <c r="R91" s="4">
        <f t="shared" si="19"/>
        <v>424.65000000000003</v>
      </c>
      <c r="S91" s="4">
        <f t="shared" si="20"/>
        <v>452.96000000000004</v>
      </c>
      <c r="T91" s="4">
        <f t="shared" si="21"/>
        <v>509.58000000000004</v>
      </c>
      <c r="U91" s="4">
        <f t="shared" si="22"/>
        <v>594.51</v>
      </c>
      <c r="V91" s="4">
        <f t="shared" si="23"/>
        <v>679.44</v>
      </c>
      <c r="W91" s="4">
        <f t="shared" si="24"/>
        <v>764.37000000000012</v>
      </c>
      <c r="X91" s="10"/>
      <c r="Y91" s="4">
        <f>L91*12</f>
        <v>528.55200000000002</v>
      </c>
      <c r="Z91" s="4">
        <f>L91*14</f>
        <v>616.64400000000001</v>
      </c>
      <c r="AA91" s="4">
        <f t="shared" si="25"/>
        <v>660.68999999999994</v>
      </c>
      <c r="AB91" s="4">
        <f>L91*16</f>
        <v>704.73599999999999</v>
      </c>
    </row>
    <row r="92" spans="1:28" x14ac:dyDescent="0.25">
      <c r="A92" s="3">
        <v>37072</v>
      </c>
      <c r="B92" s="23">
        <v>9.02</v>
      </c>
      <c r="C92" s="23">
        <v>4.83</v>
      </c>
      <c r="D92" s="23">
        <v>3.8359999999999999</v>
      </c>
      <c r="E92" s="23">
        <v>183.03</v>
      </c>
      <c r="F92" s="23">
        <v>345.87369999999999</v>
      </c>
      <c r="G92" s="23"/>
      <c r="H92" s="24">
        <v>1224.3800000000001</v>
      </c>
      <c r="I92" s="31">
        <v>9006.43</v>
      </c>
      <c r="J92" s="10"/>
      <c r="K92" s="36">
        <f t="shared" si="26"/>
        <v>36.79</v>
      </c>
      <c r="L92" s="36">
        <f t="shared" si="27"/>
        <v>52.475999999999999</v>
      </c>
      <c r="M92" s="18">
        <f t="shared" si="28"/>
        <v>33.280239195433545</v>
      </c>
      <c r="N92" s="18">
        <f t="shared" si="16"/>
        <v>23.332189953502557</v>
      </c>
      <c r="O92" s="10"/>
      <c r="P92" s="4">
        <f t="shared" si="17"/>
        <v>441.48</v>
      </c>
      <c r="Q92" s="4">
        <f t="shared" si="18"/>
        <v>515.05999999999995</v>
      </c>
      <c r="R92" s="4">
        <f t="shared" si="19"/>
        <v>551.85</v>
      </c>
      <c r="S92" s="4">
        <f t="shared" si="20"/>
        <v>588.64</v>
      </c>
      <c r="T92" s="4">
        <f t="shared" si="21"/>
        <v>662.22</v>
      </c>
      <c r="U92" s="4">
        <f t="shared" si="22"/>
        <v>772.59</v>
      </c>
      <c r="V92" s="4">
        <f t="shared" si="23"/>
        <v>882.96</v>
      </c>
      <c r="W92" s="4">
        <f t="shared" si="24"/>
        <v>993.32999999999993</v>
      </c>
      <c r="X92" s="10"/>
      <c r="Y92" s="4">
        <f>L92*12</f>
        <v>629.71199999999999</v>
      </c>
      <c r="Z92" s="4">
        <f>L92*14</f>
        <v>734.66399999999999</v>
      </c>
      <c r="AA92" s="4">
        <f t="shared" si="25"/>
        <v>787.14</v>
      </c>
      <c r="AB92" s="4">
        <f>L92*16</f>
        <v>839.61599999999999</v>
      </c>
    </row>
    <row r="93" spans="1:28" x14ac:dyDescent="0.25">
      <c r="A93" s="3">
        <v>36981</v>
      </c>
      <c r="B93" s="23">
        <v>10.73</v>
      </c>
      <c r="C93" s="23">
        <v>9.18</v>
      </c>
      <c r="D93" s="23">
        <v>3.782</v>
      </c>
      <c r="E93" s="23">
        <v>186.07</v>
      </c>
      <c r="F93" s="23">
        <v>347.25170000000003</v>
      </c>
      <c r="G93" s="23"/>
      <c r="H93" s="24">
        <v>1160.33</v>
      </c>
      <c r="I93" s="31">
        <v>8949.76</v>
      </c>
      <c r="J93" s="10"/>
      <c r="K93" s="36">
        <f t="shared" si="26"/>
        <v>45.44</v>
      </c>
      <c r="L93" s="36">
        <f t="shared" si="27"/>
        <v>61.413000000000004</v>
      </c>
      <c r="M93" s="18">
        <f t="shared" si="28"/>
        <v>25.535431338028168</v>
      </c>
      <c r="N93" s="18">
        <f t="shared" si="16"/>
        <v>18.893882402748602</v>
      </c>
      <c r="O93" s="10"/>
      <c r="P93" s="4">
        <f t="shared" si="17"/>
        <v>545.28</v>
      </c>
      <c r="Q93" s="4">
        <f t="shared" si="18"/>
        <v>636.16</v>
      </c>
      <c r="R93" s="4">
        <f t="shared" si="19"/>
        <v>681.59999999999991</v>
      </c>
      <c r="S93" s="4">
        <f t="shared" si="20"/>
        <v>727.04</v>
      </c>
      <c r="T93" s="4">
        <f t="shared" si="21"/>
        <v>817.92</v>
      </c>
      <c r="U93" s="4">
        <f t="shared" si="22"/>
        <v>954.24</v>
      </c>
      <c r="V93" s="4">
        <f t="shared" si="23"/>
        <v>1090.56</v>
      </c>
      <c r="W93" s="4">
        <f t="shared" si="24"/>
        <v>1226.8799999999999</v>
      </c>
      <c r="X93" s="10"/>
      <c r="Y93" s="4">
        <f>L93*12</f>
        <v>736.95600000000002</v>
      </c>
      <c r="Z93" s="4">
        <f>L93*14</f>
        <v>859.78200000000004</v>
      </c>
      <c r="AA93" s="4">
        <f t="shared" si="25"/>
        <v>921.19500000000005</v>
      </c>
      <c r="AB93" s="4">
        <f>L93*16</f>
        <v>982.60800000000006</v>
      </c>
    </row>
    <row r="94" spans="1:28" x14ac:dyDescent="0.25">
      <c r="A94" s="3">
        <v>36891</v>
      </c>
      <c r="B94" s="23">
        <v>13.11</v>
      </c>
      <c r="C94" s="23">
        <v>9.07</v>
      </c>
      <c r="D94" s="23">
        <v>3.9769999999999999</v>
      </c>
      <c r="E94" s="23">
        <v>191.03</v>
      </c>
      <c r="F94" s="23">
        <v>325.79849999999999</v>
      </c>
      <c r="G94" s="23"/>
      <c r="H94" s="24">
        <v>1320.28</v>
      </c>
      <c r="I94" s="31">
        <v>8872.7800000000007</v>
      </c>
      <c r="J94" s="10"/>
      <c r="K94" s="36">
        <f t="shared" si="26"/>
        <v>50.000000000000007</v>
      </c>
      <c r="L94" s="36">
        <f t="shared" si="27"/>
        <v>66.271000000000001</v>
      </c>
      <c r="M94" s="18">
        <f t="shared" si="28"/>
        <v>26.405599999999996</v>
      </c>
      <c r="N94" s="18">
        <f t="shared" si="16"/>
        <v>19.92243967949782</v>
      </c>
      <c r="O94" s="10"/>
      <c r="P94" s="4">
        <f t="shared" si="17"/>
        <v>600.00000000000011</v>
      </c>
      <c r="Q94" s="4">
        <f t="shared" si="18"/>
        <v>700.00000000000011</v>
      </c>
      <c r="R94" s="4">
        <f t="shared" si="19"/>
        <v>750.00000000000011</v>
      </c>
      <c r="S94" s="4">
        <f t="shared" si="20"/>
        <v>800.00000000000011</v>
      </c>
      <c r="T94" s="4">
        <f t="shared" si="21"/>
        <v>900.00000000000011</v>
      </c>
      <c r="U94" s="4">
        <f t="shared" si="22"/>
        <v>1050.0000000000002</v>
      </c>
      <c r="V94" s="4">
        <f t="shared" si="23"/>
        <v>1200.0000000000002</v>
      </c>
      <c r="W94" s="4">
        <f t="shared" si="24"/>
        <v>1350.0000000000002</v>
      </c>
      <c r="X94" s="10"/>
      <c r="Y94" s="4">
        <f>L94*12</f>
        <v>795.25199999999995</v>
      </c>
      <c r="Z94" s="4">
        <f>L94*14</f>
        <v>927.79399999999998</v>
      </c>
      <c r="AA94" s="4">
        <f t="shared" si="25"/>
        <v>994.06500000000005</v>
      </c>
      <c r="AB94" s="4">
        <f>L94*16</f>
        <v>1060.336</v>
      </c>
    </row>
    <row r="95" spans="1:28" x14ac:dyDescent="0.25">
      <c r="A95" s="3">
        <v>36799</v>
      </c>
      <c r="B95" s="23">
        <v>14.17</v>
      </c>
      <c r="C95" s="23">
        <v>13.71</v>
      </c>
      <c r="D95" s="23">
        <v>4.0909999999999993</v>
      </c>
      <c r="E95" s="23">
        <v>188.1</v>
      </c>
      <c r="F95" s="23">
        <v>319.59530000000001</v>
      </c>
      <c r="G95" s="23"/>
      <c r="H95" s="24">
        <v>1436.51</v>
      </c>
      <c r="I95" s="31">
        <v>8770.4</v>
      </c>
      <c r="J95" s="10"/>
      <c r="K95" s="36">
        <f t="shared" si="26"/>
        <v>53.7</v>
      </c>
      <c r="L95" s="36">
        <f t="shared" si="27"/>
        <v>70.046999999999997</v>
      </c>
      <c r="M95" s="18">
        <f t="shared" si="28"/>
        <v>26.750651769087522</v>
      </c>
      <c r="N95" s="18">
        <f t="shared" si="16"/>
        <v>20.507801904435595</v>
      </c>
      <c r="O95" s="10"/>
      <c r="P95" s="4">
        <f t="shared" si="17"/>
        <v>644.40000000000009</v>
      </c>
      <c r="Q95" s="4">
        <f t="shared" si="18"/>
        <v>751.80000000000007</v>
      </c>
      <c r="R95" s="4">
        <f t="shared" si="19"/>
        <v>805.5</v>
      </c>
      <c r="S95" s="4">
        <f t="shared" si="20"/>
        <v>859.2</v>
      </c>
      <c r="T95" s="4">
        <f t="shared" si="21"/>
        <v>966.6</v>
      </c>
      <c r="U95" s="4">
        <f t="shared" si="22"/>
        <v>1127.7</v>
      </c>
      <c r="V95" s="4">
        <f t="shared" si="23"/>
        <v>1288.8000000000002</v>
      </c>
      <c r="W95" s="4">
        <f t="shared" si="24"/>
        <v>1449.9</v>
      </c>
      <c r="X95" s="10"/>
      <c r="Y95" s="4">
        <f>L95*12</f>
        <v>840.56399999999996</v>
      </c>
      <c r="Z95" s="4">
        <f>L95*14</f>
        <v>980.6579999999999</v>
      </c>
      <c r="AA95" s="4">
        <f t="shared" si="25"/>
        <v>1050.7049999999999</v>
      </c>
      <c r="AB95" s="4">
        <f>L95*16</f>
        <v>1120.752</v>
      </c>
    </row>
    <row r="96" spans="1:28" x14ac:dyDescent="0.25">
      <c r="A96" s="3">
        <v>36707</v>
      </c>
      <c r="B96" s="23">
        <v>14.88</v>
      </c>
      <c r="C96" s="23">
        <v>13.48</v>
      </c>
      <c r="D96" s="23">
        <v>4.1230000000000002</v>
      </c>
      <c r="E96" s="23">
        <v>186.07</v>
      </c>
      <c r="F96" s="23">
        <v>312.93709999999999</v>
      </c>
      <c r="G96" s="23"/>
      <c r="H96" s="24">
        <v>1454.6</v>
      </c>
      <c r="I96" s="31">
        <v>8582.7099999999991</v>
      </c>
      <c r="J96" s="10"/>
      <c r="K96" s="36">
        <f t="shared" si="26"/>
        <v>51.919999999999995</v>
      </c>
      <c r="L96" s="36">
        <f t="shared" si="27"/>
        <v>68.623999999999995</v>
      </c>
      <c r="M96" s="18">
        <f t="shared" si="28"/>
        <v>28.01617873651772</v>
      </c>
      <c r="N96" s="18">
        <f t="shared" si="16"/>
        <v>21.196665889484727</v>
      </c>
      <c r="O96" s="10"/>
      <c r="P96" s="4">
        <f t="shared" si="17"/>
        <v>623.04</v>
      </c>
      <c r="Q96" s="4">
        <f t="shared" si="18"/>
        <v>726.87999999999988</v>
      </c>
      <c r="R96" s="4">
        <f t="shared" si="19"/>
        <v>778.8</v>
      </c>
      <c r="S96" s="4">
        <f t="shared" si="20"/>
        <v>830.71999999999991</v>
      </c>
      <c r="T96" s="4">
        <f t="shared" si="21"/>
        <v>934.56</v>
      </c>
      <c r="U96" s="4">
        <f t="shared" si="22"/>
        <v>1090.32</v>
      </c>
      <c r="V96" s="4">
        <f t="shared" si="23"/>
        <v>1246.08</v>
      </c>
      <c r="W96" s="4">
        <f t="shared" si="24"/>
        <v>1401.84</v>
      </c>
      <c r="X96" s="10"/>
      <c r="Y96" s="4">
        <f>L96*12</f>
        <v>823.48799999999994</v>
      </c>
      <c r="Z96" s="4">
        <f>L96*14</f>
        <v>960.73599999999988</v>
      </c>
      <c r="AA96" s="4">
        <f t="shared" si="25"/>
        <v>1029.3599999999999</v>
      </c>
      <c r="AB96" s="4">
        <f>L96*16</f>
        <v>1097.9839999999999</v>
      </c>
    </row>
    <row r="97" spans="1:28" x14ac:dyDescent="0.25">
      <c r="A97" s="3">
        <v>36616</v>
      </c>
      <c r="B97" s="23">
        <v>13.97</v>
      </c>
      <c r="C97" s="23">
        <v>13.74</v>
      </c>
      <c r="D97" s="23">
        <v>4.08</v>
      </c>
      <c r="E97" s="23">
        <v>180.5</v>
      </c>
      <c r="F97" s="23">
        <v>295.93579999999997</v>
      </c>
      <c r="G97" s="23"/>
      <c r="H97" s="24">
        <v>1498.58</v>
      </c>
      <c r="I97" s="31">
        <v>8465.4599999999991</v>
      </c>
      <c r="J97" s="10"/>
      <c r="K97" s="36">
        <f t="shared" si="26"/>
        <v>50.949999999999996</v>
      </c>
      <c r="L97" s="36">
        <f t="shared" si="27"/>
        <v>67.712000000000003</v>
      </c>
      <c r="M97" s="18">
        <f t="shared" si="28"/>
        <v>29.412757605495585</v>
      </c>
      <c r="N97" s="18">
        <f t="shared" si="16"/>
        <v>22.131675330812854</v>
      </c>
      <c r="O97" s="10"/>
      <c r="P97" s="4">
        <f t="shared" si="17"/>
        <v>611.4</v>
      </c>
      <c r="Q97" s="4">
        <f t="shared" si="18"/>
        <v>713.3</v>
      </c>
      <c r="R97" s="4">
        <f t="shared" si="19"/>
        <v>764.24999999999989</v>
      </c>
      <c r="S97" s="4">
        <f t="shared" si="20"/>
        <v>815.19999999999993</v>
      </c>
      <c r="T97" s="4">
        <f t="shared" si="21"/>
        <v>917.09999999999991</v>
      </c>
      <c r="U97" s="4">
        <f t="shared" si="22"/>
        <v>1069.9499999999998</v>
      </c>
      <c r="V97" s="4">
        <f t="shared" si="23"/>
        <v>1222.8</v>
      </c>
      <c r="W97" s="4">
        <f t="shared" si="24"/>
        <v>1375.6499999999999</v>
      </c>
      <c r="X97" s="10"/>
      <c r="Y97" s="4">
        <f>L97*12</f>
        <v>812.5440000000001</v>
      </c>
      <c r="Z97" s="4">
        <f>L97*14</f>
        <v>947.96800000000007</v>
      </c>
      <c r="AA97" s="4">
        <f t="shared" si="25"/>
        <v>1015.6800000000001</v>
      </c>
      <c r="AB97" s="4">
        <f>L97*16</f>
        <v>1083.3920000000001</v>
      </c>
    </row>
    <row r="98" spans="1:28" x14ac:dyDescent="0.25">
      <c r="A98" s="3">
        <v>36525</v>
      </c>
      <c r="B98" s="23">
        <v>13.77</v>
      </c>
      <c r="C98" s="23">
        <v>12.77</v>
      </c>
      <c r="D98" s="23">
        <v>4.0529999999999999</v>
      </c>
      <c r="E98" s="23"/>
      <c r="F98" s="23">
        <v>290.68329999999997</v>
      </c>
      <c r="G98" s="23"/>
      <c r="H98" s="24">
        <v>1469.25</v>
      </c>
      <c r="I98" s="31">
        <v>8381.82</v>
      </c>
      <c r="J98" s="10"/>
      <c r="K98" s="36">
        <f t="shared" si="26"/>
        <v>48.17</v>
      </c>
      <c r="L98" s="36">
        <f t="shared" si="27"/>
        <v>64.861999999999995</v>
      </c>
      <c r="M98" s="18">
        <f t="shared" si="28"/>
        <v>30.501349387585634</v>
      </c>
      <c r="N98" s="18">
        <f t="shared" si="16"/>
        <v>22.651937960593262</v>
      </c>
      <c r="O98" s="10"/>
      <c r="P98" s="4">
        <f t="shared" si="17"/>
        <v>578.04</v>
      </c>
      <c r="Q98" s="4">
        <f t="shared" si="18"/>
        <v>674.38</v>
      </c>
      <c r="R98" s="4">
        <f t="shared" si="19"/>
        <v>722.55000000000007</v>
      </c>
      <c r="S98" s="4">
        <f t="shared" si="20"/>
        <v>770.72</v>
      </c>
      <c r="T98" s="4">
        <f t="shared" si="21"/>
        <v>867.06000000000006</v>
      </c>
      <c r="U98" s="4">
        <f t="shared" si="22"/>
        <v>1011.57</v>
      </c>
      <c r="V98" s="4">
        <f t="shared" si="23"/>
        <v>1156.08</v>
      </c>
      <c r="W98" s="4">
        <f t="shared" si="24"/>
        <v>1300.5900000000001</v>
      </c>
      <c r="X98" s="10"/>
      <c r="Y98" s="4">
        <f>L98*12</f>
        <v>778.34399999999994</v>
      </c>
      <c r="Z98" s="4">
        <f>L98*14</f>
        <v>908.06799999999998</v>
      </c>
      <c r="AA98" s="4">
        <f t="shared" si="25"/>
        <v>972.93</v>
      </c>
      <c r="AB98" s="4">
        <f>L98*16</f>
        <v>1037.7919999999999</v>
      </c>
    </row>
    <row r="99" spans="1:28" x14ac:dyDescent="0.25">
      <c r="A99" s="3">
        <v>36433</v>
      </c>
      <c r="B99" s="23">
        <v>12.97</v>
      </c>
      <c r="C99" s="23">
        <v>11.93</v>
      </c>
      <c r="D99" s="23">
        <v>4.4480000000000004</v>
      </c>
      <c r="E99" s="23"/>
      <c r="F99" s="23"/>
      <c r="G99" s="23"/>
      <c r="H99" s="24">
        <v>1282.71</v>
      </c>
      <c r="I99" s="31">
        <v>8227.74</v>
      </c>
      <c r="J99" s="10"/>
      <c r="K99" s="36">
        <f t="shared" si="26"/>
        <v>43.96</v>
      </c>
      <c r="L99" s="36">
        <f t="shared" si="27"/>
        <v>60.600999999999999</v>
      </c>
      <c r="M99" s="18">
        <f t="shared" si="28"/>
        <v>29.179026387625115</v>
      </c>
      <c r="N99" s="18">
        <f t="shared" si="16"/>
        <v>21.166482401280508</v>
      </c>
      <c r="O99" s="10"/>
      <c r="P99" s="4">
        <f t="shared" si="17"/>
        <v>527.52</v>
      </c>
      <c r="Q99" s="4">
        <f t="shared" si="18"/>
        <v>615.44000000000005</v>
      </c>
      <c r="R99" s="4">
        <f t="shared" si="19"/>
        <v>659.4</v>
      </c>
      <c r="S99" s="4">
        <f t="shared" si="20"/>
        <v>703.36</v>
      </c>
      <c r="T99" s="4">
        <f t="shared" si="21"/>
        <v>791.28</v>
      </c>
      <c r="U99" s="4">
        <f t="shared" si="22"/>
        <v>923.16</v>
      </c>
      <c r="V99" s="4">
        <f t="shared" si="23"/>
        <v>1055.04</v>
      </c>
      <c r="W99" s="4">
        <f t="shared" si="24"/>
        <v>1186.92</v>
      </c>
      <c r="X99" s="10"/>
      <c r="Y99" s="4">
        <f>L99*12</f>
        <v>727.21199999999999</v>
      </c>
      <c r="Z99" s="4">
        <f>L99*14</f>
        <v>848.41399999999999</v>
      </c>
      <c r="AA99" s="4">
        <f t="shared" si="25"/>
        <v>909.01499999999999</v>
      </c>
      <c r="AB99" s="4">
        <f>L99*16</f>
        <v>969.61599999999999</v>
      </c>
    </row>
    <row r="100" spans="1:28" x14ac:dyDescent="0.25">
      <c r="A100" s="3">
        <v>36341</v>
      </c>
      <c r="B100" s="23">
        <v>13.21</v>
      </c>
      <c r="C100" s="23">
        <v>12.51</v>
      </c>
      <c r="D100" s="23">
        <v>4.181</v>
      </c>
      <c r="E100" s="23"/>
      <c r="F100" s="23"/>
      <c r="G100" s="23"/>
      <c r="H100" s="24">
        <v>1372.71</v>
      </c>
      <c r="I100" s="31">
        <v>8182</v>
      </c>
      <c r="J100" s="10"/>
      <c r="K100" s="36">
        <f t="shared" si="26"/>
        <v>41.02</v>
      </c>
      <c r="L100" s="36">
        <f t="shared" si="27"/>
        <v>57.468000000000011</v>
      </c>
      <c r="M100" s="18">
        <f t="shared" si="28"/>
        <v>33.464407606045832</v>
      </c>
      <c r="N100" s="18">
        <f t="shared" si="16"/>
        <v>23.886510753810814</v>
      </c>
      <c r="O100" s="10"/>
      <c r="P100" s="4">
        <f t="shared" si="17"/>
        <v>492.24</v>
      </c>
      <c r="Q100" s="4">
        <f t="shared" si="18"/>
        <v>574.28000000000009</v>
      </c>
      <c r="R100" s="4">
        <f t="shared" si="19"/>
        <v>615.30000000000007</v>
      </c>
      <c r="S100" s="4">
        <f t="shared" si="20"/>
        <v>656.32</v>
      </c>
      <c r="T100" s="4">
        <f t="shared" si="21"/>
        <v>738.36</v>
      </c>
      <c r="U100" s="4">
        <f t="shared" si="22"/>
        <v>861.42000000000007</v>
      </c>
      <c r="V100" s="4">
        <f t="shared" si="23"/>
        <v>984.48</v>
      </c>
      <c r="W100" s="4">
        <f t="shared" si="24"/>
        <v>1107.5400000000002</v>
      </c>
      <c r="X100" s="10"/>
      <c r="Y100" s="4">
        <f>L100*12</f>
        <v>689.6160000000001</v>
      </c>
      <c r="Z100" s="4">
        <f>L100*14</f>
        <v>804.55200000000013</v>
      </c>
      <c r="AA100" s="4">
        <f t="shared" si="25"/>
        <v>862.02000000000021</v>
      </c>
      <c r="AB100" s="4">
        <f>L100*16</f>
        <v>919.48800000000017</v>
      </c>
    </row>
    <row r="101" spans="1:28" x14ac:dyDescent="0.25">
      <c r="A101" s="3">
        <v>36250</v>
      </c>
      <c r="B101" s="23">
        <v>11.73</v>
      </c>
      <c r="C101" s="23">
        <v>10.96</v>
      </c>
      <c r="D101" s="23">
        <v>4.01</v>
      </c>
      <c r="E101" s="23"/>
      <c r="F101" s="23"/>
      <c r="G101" s="23"/>
      <c r="H101" s="24">
        <v>1286.3699999999999</v>
      </c>
      <c r="I101" s="31">
        <v>8172.68</v>
      </c>
      <c r="J101" s="10"/>
      <c r="K101" s="36">
        <f t="shared" si="26"/>
        <v>38.380000000000003</v>
      </c>
      <c r="L101" s="36">
        <f t="shared" si="27"/>
        <v>54.829000000000001</v>
      </c>
      <c r="M101" s="18">
        <f t="shared" si="28"/>
        <v>33.516675351745697</v>
      </c>
      <c r="N101" s="18">
        <f t="shared" si="16"/>
        <v>23.461489357821588</v>
      </c>
      <c r="O101" s="10"/>
      <c r="P101" s="4">
        <f t="shared" si="17"/>
        <v>460.56000000000006</v>
      </c>
      <c r="Q101" s="4">
        <f t="shared" si="18"/>
        <v>537.32000000000005</v>
      </c>
      <c r="R101" s="4">
        <f t="shared" si="19"/>
        <v>575.70000000000005</v>
      </c>
      <c r="S101" s="4">
        <f t="shared" si="20"/>
        <v>614.08000000000004</v>
      </c>
      <c r="T101" s="4">
        <f t="shared" si="21"/>
        <v>690.84</v>
      </c>
      <c r="U101" s="4">
        <f t="shared" si="22"/>
        <v>805.98</v>
      </c>
      <c r="V101" s="4">
        <f t="shared" si="23"/>
        <v>921.12000000000012</v>
      </c>
      <c r="W101" s="4">
        <f t="shared" si="24"/>
        <v>1036.26</v>
      </c>
      <c r="X101" s="10"/>
      <c r="Y101" s="4">
        <f>L101*12</f>
        <v>657.94799999999998</v>
      </c>
      <c r="Z101" s="4">
        <f>L101*14</f>
        <v>767.60599999999999</v>
      </c>
      <c r="AA101" s="4">
        <f t="shared" si="25"/>
        <v>822.43500000000006</v>
      </c>
      <c r="AB101" s="4">
        <f>L101*16</f>
        <v>877.26400000000001</v>
      </c>
    </row>
    <row r="102" spans="1:28" x14ac:dyDescent="0.25">
      <c r="A102" s="3">
        <v>36160</v>
      </c>
      <c r="B102" s="23">
        <v>11.47</v>
      </c>
      <c r="C102" s="23">
        <v>8.56</v>
      </c>
      <c r="D102" s="23">
        <v>4.0019999999999998</v>
      </c>
      <c r="E102" s="23"/>
      <c r="F102" s="23"/>
      <c r="G102" s="23"/>
      <c r="H102" s="24">
        <v>1229.23</v>
      </c>
      <c r="I102" s="31">
        <v>8088.29</v>
      </c>
      <c r="J102" s="10"/>
      <c r="K102" s="36">
        <f t="shared" si="26"/>
        <v>37.71</v>
      </c>
      <c r="L102" s="36">
        <f t="shared" si="27"/>
        <v>53.905000000000001</v>
      </c>
      <c r="M102" s="18">
        <f t="shared" si="28"/>
        <v>32.596923892866613</v>
      </c>
      <c r="N102" s="18">
        <f t="shared" si="16"/>
        <v>22.803636026342641</v>
      </c>
      <c r="O102" s="10"/>
      <c r="P102" s="4">
        <f t="shared" si="17"/>
        <v>452.52</v>
      </c>
      <c r="Q102" s="4">
        <f t="shared" si="18"/>
        <v>527.94000000000005</v>
      </c>
      <c r="R102" s="4">
        <f t="shared" si="19"/>
        <v>565.65</v>
      </c>
      <c r="S102" s="4">
        <f t="shared" si="20"/>
        <v>603.36</v>
      </c>
      <c r="T102" s="4">
        <f t="shared" si="21"/>
        <v>678.78</v>
      </c>
      <c r="U102" s="4">
        <f t="shared" si="22"/>
        <v>791.91</v>
      </c>
      <c r="V102" s="4">
        <f t="shared" si="23"/>
        <v>905.04</v>
      </c>
      <c r="W102" s="4">
        <f t="shared" si="24"/>
        <v>1018.1700000000001</v>
      </c>
      <c r="X102" s="10"/>
      <c r="Y102" s="4">
        <f>L102*12</f>
        <v>646.86</v>
      </c>
      <c r="Z102" s="4">
        <f>L102*14</f>
        <v>754.67000000000007</v>
      </c>
      <c r="AA102" s="4">
        <f t="shared" si="25"/>
        <v>808.57500000000005</v>
      </c>
      <c r="AB102" s="4">
        <f>L102*16</f>
        <v>862.48</v>
      </c>
    </row>
    <row r="103" spans="1:28" x14ac:dyDescent="0.25">
      <c r="A103" s="3">
        <v>36068</v>
      </c>
      <c r="B103" s="23">
        <v>10.45</v>
      </c>
      <c r="C103" s="23">
        <v>8.99</v>
      </c>
      <c r="D103" s="23">
        <v>4.2549999999999999</v>
      </c>
      <c r="E103" s="23"/>
      <c r="F103" s="23"/>
      <c r="G103" s="23"/>
      <c r="H103" s="24">
        <v>1017.01</v>
      </c>
      <c r="I103" s="31">
        <v>7989.24</v>
      </c>
      <c r="J103" s="10"/>
      <c r="K103" s="36">
        <f t="shared" si="26"/>
        <v>38.089999999999996</v>
      </c>
      <c r="L103" s="36">
        <f t="shared" si="27"/>
        <v>54.233000000000004</v>
      </c>
      <c r="M103" s="18">
        <f t="shared" si="28"/>
        <v>26.700183775269103</v>
      </c>
      <c r="N103" s="18">
        <f t="shared" si="16"/>
        <v>18.752604502793499</v>
      </c>
      <c r="O103" s="10"/>
      <c r="P103" s="4">
        <f t="shared" si="17"/>
        <v>457.07999999999993</v>
      </c>
      <c r="Q103" s="4">
        <f t="shared" si="18"/>
        <v>533.26</v>
      </c>
      <c r="R103" s="4">
        <f t="shared" si="19"/>
        <v>571.34999999999991</v>
      </c>
      <c r="S103" s="4">
        <f t="shared" si="20"/>
        <v>609.43999999999994</v>
      </c>
      <c r="T103" s="4">
        <f t="shared" si="21"/>
        <v>685.61999999999989</v>
      </c>
      <c r="U103" s="4">
        <f t="shared" si="22"/>
        <v>799.88999999999987</v>
      </c>
      <c r="V103" s="4">
        <f t="shared" si="23"/>
        <v>914.15999999999985</v>
      </c>
      <c r="W103" s="4">
        <f t="shared" si="24"/>
        <v>1028.4299999999998</v>
      </c>
      <c r="X103" s="10"/>
      <c r="Y103" s="4">
        <f>L103*12</f>
        <v>650.79600000000005</v>
      </c>
      <c r="Z103" s="4">
        <f>L103*14</f>
        <v>759.26200000000006</v>
      </c>
      <c r="AA103" s="4">
        <f t="shared" si="25"/>
        <v>813.49500000000012</v>
      </c>
      <c r="AB103" s="4">
        <f>L103*16</f>
        <v>867.72800000000007</v>
      </c>
    </row>
    <row r="104" spans="1:28" x14ac:dyDescent="0.25">
      <c r="A104" s="3">
        <v>35976</v>
      </c>
      <c r="B104" s="23">
        <v>11.43</v>
      </c>
      <c r="C104" s="23">
        <v>9.8699999999999992</v>
      </c>
      <c r="D104" s="23">
        <v>4.1819999999999995</v>
      </c>
      <c r="E104" s="23"/>
      <c r="F104" s="23"/>
      <c r="G104" s="23"/>
      <c r="H104" s="24">
        <v>1133.8399999999999</v>
      </c>
      <c r="I104" s="31">
        <v>7898.5</v>
      </c>
      <c r="J104" s="10"/>
      <c r="K104" s="36">
        <f t="shared" si="26"/>
        <v>38.969999999999992</v>
      </c>
      <c r="L104" s="36">
        <f t="shared" si="27"/>
        <v>54.919999999999995</v>
      </c>
      <c r="M104" s="18">
        <f t="shared" si="28"/>
        <v>29.095201437002828</v>
      </c>
      <c r="N104" s="18">
        <f t="shared" si="16"/>
        <v>20.64530225782957</v>
      </c>
      <c r="O104" s="10"/>
      <c r="P104" s="4">
        <f t="shared" si="17"/>
        <v>467.63999999999987</v>
      </c>
      <c r="Q104" s="4">
        <f t="shared" si="18"/>
        <v>545.57999999999993</v>
      </c>
      <c r="R104" s="4">
        <f t="shared" si="19"/>
        <v>584.54999999999984</v>
      </c>
      <c r="S104" s="4">
        <f t="shared" si="20"/>
        <v>623.51999999999987</v>
      </c>
      <c r="T104" s="4">
        <f t="shared" si="21"/>
        <v>701.45999999999981</v>
      </c>
      <c r="U104" s="4">
        <f t="shared" si="22"/>
        <v>818.36999999999978</v>
      </c>
      <c r="V104" s="4">
        <f t="shared" si="23"/>
        <v>935.27999999999975</v>
      </c>
      <c r="W104" s="4">
        <f t="shared" si="24"/>
        <v>1052.1899999999998</v>
      </c>
      <c r="X104" s="10"/>
      <c r="Y104" s="4">
        <f>L104*12</f>
        <v>659.04</v>
      </c>
      <c r="Z104" s="4">
        <f>L104*14</f>
        <v>768.87999999999988</v>
      </c>
      <c r="AA104" s="4">
        <f t="shared" si="25"/>
        <v>823.8</v>
      </c>
      <c r="AB104" s="4">
        <f>L104*16</f>
        <v>878.71999999999991</v>
      </c>
    </row>
    <row r="105" spans="1:28" x14ac:dyDescent="0.25">
      <c r="A105" s="3">
        <v>35885</v>
      </c>
      <c r="B105" s="23">
        <v>10.92</v>
      </c>
      <c r="C105" s="23">
        <v>10.29</v>
      </c>
      <c r="D105" s="23">
        <v>3.7560000000000002</v>
      </c>
      <c r="E105" s="23"/>
      <c r="F105" s="23"/>
      <c r="G105" s="23"/>
      <c r="H105" s="24">
        <v>1101.75</v>
      </c>
      <c r="I105" s="31">
        <v>7829.71</v>
      </c>
      <c r="J105" s="10"/>
      <c r="K105" s="36">
        <f t="shared" si="26"/>
        <v>39.539999999999992</v>
      </c>
      <c r="L105" s="36">
        <f t="shared" si="27"/>
        <v>55.18099999999999</v>
      </c>
      <c r="M105" s="18">
        <f t="shared" si="28"/>
        <v>27.86418816388468</v>
      </c>
      <c r="N105" s="18">
        <f t="shared" si="16"/>
        <v>19.966111523894096</v>
      </c>
      <c r="O105" s="10"/>
      <c r="P105" s="4">
        <f t="shared" si="17"/>
        <v>474.4799999999999</v>
      </c>
      <c r="Q105" s="4">
        <f t="shared" si="18"/>
        <v>553.55999999999995</v>
      </c>
      <c r="R105" s="4">
        <f t="shared" si="19"/>
        <v>593.09999999999991</v>
      </c>
      <c r="S105" s="4">
        <f t="shared" si="20"/>
        <v>632.63999999999987</v>
      </c>
      <c r="T105" s="4">
        <f t="shared" si="21"/>
        <v>711.7199999999998</v>
      </c>
      <c r="U105" s="4">
        <f t="shared" si="22"/>
        <v>830.3399999999998</v>
      </c>
      <c r="V105" s="4">
        <f t="shared" si="23"/>
        <v>948.95999999999981</v>
      </c>
      <c r="W105" s="4">
        <f t="shared" si="24"/>
        <v>1067.5799999999997</v>
      </c>
      <c r="X105" s="10"/>
      <c r="Y105" s="4">
        <f>L105*12</f>
        <v>662.17199999999991</v>
      </c>
      <c r="Z105" s="4">
        <f>L105*14</f>
        <v>772.53399999999988</v>
      </c>
      <c r="AA105" s="4">
        <f t="shared" si="25"/>
        <v>827.7149999999998</v>
      </c>
      <c r="AB105" s="4">
        <f>L105*16</f>
        <v>882.89599999999984</v>
      </c>
    </row>
    <row r="106" spans="1:28" x14ac:dyDescent="0.25">
      <c r="A106" s="3">
        <v>35795</v>
      </c>
      <c r="B106" s="23">
        <v>11.29</v>
      </c>
      <c r="C106" s="23">
        <v>8.94</v>
      </c>
      <c r="D106" s="23">
        <v>3.95</v>
      </c>
      <c r="E106" s="23"/>
      <c r="F106" s="23"/>
      <c r="G106" s="23"/>
      <c r="H106" s="24">
        <v>970.43</v>
      </c>
      <c r="I106" s="31">
        <v>7784.88</v>
      </c>
      <c r="J106" s="10"/>
      <c r="K106" s="36">
        <f t="shared" si="26"/>
        <v>39.72</v>
      </c>
      <c r="L106" s="36">
        <f t="shared" si="27"/>
        <v>55.216999999999999</v>
      </c>
      <c r="M106" s="18">
        <f t="shared" si="28"/>
        <v>24.431772406847934</v>
      </c>
      <c r="N106" s="18">
        <f t="shared" si="16"/>
        <v>17.574841081550971</v>
      </c>
      <c r="O106" s="10"/>
      <c r="P106" s="4">
        <f t="shared" si="17"/>
        <v>476.64</v>
      </c>
      <c r="Q106" s="4">
        <f t="shared" si="18"/>
        <v>556.07999999999993</v>
      </c>
      <c r="R106" s="4">
        <f t="shared" si="19"/>
        <v>595.79999999999995</v>
      </c>
      <c r="S106" s="4">
        <f t="shared" si="20"/>
        <v>635.52</v>
      </c>
      <c r="T106" s="4">
        <f t="shared" si="21"/>
        <v>714.96</v>
      </c>
      <c r="U106" s="4">
        <f t="shared" si="22"/>
        <v>834.12</v>
      </c>
      <c r="V106" s="4">
        <f t="shared" si="23"/>
        <v>953.28</v>
      </c>
      <c r="W106" s="4">
        <f t="shared" si="24"/>
        <v>1072.44</v>
      </c>
      <c r="X106" s="10"/>
      <c r="Y106" s="4">
        <f>L106*12</f>
        <v>662.60400000000004</v>
      </c>
      <c r="Z106" s="4">
        <f>L106*14</f>
        <v>773.03800000000001</v>
      </c>
      <c r="AA106" s="4">
        <f t="shared" si="25"/>
        <v>828.255</v>
      </c>
      <c r="AB106" s="4">
        <f>L106*16</f>
        <v>883.47199999999998</v>
      </c>
    </row>
    <row r="107" spans="1:28" x14ac:dyDescent="0.25">
      <c r="A107" s="3">
        <v>35703</v>
      </c>
      <c r="B107" s="23">
        <v>11.03</v>
      </c>
      <c r="C107" s="23">
        <v>9.8699999999999992</v>
      </c>
      <c r="D107" s="23">
        <v>4.0620000000000003</v>
      </c>
      <c r="E107" s="23"/>
      <c r="F107" s="23"/>
      <c r="G107" s="23"/>
      <c r="H107" s="24">
        <v>947.28</v>
      </c>
      <c r="I107" s="31">
        <v>7741.54</v>
      </c>
      <c r="J107" s="10"/>
      <c r="K107" s="36">
        <f t="shared" si="26"/>
        <v>40.64</v>
      </c>
      <c r="L107" s="36">
        <f t="shared" si="27"/>
        <v>55.973000000000006</v>
      </c>
      <c r="M107" s="18">
        <f t="shared" si="28"/>
        <v>23.309055118110233</v>
      </c>
      <c r="N107" s="18">
        <f t="shared" si="16"/>
        <v>16.923874010683718</v>
      </c>
      <c r="O107" s="10"/>
      <c r="P107" s="4">
        <f t="shared" si="17"/>
        <v>487.68</v>
      </c>
      <c r="Q107" s="4">
        <f t="shared" si="18"/>
        <v>568.96</v>
      </c>
      <c r="R107" s="4">
        <f t="shared" si="19"/>
        <v>609.6</v>
      </c>
      <c r="S107" s="4">
        <f t="shared" si="20"/>
        <v>650.24</v>
      </c>
      <c r="T107" s="4">
        <f t="shared" si="21"/>
        <v>731.52</v>
      </c>
      <c r="U107" s="4">
        <f t="shared" si="22"/>
        <v>853.44</v>
      </c>
      <c r="V107" s="4">
        <f t="shared" si="23"/>
        <v>975.36</v>
      </c>
      <c r="W107" s="4">
        <f t="shared" si="24"/>
        <v>1097.28</v>
      </c>
      <c r="X107" s="10"/>
      <c r="Y107" s="4">
        <f>L107*12</f>
        <v>671.67600000000004</v>
      </c>
      <c r="Z107" s="4">
        <f>L107*14</f>
        <v>783.62200000000007</v>
      </c>
      <c r="AA107" s="4">
        <f t="shared" si="25"/>
        <v>839.59500000000014</v>
      </c>
      <c r="AB107" s="4">
        <f>L107*16</f>
        <v>895.5680000000001</v>
      </c>
    </row>
    <row r="108" spans="1:28" x14ac:dyDescent="0.25">
      <c r="A108" s="3">
        <v>35611</v>
      </c>
      <c r="B108" s="23">
        <v>11.13</v>
      </c>
      <c r="C108" s="23">
        <v>10.44</v>
      </c>
      <c r="D108" s="23">
        <v>3.8730000000000002</v>
      </c>
      <c r="E108" s="23"/>
      <c r="F108" s="23"/>
      <c r="G108" s="23"/>
      <c r="H108" s="24">
        <v>885.14</v>
      </c>
      <c r="I108" s="31">
        <v>7673.57</v>
      </c>
      <c r="J108" s="10"/>
      <c r="K108" s="36">
        <f t="shared" si="26"/>
        <v>40.549999999999997</v>
      </c>
      <c r="L108" s="36">
        <f t="shared" si="27"/>
        <v>55.711000000000006</v>
      </c>
      <c r="M108" s="18">
        <f t="shared" si="28"/>
        <v>21.828360049321827</v>
      </c>
      <c r="N108" s="18">
        <f t="shared" si="16"/>
        <v>15.888065193588337</v>
      </c>
      <c r="O108" s="10"/>
      <c r="P108" s="4">
        <f t="shared" si="17"/>
        <v>486.59999999999997</v>
      </c>
      <c r="Q108" s="4">
        <f t="shared" si="18"/>
        <v>567.69999999999993</v>
      </c>
      <c r="R108" s="4">
        <f t="shared" si="19"/>
        <v>608.25</v>
      </c>
      <c r="S108" s="4">
        <f t="shared" si="20"/>
        <v>648.79999999999995</v>
      </c>
      <c r="T108" s="4">
        <f t="shared" si="21"/>
        <v>729.9</v>
      </c>
      <c r="U108" s="4">
        <f t="shared" si="22"/>
        <v>851.55</v>
      </c>
      <c r="V108" s="4">
        <f t="shared" si="23"/>
        <v>973.19999999999993</v>
      </c>
      <c r="W108" s="4">
        <f t="shared" si="24"/>
        <v>1094.8499999999999</v>
      </c>
      <c r="X108" s="10"/>
      <c r="Y108" s="4">
        <f>L108*12</f>
        <v>668.53200000000004</v>
      </c>
      <c r="Z108" s="4">
        <f>L108*14</f>
        <v>779.95400000000006</v>
      </c>
      <c r="AA108" s="4">
        <f t="shared" si="25"/>
        <v>835.66500000000008</v>
      </c>
      <c r="AB108" s="4">
        <f>L108*16</f>
        <v>891.37600000000009</v>
      </c>
    </row>
    <row r="109" spans="1:28" x14ac:dyDescent="0.25">
      <c r="A109" s="3">
        <v>35520</v>
      </c>
      <c r="B109" s="23">
        <v>10.56</v>
      </c>
      <c r="C109" s="23">
        <v>10.47</v>
      </c>
      <c r="D109" s="23">
        <v>3.6120000000000001</v>
      </c>
      <c r="E109" s="23"/>
      <c r="F109" s="23"/>
      <c r="G109" s="23"/>
      <c r="H109" s="24">
        <v>757.12</v>
      </c>
      <c r="I109" s="31">
        <v>7655.79</v>
      </c>
      <c r="J109" s="10"/>
      <c r="K109" s="36">
        <f t="shared" si="26"/>
        <v>40.24</v>
      </c>
      <c r="L109" s="36">
        <f t="shared" si="27"/>
        <v>55.299000000000007</v>
      </c>
      <c r="M109" s="18">
        <f t="shared" si="28"/>
        <v>18.815109343936381</v>
      </c>
      <c r="N109" s="18">
        <f t="shared" si="16"/>
        <v>13.691386824354868</v>
      </c>
      <c r="O109" s="10"/>
      <c r="P109" s="4">
        <f t="shared" si="17"/>
        <v>482.88</v>
      </c>
      <c r="Q109" s="4">
        <f t="shared" si="18"/>
        <v>563.36</v>
      </c>
      <c r="R109" s="4">
        <f t="shared" si="19"/>
        <v>603.6</v>
      </c>
      <c r="S109" s="4">
        <f t="shared" si="20"/>
        <v>643.84</v>
      </c>
      <c r="T109" s="4">
        <f t="shared" si="21"/>
        <v>724.32</v>
      </c>
      <c r="U109" s="4">
        <f t="shared" si="22"/>
        <v>845.04000000000008</v>
      </c>
      <c r="V109" s="4">
        <f t="shared" si="23"/>
        <v>965.76</v>
      </c>
      <c r="W109" s="4">
        <f t="shared" si="24"/>
        <v>1086.48</v>
      </c>
      <c r="X109" s="10"/>
      <c r="Y109" s="4">
        <f>L109*12</f>
        <v>663.58800000000008</v>
      </c>
      <c r="Z109" s="4">
        <f>L109*14</f>
        <v>774.18600000000015</v>
      </c>
      <c r="AA109" s="4">
        <f t="shared" si="25"/>
        <v>829.48500000000013</v>
      </c>
      <c r="AB109" s="4">
        <f>L109*16</f>
        <v>884.78400000000011</v>
      </c>
    </row>
    <row r="110" spans="1:28" x14ac:dyDescent="0.25">
      <c r="A110" s="3">
        <v>35430</v>
      </c>
      <c r="B110" s="23">
        <v>11.01</v>
      </c>
      <c r="C110" s="23">
        <v>9.86</v>
      </c>
      <c r="D110" s="23">
        <v>3.7859999999999996</v>
      </c>
      <c r="E110" s="23"/>
      <c r="F110" s="23"/>
      <c r="G110" s="23"/>
      <c r="H110" s="24">
        <v>740.74</v>
      </c>
      <c r="I110" s="31">
        <v>7594.79</v>
      </c>
      <c r="J110" s="10"/>
      <c r="K110" s="36">
        <f t="shared" si="26"/>
        <v>38.730000000000004</v>
      </c>
      <c r="L110" s="36">
        <f t="shared" si="27"/>
        <v>53.628999999999998</v>
      </c>
      <c r="M110" s="18">
        <f t="shared" si="28"/>
        <v>19.125742318616059</v>
      </c>
      <c r="N110" s="18">
        <f t="shared" si="16"/>
        <v>13.812303044994314</v>
      </c>
      <c r="O110" s="10"/>
      <c r="P110" s="4">
        <f t="shared" si="17"/>
        <v>464.76000000000005</v>
      </c>
      <c r="Q110" s="4">
        <f t="shared" si="18"/>
        <v>542.22</v>
      </c>
      <c r="R110" s="4">
        <f t="shared" si="19"/>
        <v>580.95000000000005</v>
      </c>
      <c r="S110" s="4">
        <f t="shared" si="20"/>
        <v>619.68000000000006</v>
      </c>
      <c r="T110" s="4">
        <f t="shared" si="21"/>
        <v>697.1400000000001</v>
      </c>
      <c r="U110" s="4">
        <f t="shared" si="22"/>
        <v>813.33</v>
      </c>
      <c r="V110" s="4">
        <f t="shared" si="23"/>
        <v>929.5200000000001</v>
      </c>
      <c r="W110" s="4">
        <f t="shared" si="24"/>
        <v>1045.71</v>
      </c>
      <c r="X110" s="10"/>
      <c r="Y110" s="4">
        <f>L110*12</f>
        <v>643.548</v>
      </c>
      <c r="Z110" s="4">
        <f>L110*14</f>
        <v>750.80599999999993</v>
      </c>
      <c r="AA110" s="4">
        <f t="shared" si="25"/>
        <v>804.43499999999995</v>
      </c>
      <c r="AB110" s="4">
        <f>L110*16</f>
        <v>858.06399999999996</v>
      </c>
    </row>
    <row r="111" spans="1:28" x14ac:dyDescent="0.25">
      <c r="A111" s="3">
        <v>35338</v>
      </c>
      <c r="B111" s="23">
        <v>9.92</v>
      </c>
      <c r="C111" s="23">
        <v>9.7799999999999994</v>
      </c>
      <c r="D111" s="23">
        <v>3.89</v>
      </c>
      <c r="E111" s="23"/>
      <c r="F111" s="23"/>
      <c r="G111" s="23"/>
      <c r="H111" s="24">
        <v>687.33</v>
      </c>
      <c r="I111" s="31">
        <v>7573.12</v>
      </c>
      <c r="J111" s="10"/>
      <c r="K111" s="36">
        <f t="shared" si="26"/>
        <v>36</v>
      </c>
      <c r="L111" s="36">
        <f t="shared" si="27"/>
        <v>50.664000000000009</v>
      </c>
      <c r="M111" s="18">
        <f t="shared" si="28"/>
        <v>19.092500000000001</v>
      </c>
      <c r="N111" s="18">
        <f t="shared" si="16"/>
        <v>13.566437707247749</v>
      </c>
      <c r="O111" s="10"/>
      <c r="P111" s="4">
        <f t="shared" si="17"/>
        <v>432</v>
      </c>
      <c r="Q111" s="4">
        <f t="shared" si="18"/>
        <v>504</v>
      </c>
      <c r="R111" s="4">
        <f t="shared" si="19"/>
        <v>540</v>
      </c>
      <c r="S111" s="4">
        <f t="shared" si="20"/>
        <v>576</v>
      </c>
      <c r="T111" s="4">
        <f t="shared" si="21"/>
        <v>648</v>
      </c>
      <c r="U111" s="4">
        <f t="shared" si="22"/>
        <v>756</v>
      </c>
      <c r="V111" s="4">
        <f t="shared" si="23"/>
        <v>864</v>
      </c>
      <c r="W111" s="4">
        <f t="shared" si="24"/>
        <v>972</v>
      </c>
      <c r="X111" s="10"/>
      <c r="Y111" s="4">
        <f>L111*12</f>
        <v>607.96800000000007</v>
      </c>
      <c r="Z111" s="4">
        <f>L111*14</f>
        <v>709.29600000000016</v>
      </c>
      <c r="AA111" s="4">
        <f t="shared" si="25"/>
        <v>759.96000000000015</v>
      </c>
      <c r="AB111" s="4">
        <f>L111*16</f>
        <v>810.62400000000014</v>
      </c>
    </row>
    <row r="112" spans="1:28" x14ac:dyDescent="0.25">
      <c r="A112" s="3">
        <v>35246</v>
      </c>
      <c r="B112" s="23">
        <v>10.31</v>
      </c>
      <c r="C112" s="23">
        <v>10.130000000000001</v>
      </c>
      <c r="D112" s="23">
        <v>3.7709999999999999</v>
      </c>
      <c r="E112" s="23"/>
      <c r="F112" s="23"/>
      <c r="G112" s="23"/>
      <c r="H112" s="24">
        <v>670.63</v>
      </c>
      <c r="I112" s="31">
        <v>7550.72</v>
      </c>
      <c r="J112" s="10"/>
      <c r="K112" s="36">
        <f t="shared" si="26"/>
        <v>34.910000000000004</v>
      </c>
      <c r="L112" s="36">
        <f t="shared" si="27"/>
        <v>49.183000000000007</v>
      </c>
      <c r="M112" s="18">
        <f t="shared" si="28"/>
        <v>19.210254941277569</v>
      </c>
      <c r="N112" s="18">
        <f t="shared" si="16"/>
        <v>13.635402476465444</v>
      </c>
      <c r="O112" s="10"/>
      <c r="P112" s="4">
        <f t="shared" si="17"/>
        <v>418.92000000000007</v>
      </c>
      <c r="Q112" s="4">
        <f t="shared" si="18"/>
        <v>488.74000000000007</v>
      </c>
      <c r="R112" s="4">
        <f t="shared" si="19"/>
        <v>523.65000000000009</v>
      </c>
      <c r="S112" s="4">
        <f t="shared" si="20"/>
        <v>558.56000000000006</v>
      </c>
      <c r="T112" s="4">
        <f t="shared" si="21"/>
        <v>628.38000000000011</v>
      </c>
      <c r="U112" s="4">
        <f t="shared" si="22"/>
        <v>733.11000000000013</v>
      </c>
      <c r="V112" s="4">
        <f t="shared" si="23"/>
        <v>837.84000000000015</v>
      </c>
      <c r="W112" s="4">
        <f t="shared" si="24"/>
        <v>942.57</v>
      </c>
      <c r="X112" s="10"/>
      <c r="Y112" s="4">
        <f>L112*12</f>
        <v>590.19600000000014</v>
      </c>
      <c r="Z112" s="4">
        <f>L112*14</f>
        <v>688.56200000000013</v>
      </c>
      <c r="AA112" s="4">
        <f t="shared" si="25"/>
        <v>737.74500000000012</v>
      </c>
      <c r="AB112" s="4">
        <f>L112*16</f>
        <v>786.92800000000011</v>
      </c>
    </row>
    <row r="113" spans="1:28" x14ac:dyDescent="0.25">
      <c r="A113" s="3">
        <v>35155</v>
      </c>
      <c r="B113" s="23">
        <v>9.39</v>
      </c>
      <c r="C113" s="23">
        <v>8.9600000000000009</v>
      </c>
      <c r="D113" s="23">
        <v>3.452</v>
      </c>
      <c r="E113" s="23"/>
      <c r="F113" s="23"/>
      <c r="G113" s="23"/>
      <c r="H113" s="24">
        <v>645.5</v>
      </c>
      <c r="I113" s="31">
        <v>7511.21</v>
      </c>
      <c r="J113" s="10"/>
      <c r="K113" s="36">
        <f t="shared" si="26"/>
        <v>34.04</v>
      </c>
      <c r="L113" s="36">
        <f t="shared" si="27"/>
        <v>48.143999999999998</v>
      </c>
      <c r="M113" s="18">
        <f t="shared" si="28"/>
        <v>18.962984723854291</v>
      </c>
      <c r="N113" s="18">
        <f t="shared" si="16"/>
        <v>13.407693585908941</v>
      </c>
      <c r="O113" s="10"/>
      <c r="P113" s="4">
        <f t="shared" si="17"/>
        <v>408.48</v>
      </c>
      <c r="Q113" s="4">
        <f t="shared" si="18"/>
        <v>476.56</v>
      </c>
      <c r="R113" s="4">
        <f t="shared" si="19"/>
        <v>510.59999999999997</v>
      </c>
      <c r="S113" s="4">
        <f t="shared" si="20"/>
        <v>544.64</v>
      </c>
      <c r="T113" s="4">
        <f t="shared" si="21"/>
        <v>612.72</v>
      </c>
      <c r="U113" s="4">
        <f t="shared" si="22"/>
        <v>714.84</v>
      </c>
      <c r="V113" s="4">
        <f t="shared" si="23"/>
        <v>816.96</v>
      </c>
      <c r="W113" s="4">
        <f t="shared" si="24"/>
        <v>919.07999999999993</v>
      </c>
      <c r="X113" s="10"/>
      <c r="Y113" s="4">
        <f>L113*12</f>
        <v>577.72799999999995</v>
      </c>
      <c r="Z113" s="4">
        <f>L113*14</f>
        <v>674.01599999999996</v>
      </c>
      <c r="AA113" s="4">
        <f t="shared" si="25"/>
        <v>722.16</v>
      </c>
      <c r="AB113" s="4">
        <f>L113*16</f>
        <v>770.30399999999997</v>
      </c>
    </row>
    <row r="114" spans="1:28" x14ac:dyDescent="0.25">
      <c r="A114" s="3">
        <v>35064</v>
      </c>
      <c r="B114" s="23">
        <v>9.7799999999999994</v>
      </c>
      <c r="C114" s="23">
        <v>7.13</v>
      </c>
      <c r="D114" s="23">
        <v>3.5510000000000002</v>
      </c>
      <c r="E114" s="23"/>
      <c r="F114" s="23"/>
      <c r="G114" s="23"/>
      <c r="H114" s="24">
        <v>615.92999999999995</v>
      </c>
      <c r="I114" s="31">
        <v>7449.38</v>
      </c>
      <c r="J114" s="10"/>
      <c r="K114" s="36">
        <f t="shared" si="26"/>
        <v>33.96</v>
      </c>
      <c r="L114" s="36">
        <f t="shared" si="27"/>
        <v>47.748000000000005</v>
      </c>
      <c r="M114" s="18">
        <f t="shared" si="28"/>
        <v>18.136925795053003</v>
      </c>
      <c r="N114" s="18">
        <f t="shared" si="16"/>
        <v>12.89959788891681</v>
      </c>
      <c r="O114" s="10"/>
      <c r="P114" s="4">
        <f t="shared" si="17"/>
        <v>407.52</v>
      </c>
      <c r="Q114" s="4">
        <f t="shared" si="18"/>
        <v>475.44</v>
      </c>
      <c r="R114" s="4">
        <f t="shared" si="19"/>
        <v>509.40000000000003</v>
      </c>
      <c r="S114" s="4">
        <f t="shared" si="20"/>
        <v>543.36</v>
      </c>
      <c r="T114" s="4">
        <f t="shared" si="21"/>
        <v>611.28</v>
      </c>
      <c r="U114" s="4">
        <f t="shared" si="22"/>
        <v>713.16</v>
      </c>
      <c r="V114" s="4">
        <f t="shared" si="23"/>
        <v>815.04</v>
      </c>
      <c r="W114" s="4">
        <f t="shared" si="24"/>
        <v>916.92000000000007</v>
      </c>
      <c r="X114" s="10"/>
      <c r="Y114" s="4">
        <f>L114*12</f>
        <v>572.97600000000011</v>
      </c>
      <c r="Z114" s="4">
        <f>L114*14</f>
        <v>668.47200000000009</v>
      </c>
      <c r="AA114" s="4">
        <f t="shared" si="25"/>
        <v>716.22</v>
      </c>
      <c r="AB114" s="4">
        <f>L114*16</f>
        <v>763.96800000000007</v>
      </c>
    </row>
    <row r="115" spans="1:28" x14ac:dyDescent="0.25">
      <c r="A115" s="3">
        <v>34972</v>
      </c>
      <c r="B115" s="23">
        <v>9.7799999999999994</v>
      </c>
      <c r="C115" s="23">
        <v>8.69</v>
      </c>
      <c r="D115" s="23">
        <v>3.4989999999999997</v>
      </c>
      <c r="E115" s="23"/>
      <c r="F115" s="23"/>
      <c r="G115" s="23"/>
      <c r="H115" s="24">
        <v>584.41</v>
      </c>
      <c r="I115" s="31">
        <v>7373.75</v>
      </c>
      <c r="J115" s="10"/>
      <c r="K115" s="36">
        <f t="shared" si="26"/>
        <v>35.18</v>
      </c>
      <c r="L115" s="36">
        <f t="shared" si="27"/>
        <v>48.755000000000003</v>
      </c>
      <c r="M115" s="18">
        <f t="shared" si="28"/>
        <v>16.611995451961342</v>
      </c>
      <c r="N115" s="18">
        <f t="shared" si="16"/>
        <v>11.986668034047788</v>
      </c>
      <c r="O115" s="10"/>
      <c r="P115" s="4">
        <f t="shared" si="17"/>
        <v>422.15999999999997</v>
      </c>
      <c r="Q115" s="4">
        <f t="shared" si="18"/>
        <v>492.52</v>
      </c>
      <c r="R115" s="4">
        <f t="shared" si="19"/>
        <v>527.70000000000005</v>
      </c>
      <c r="S115" s="4">
        <f t="shared" si="20"/>
        <v>562.88</v>
      </c>
      <c r="T115" s="4">
        <f t="shared" si="21"/>
        <v>633.24</v>
      </c>
      <c r="U115" s="4">
        <f t="shared" si="22"/>
        <v>738.78</v>
      </c>
      <c r="V115" s="4">
        <f t="shared" si="23"/>
        <v>844.31999999999994</v>
      </c>
      <c r="W115" s="4">
        <f t="shared" si="24"/>
        <v>949.86</v>
      </c>
      <c r="X115" s="10"/>
      <c r="Y115" s="4">
        <f>L115*12</f>
        <v>585.06000000000006</v>
      </c>
      <c r="Z115" s="4">
        <f>L115*14</f>
        <v>682.57</v>
      </c>
      <c r="AA115" s="4">
        <f t="shared" si="25"/>
        <v>731.32500000000005</v>
      </c>
      <c r="AB115" s="4">
        <f>L115*16</f>
        <v>780.08</v>
      </c>
    </row>
    <row r="116" spans="1:28" x14ac:dyDescent="0.25">
      <c r="A116" s="3">
        <v>34880</v>
      </c>
      <c r="B116" s="23">
        <v>9.5</v>
      </c>
      <c r="C116" s="23">
        <v>9.26</v>
      </c>
      <c r="D116" s="23">
        <v>3.6019999999999999</v>
      </c>
      <c r="E116" s="23"/>
      <c r="F116" s="23"/>
      <c r="G116" s="23"/>
      <c r="H116" s="24">
        <v>544.75</v>
      </c>
      <c r="I116" s="31">
        <v>7340.26</v>
      </c>
      <c r="J116" s="10"/>
      <c r="K116" s="36">
        <f t="shared" si="26"/>
        <v>34.43</v>
      </c>
      <c r="L116" s="36">
        <f t="shared" si="27"/>
        <v>47.790999999999997</v>
      </c>
      <c r="M116" s="18">
        <f t="shared" si="28"/>
        <v>15.821957595120535</v>
      </c>
      <c r="N116" s="18">
        <f t="shared" si="16"/>
        <v>11.39858969261995</v>
      </c>
      <c r="O116" s="10"/>
      <c r="P116" s="4">
        <f t="shared" si="17"/>
        <v>413.15999999999997</v>
      </c>
      <c r="Q116" s="4">
        <f t="shared" si="18"/>
        <v>482.02</v>
      </c>
      <c r="R116" s="4">
        <f t="shared" si="19"/>
        <v>516.45000000000005</v>
      </c>
      <c r="S116" s="4">
        <f t="shared" si="20"/>
        <v>550.88</v>
      </c>
      <c r="T116" s="4">
        <f t="shared" si="21"/>
        <v>619.74</v>
      </c>
      <c r="U116" s="4">
        <f t="shared" si="22"/>
        <v>723.03</v>
      </c>
      <c r="V116" s="4">
        <f t="shared" si="23"/>
        <v>826.31999999999994</v>
      </c>
      <c r="W116" s="4">
        <f t="shared" si="24"/>
        <v>929.61</v>
      </c>
      <c r="X116" s="10"/>
      <c r="Y116" s="4">
        <f>L116*12</f>
        <v>573.49199999999996</v>
      </c>
      <c r="Z116" s="4">
        <f>L116*14</f>
        <v>669.07399999999996</v>
      </c>
      <c r="AA116" s="4">
        <f t="shared" si="25"/>
        <v>716.86500000000001</v>
      </c>
      <c r="AB116" s="4">
        <f>L116*16</f>
        <v>764.65599999999995</v>
      </c>
    </row>
    <row r="117" spans="1:28" x14ac:dyDescent="0.25">
      <c r="A117" s="3">
        <v>34789</v>
      </c>
      <c r="B117" s="23">
        <v>8.64</v>
      </c>
      <c r="C117" s="23">
        <v>8.8800000000000008</v>
      </c>
      <c r="D117" s="23">
        <v>3.1360000000000001</v>
      </c>
      <c r="E117" s="23"/>
      <c r="F117" s="23"/>
      <c r="G117" s="23"/>
      <c r="H117" s="24">
        <v>500.71</v>
      </c>
      <c r="I117" s="31">
        <v>7331.51</v>
      </c>
      <c r="J117" s="10"/>
      <c r="K117" s="36">
        <f t="shared" si="26"/>
        <v>32.550000000000004</v>
      </c>
      <c r="L117" s="36">
        <f t="shared" si="27"/>
        <v>45.720000000000006</v>
      </c>
      <c r="M117" s="18">
        <f t="shared" si="28"/>
        <v>15.382795698924729</v>
      </c>
      <c r="N117" s="18">
        <f t="shared" si="16"/>
        <v>10.951662292213472</v>
      </c>
      <c r="O117" s="10"/>
      <c r="P117" s="4">
        <f t="shared" si="17"/>
        <v>390.6</v>
      </c>
      <c r="Q117" s="4">
        <f t="shared" si="18"/>
        <v>455.70000000000005</v>
      </c>
      <c r="R117" s="4">
        <f t="shared" si="19"/>
        <v>488.25000000000006</v>
      </c>
      <c r="S117" s="4">
        <f t="shared" si="20"/>
        <v>520.80000000000007</v>
      </c>
      <c r="T117" s="4">
        <f t="shared" si="21"/>
        <v>585.90000000000009</v>
      </c>
      <c r="U117" s="4">
        <f t="shared" si="22"/>
        <v>683.55000000000007</v>
      </c>
      <c r="V117" s="4">
        <f t="shared" si="23"/>
        <v>781.2</v>
      </c>
      <c r="W117" s="4">
        <f t="shared" si="24"/>
        <v>878.85000000000014</v>
      </c>
      <c r="X117" s="10"/>
      <c r="Y117" s="4">
        <f>L117*12</f>
        <v>548.6400000000001</v>
      </c>
      <c r="Z117" s="4">
        <f>L117*14</f>
        <v>640.08000000000004</v>
      </c>
      <c r="AA117" s="4">
        <f t="shared" si="25"/>
        <v>685.80000000000007</v>
      </c>
      <c r="AB117" s="4">
        <f>L117*16</f>
        <v>731.5200000000001</v>
      </c>
    </row>
    <row r="118" spans="1:28" x14ac:dyDescent="0.25">
      <c r="A118" s="3">
        <v>34699</v>
      </c>
      <c r="B118" s="23">
        <v>8.8000000000000007</v>
      </c>
      <c r="C118" s="23">
        <v>8.35</v>
      </c>
      <c r="D118" s="23">
        <v>3.3380000000000001</v>
      </c>
      <c r="E118" s="23"/>
      <c r="F118" s="23"/>
      <c r="G118" s="23"/>
      <c r="H118" s="24">
        <v>459.27</v>
      </c>
      <c r="I118" s="31">
        <v>7285.82</v>
      </c>
      <c r="J118" s="10"/>
      <c r="K118" s="36">
        <f t="shared" si="26"/>
        <v>30.599999999999998</v>
      </c>
      <c r="L118" s="36">
        <f t="shared" si="27"/>
        <v>43.77</v>
      </c>
      <c r="M118" s="18">
        <f t="shared" si="28"/>
        <v>15.008823529411766</v>
      </c>
      <c r="N118" s="18">
        <f t="shared" si="16"/>
        <v>10.492803289924606</v>
      </c>
      <c r="O118" s="10"/>
      <c r="P118" s="4">
        <f t="shared" si="17"/>
        <v>367.2</v>
      </c>
      <c r="Q118" s="4">
        <f t="shared" si="18"/>
        <v>428.4</v>
      </c>
      <c r="R118" s="4">
        <f t="shared" si="19"/>
        <v>458.99999999999994</v>
      </c>
      <c r="S118" s="4">
        <f t="shared" si="20"/>
        <v>489.59999999999997</v>
      </c>
      <c r="T118" s="4">
        <f t="shared" si="21"/>
        <v>550.79999999999995</v>
      </c>
      <c r="U118" s="4">
        <f t="shared" si="22"/>
        <v>642.59999999999991</v>
      </c>
      <c r="V118" s="4">
        <f t="shared" si="23"/>
        <v>734.4</v>
      </c>
      <c r="W118" s="4">
        <f t="shared" si="24"/>
        <v>826.19999999999993</v>
      </c>
      <c r="X118" s="10"/>
      <c r="Y118" s="4">
        <f>L118*12</f>
        <v>525.24</v>
      </c>
      <c r="Z118" s="4">
        <f>L118*14</f>
        <v>612.78000000000009</v>
      </c>
      <c r="AA118" s="4">
        <f t="shared" si="25"/>
        <v>656.55000000000007</v>
      </c>
      <c r="AB118" s="4">
        <f>L118*16</f>
        <v>700.32</v>
      </c>
    </row>
    <row r="119" spans="1:28" x14ac:dyDescent="0.25">
      <c r="A119" s="3">
        <v>34607</v>
      </c>
      <c r="B119" s="23">
        <v>8.0299999999999994</v>
      </c>
      <c r="C119" s="23">
        <v>7.94</v>
      </c>
      <c r="D119" s="23">
        <v>3.2850000000000001</v>
      </c>
      <c r="E119" s="23"/>
      <c r="F119" s="23"/>
      <c r="G119" s="23"/>
      <c r="H119" s="24">
        <v>462.71</v>
      </c>
      <c r="I119" s="31">
        <v>7265.69</v>
      </c>
      <c r="J119" s="10"/>
      <c r="K119" s="36">
        <f t="shared" si="26"/>
        <v>27.33</v>
      </c>
      <c r="L119" s="36">
        <f t="shared" si="27"/>
        <v>40.253</v>
      </c>
      <c r="M119" s="18">
        <f t="shared" si="28"/>
        <v>16.930479326747164</v>
      </c>
      <c r="N119" s="18">
        <f t="shared" si="16"/>
        <v>11.495043847663528</v>
      </c>
      <c r="O119" s="10"/>
      <c r="P119" s="4">
        <f t="shared" si="17"/>
        <v>327.96</v>
      </c>
      <c r="Q119" s="4">
        <f t="shared" si="18"/>
        <v>382.62</v>
      </c>
      <c r="R119" s="4">
        <f t="shared" si="19"/>
        <v>409.95</v>
      </c>
      <c r="S119" s="4">
        <f t="shared" si="20"/>
        <v>437.28</v>
      </c>
      <c r="T119" s="4">
        <f t="shared" si="21"/>
        <v>491.93999999999994</v>
      </c>
      <c r="U119" s="4">
        <f t="shared" si="22"/>
        <v>573.92999999999995</v>
      </c>
      <c r="V119" s="4">
        <f t="shared" si="23"/>
        <v>655.92</v>
      </c>
      <c r="W119" s="4">
        <f t="shared" si="24"/>
        <v>737.91</v>
      </c>
      <c r="X119" s="10"/>
      <c r="Y119" s="4">
        <f>L119*12</f>
        <v>483.036</v>
      </c>
      <c r="Z119" s="4">
        <f>L119*14</f>
        <v>563.54200000000003</v>
      </c>
      <c r="AA119" s="4">
        <f t="shared" si="25"/>
        <v>603.79499999999996</v>
      </c>
      <c r="AB119" s="4">
        <f>L119*16</f>
        <v>644.048</v>
      </c>
    </row>
    <row r="120" spans="1:28" x14ac:dyDescent="0.25">
      <c r="A120" s="3">
        <v>34515</v>
      </c>
      <c r="B120" s="23">
        <v>7.75</v>
      </c>
      <c r="C120" s="23">
        <v>7.38</v>
      </c>
      <c r="D120" s="23">
        <v>3.4109999999999996</v>
      </c>
      <c r="E120" s="23"/>
      <c r="F120" s="23"/>
      <c r="G120" s="23"/>
      <c r="H120" s="24">
        <v>444.27</v>
      </c>
      <c r="I120" s="31">
        <v>7211.87</v>
      </c>
      <c r="J120" s="10"/>
      <c r="K120" s="36">
        <f t="shared" si="26"/>
        <v>25.2</v>
      </c>
      <c r="L120" s="36">
        <f t="shared" si="27"/>
        <v>38.035000000000004</v>
      </c>
      <c r="M120" s="18">
        <f t="shared" si="28"/>
        <v>17.629761904761903</v>
      </c>
      <c r="N120" s="18">
        <f t="shared" si="16"/>
        <v>11.680557381359273</v>
      </c>
      <c r="O120" s="10"/>
      <c r="P120" s="4">
        <f t="shared" si="17"/>
        <v>302.39999999999998</v>
      </c>
      <c r="Q120" s="4">
        <f t="shared" si="18"/>
        <v>352.8</v>
      </c>
      <c r="R120" s="4">
        <f t="shared" si="19"/>
        <v>378</v>
      </c>
      <c r="S120" s="4">
        <f t="shared" si="20"/>
        <v>403.2</v>
      </c>
      <c r="T120" s="4">
        <f t="shared" si="21"/>
        <v>453.59999999999997</v>
      </c>
      <c r="U120" s="4">
        <f t="shared" si="22"/>
        <v>529.19999999999993</v>
      </c>
      <c r="V120" s="4">
        <f t="shared" si="23"/>
        <v>604.79999999999995</v>
      </c>
      <c r="W120" s="4">
        <f t="shared" si="24"/>
        <v>680.4</v>
      </c>
      <c r="X120" s="10"/>
      <c r="Y120" s="4">
        <f>L120*12</f>
        <v>456.42000000000007</v>
      </c>
      <c r="Z120" s="4">
        <f>L120*14</f>
        <v>532.49</v>
      </c>
      <c r="AA120" s="4">
        <f t="shared" si="25"/>
        <v>570.52500000000009</v>
      </c>
      <c r="AB120" s="4">
        <f>L120*16</f>
        <v>608.56000000000006</v>
      </c>
    </row>
    <row r="121" spans="1:28" x14ac:dyDescent="0.25">
      <c r="A121" s="3">
        <v>34424</v>
      </c>
      <c r="B121" s="23">
        <v>7.17</v>
      </c>
      <c r="C121" s="23">
        <v>6.93</v>
      </c>
      <c r="D121" s="23">
        <v>3.1360000000000001</v>
      </c>
      <c r="E121" s="23"/>
      <c r="F121" s="23"/>
      <c r="G121" s="23"/>
      <c r="H121" s="24">
        <v>445.77</v>
      </c>
      <c r="I121" s="31">
        <v>7127.98</v>
      </c>
      <c r="J121" s="10"/>
      <c r="K121" s="36">
        <f t="shared" si="26"/>
        <v>22.71</v>
      </c>
      <c r="L121" s="36">
        <f t="shared" si="27"/>
        <v>35.416999999999994</v>
      </c>
      <c r="M121" s="18">
        <f t="shared" si="28"/>
        <v>19.628797886393659</v>
      </c>
      <c r="N121" s="18">
        <f t="shared" si="16"/>
        <v>12.586328599260243</v>
      </c>
      <c r="O121" s="10"/>
      <c r="P121" s="4">
        <f t="shared" si="17"/>
        <v>272.52</v>
      </c>
      <c r="Q121" s="4">
        <f t="shared" si="18"/>
        <v>317.94</v>
      </c>
      <c r="R121" s="4">
        <f t="shared" si="19"/>
        <v>340.65000000000003</v>
      </c>
      <c r="S121" s="4">
        <f t="shared" si="20"/>
        <v>363.36</v>
      </c>
      <c r="T121" s="4">
        <f t="shared" si="21"/>
        <v>408.78000000000003</v>
      </c>
      <c r="U121" s="4">
        <f t="shared" si="22"/>
        <v>476.91</v>
      </c>
      <c r="V121" s="4">
        <f t="shared" si="23"/>
        <v>545.04</v>
      </c>
      <c r="W121" s="4">
        <f t="shared" si="24"/>
        <v>613.17000000000007</v>
      </c>
      <c r="X121" s="10"/>
      <c r="Y121" s="4">
        <f>L121*12</f>
        <v>425.00399999999991</v>
      </c>
      <c r="Z121" s="4">
        <f>L121*14</f>
        <v>495.83799999999991</v>
      </c>
      <c r="AA121" s="4">
        <f t="shared" si="25"/>
        <v>531.25499999999988</v>
      </c>
      <c r="AB121" s="4">
        <f>L121*16</f>
        <v>566.67199999999991</v>
      </c>
    </row>
    <row r="122" spans="1:28" x14ac:dyDescent="0.25">
      <c r="A122" s="3">
        <v>34334</v>
      </c>
      <c r="B122" s="23">
        <v>7.16</v>
      </c>
      <c r="C122" s="23">
        <v>5.08</v>
      </c>
      <c r="D122" s="23">
        <v>3.0910000000000002</v>
      </c>
      <c r="E122" s="23"/>
      <c r="F122" s="23"/>
      <c r="G122" s="23"/>
      <c r="H122" s="24">
        <v>466.45</v>
      </c>
      <c r="I122" s="31">
        <v>7086.53</v>
      </c>
      <c r="J122" s="10"/>
      <c r="K122" s="36">
        <f t="shared" si="26"/>
        <v>21.89</v>
      </c>
      <c r="L122" s="36">
        <f t="shared" si="27"/>
        <v>34.466999999999999</v>
      </c>
      <c r="M122" s="18">
        <f t="shared" si="28"/>
        <v>21.308816811329372</v>
      </c>
      <c r="N122" s="18">
        <f t="shared" si="16"/>
        <v>13.533234688252531</v>
      </c>
      <c r="O122" s="10"/>
      <c r="P122" s="4">
        <f t="shared" si="17"/>
        <v>262.68</v>
      </c>
      <c r="Q122" s="4">
        <f t="shared" si="18"/>
        <v>306.46000000000004</v>
      </c>
      <c r="R122" s="4">
        <f t="shared" si="19"/>
        <v>328.35</v>
      </c>
      <c r="S122" s="4">
        <f t="shared" si="20"/>
        <v>350.24</v>
      </c>
      <c r="T122" s="4">
        <f t="shared" si="21"/>
        <v>394.02</v>
      </c>
      <c r="U122" s="4">
        <f t="shared" si="22"/>
        <v>459.69</v>
      </c>
      <c r="V122" s="4">
        <f t="shared" si="23"/>
        <v>525.36</v>
      </c>
      <c r="W122" s="4">
        <f t="shared" si="24"/>
        <v>591.03</v>
      </c>
      <c r="X122" s="10"/>
      <c r="Y122" s="4">
        <f>L122*12</f>
        <v>413.60399999999998</v>
      </c>
      <c r="Z122" s="4">
        <f>L122*14</f>
        <v>482.53800000000001</v>
      </c>
      <c r="AA122" s="4">
        <f t="shared" si="25"/>
        <v>517.005</v>
      </c>
      <c r="AB122" s="4">
        <f>L122*16</f>
        <v>551.47199999999998</v>
      </c>
    </row>
    <row r="123" spans="1:28" x14ac:dyDescent="0.25">
      <c r="A123" s="3">
        <v>34242</v>
      </c>
      <c r="B123" s="23">
        <v>6.92</v>
      </c>
      <c r="C123" s="23">
        <v>5.81</v>
      </c>
      <c r="D123" s="23">
        <v>3.1969999999999996</v>
      </c>
      <c r="E123" s="23"/>
      <c r="F123" s="23"/>
      <c r="G123" s="23"/>
      <c r="H123" s="24">
        <v>458.93</v>
      </c>
      <c r="I123" s="31">
        <v>7011.06</v>
      </c>
      <c r="J123" s="10"/>
      <c r="K123" s="36">
        <f t="shared" si="26"/>
        <v>20.41</v>
      </c>
      <c r="L123" s="36">
        <f t="shared" si="27"/>
        <v>32.929000000000002</v>
      </c>
      <c r="M123" s="18">
        <f t="shared" si="28"/>
        <v>22.485546300832926</v>
      </c>
      <c r="N123" s="18">
        <f t="shared" si="16"/>
        <v>13.936955267393483</v>
      </c>
      <c r="O123" s="10"/>
      <c r="P123" s="4">
        <f t="shared" si="17"/>
        <v>244.92000000000002</v>
      </c>
      <c r="Q123" s="4">
        <f t="shared" si="18"/>
        <v>285.74</v>
      </c>
      <c r="R123" s="4">
        <f t="shared" si="19"/>
        <v>306.14999999999998</v>
      </c>
      <c r="S123" s="4">
        <f t="shared" si="20"/>
        <v>326.56</v>
      </c>
      <c r="T123" s="4">
        <f t="shared" si="21"/>
        <v>367.38</v>
      </c>
      <c r="U123" s="4">
        <f t="shared" si="22"/>
        <v>428.61</v>
      </c>
      <c r="V123" s="4">
        <f t="shared" si="23"/>
        <v>489.84000000000003</v>
      </c>
      <c r="W123" s="4">
        <f t="shared" si="24"/>
        <v>551.07000000000005</v>
      </c>
      <c r="X123" s="10"/>
      <c r="Y123" s="4">
        <f>L123*12</f>
        <v>395.14800000000002</v>
      </c>
      <c r="Z123" s="4">
        <f>L123*14</f>
        <v>461.00600000000003</v>
      </c>
      <c r="AA123" s="4">
        <f t="shared" si="25"/>
        <v>493.93500000000006</v>
      </c>
      <c r="AB123" s="4">
        <f>L123*16</f>
        <v>526.86400000000003</v>
      </c>
    </row>
    <row r="124" spans="1:28" x14ac:dyDescent="0.25">
      <c r="A124" s="3">
        <v>34150</v>
      </c>
      <c r="B124" s="23">
        <v>6.57</v>
      </c>
      <c r="C124" s="23">
        <v>4.8899999999999997</v>
      </c>
      <c r="D124" s="23">
        <v>3.2829999999999995</v>
      </c>
      <c r="E124" s="23"/>
      <c r="F124" s="23"/>
      <c r="G124" s="23"/>
      <c r="H124" s="24">
        <v>450.53</v>
      </c>
      <c r="I124" s="31">
        <v>6974.55</v>
      </c>
      <c r="J124" s="10"/>
      <c r="K124" s="36">
        <f t="shared" si="26"/>
        <v>19.329999999999998</v>
      </c>
      <c r="L124" s="36">
        <f t="shared" si="27"/>
        <v>31.853000000000002</v>
      </c>
      <c r="M124" s="18">
        <f t="shared" si="28"/>
        <v>23.307294361096741</v>
      </c>
      <c r="N124" s="18">
        <f t="shared" si="16"/>
        <v>14.14403666844567</v>
      </c>
      <c r="O124" s="10"/>
      <c r="P124" s="4">
        <f t="shared" si="17"/>
        <v>231.95999999999998</v>
      </c>
      <c r="Q124" s="4">
        <f t="shared" si="18"/>
        <v>270.62</v>
      </c>
      <c r="R124" s="4">
        <f t="shared" si="19"/>
        <v>289.95</v>
      </c>
      <c r="S124" s="4">
        <f t="shared" si="20"/>
        <v>309.27999999999997</v>
      </c>
      <c r="T124" s="4">
        <f t="shared" si="21"/>
        <v>347.93999999999994</v>
      </c>
      <c r="U124" s="4">
        <f t="shared" si="22"/>
        <v>405.92999999999995</v>
      </c>
      <c r="V124" s="4">
        <f t="shared" si="23"/>
        <v>463.91999999999996</v>
      </c>
      <c r="W124" s="4">
        <f t="shared" si="24"/>
        <v>521.91</v>
      </c>
      <c r="X124" s="10"/>
      <c r="Y124" s="4">
        <f>L124*12</f>
        <v>382.23599999999999</v>
      </c>
      <c r="Z124" s="4">
        <f>L124*14</f>
        <v>445.94200000000001</v>
      </c>
      <c r="AA124" s="4">
        <f t="shared" si="25"/>
        <v>477.79500000000002</v>
      </c>
      <c r="AB124" s="4">
        <f>L124*16</f>
        <v>509.64800000000002</v>
      </c>
    </row>
    <row r="125" spans="1:28" x14ac:dyDescent="0.25">
      <c r="A125" s="3">
        <v>34059</v>
      </c>
      <c r="B125" s="23">
        <v>6.25</v>
      </c>
      <c r="C125" s="23">
        <v>6.11</v>
      </c>
      <c r="D125" s="23">
        <v>3.0059999999999998</v>
      </c>
      <c r="E125" s="23"/>
      <c r="F125" s="23"/>
      <c r="G125" s="23"/>
      <c r="H125" s="24">
        <v>451.67</v>
      </c>
      <c r="I125" s="31">
        <v>6947.24</v>
      </c>
      <c r="J125" s="10"/>
      <c r="K125" s="36">
        <f t="shared" si="26"/>
        <v>19.840000000000003</v>
      </c>
      <c r="L125" s="36">
        <f t="shared" si="27"/>
        <v>32.318999999999996</v>
      </c>
      <c r="M125" s="18">
        <f t="shared" si="28"/>
        <v>22.765624999999996</v>
      </c>
      <c r="N125" s="18">
        <f t="shared" si="16"/>
        <v>13.97537052507813</v>
      </c>
      <c r="O125" s="10"/>
      <c r="P125" s="4">
        <f t="shared" si="17"/>
        <v>238.08000000000004</v>
      </c>
      <c r="Q125" s="4">
        <f t="shared" si="18"/>
        <v>277.76000000000005</v>
      </c>
      <c r="R125" s="4">
        <f t="shared" si="19"/>
        <v>297.60000000000002</v>
      </c>
      <c r="S125" s="4">
        <f t="shared" si="20"/>
        <v>317.44000000000005</v>
      </c>
      <c r="T125" s="4">
        <f t="shared" si="21"/>
        <v>357.12000000000006</v>
      </c>
      <c r="U125" s="4">
        <f t="shared" si="22"/>
        <v>416.6400000000001</v>
      </c>
      <c r="V125" s="4">
        <f t="shared" si="23"/>
        <v>476.16000000000008</v>
      </c>
      <c r="W125" s="4">
        <f t="shared" si="24"/>
        <v>535.68000000000006</v>
      </c>
      <c r="X125" s="10"/>
      <c r="Y125" s="4">
        <f>L125*12</f>
        <v>387.82799999999997</v>
      </c>
      <c r="Z125" s="4">
        <f>L125*14</f>
        <v>452.46599999999995</v>
      </c>
      <c r="AA125" s="4">
        <f t="shared" si="25"/>
        <v>484.78499999999991</v>
      </c>
      <c r="AB125" s="4">
        <f>L125*16</f>
        <v>517.10399999999993</v>
      </c>
    </row>
    <row r="126" spans="1:28" x14ac:dyDescent="0.25">
      <c r="A126" s="3">
        <v>33969</v>
      </c>
      <c r="B126" s="23">
        <v>5.61</v>
      </c>
      <c r="C126" s="23">
        <v>3.6</v>
      </c>
      <c r="D126" s="23">
        <v>3.0330000000000004</v>
      </c>
      <c r="E126" s="23"/>
      <c r="F126" s="23"/>
      <c r="G126" s="23"/>
      <c r="H126" s="24">
        <v>435.71</v>
      </c>
      <c r="I126" s="31">
        <v>6918.99</v>
      </c>
      <c r="J126" s="10"/>
      <c r="K126" s="36">
        <f t="shared" si="26"/>
        <v>19.09</v>
      </c>
      <c r="L126" s="36">
        <f t="shared" si="27"/>
        <v>31.474999999999998</v>
      </c>
      <c r="M126" s="18">
        <f t="shared" si="28"/>
        <v>22.823991618648506</v>
      </c>
      <c r="N126" s="18">
        <f t="shared" si="16"/>
        <v>13.843050039714059</v>
      </c>
      <c r="O126" s="10"/>
      <c r="P126" s="4">
        <f t="shared" si="17"/>
        <v>229.07999999999998</v>
      </c>
      <c r="Q126" s="4">
        <f t="shared" si="18"/>
        <v>267.26</v>
      </c>
      <c r="R126" s="4">
        <f t="shared" si="19"/>
        <v>286.35000000000002</v>
      </c>
      <c r="S126" s="4">
        <f t="shared" si="20"/>
        <v>305.44</v>
      </c>
      <c r="T126" s="4">
        <f t="shared" si="21"/>
        <v>343.62</v>
      </c>
      <c r="U126" s="4">
        <f t="shared" si="22"/>
        <v>400.89</v>
      </c>
      <c r="V126" s="4">
        <f t="shared" si="23"/>
        <v>458.15999999999997</v>
      </c>
      <c r="W126" s="4">
        <f t="shared" si="24"/>
        <v>515.42999999999995</v>
      </c>
      <c r="X126" s="10"/>
      <c r="Y126" s="4">
        <f>L126*12</f>
        <v>377.7</v>
      </c>
      <c r="Z126" s="4">
        <f>L126*14</f>
        <v>440.65</v>
      </c>
      <c r="AA126" s="4">
        <f t="shared" si="25"/>
        <v>472.12499999999994</v>
      </c>
      <c r="AB126" s="4">
        <f>L126*16</f>
        <v>503.59999999999997</v>
      </c>
    </row>
    <row r="127" spans="1:28" x14ac:dyDescent="0.25">
      <c r="A127" s="3">
        <v>33877</v>
      </c>
      <c r="B127" s="23">
        <v>5.12</v>
      </c>
      <c r="C127" s="23">
        <v>4.7300000000000004</v>
      </c>
      <c r="D127" s="23">
        <v>3.2009999999999996</v>
      </c>
      <c r="E127" s="23"/>
      <c r="F127" s="23"/>
      <c r="G127" s="23"/>
      <c r="H127" s="24">
        <v>417.8</v>
      </c>
      <c r="I127" s="31">
        <v>6900.48</v>
      </c>
      <c r="J127" s="10"/>
      <c r="K127" s="36">
        <f t="shared" si="26"/>
        <v>18.040000000000003</v>
      </c>
      <c r="L127" s="36">
        <f t="shared" si="27"/>
        <v>30.434999999999999</v>
      </c>
      <c r="M127" s="18">
        <f t="shared" si="28"/>
        <v>23.159645232815961</v>
      </c>
      <c r="N127" s="18">
        <f t="shared" si="16"/>
        <v>13.727616231312634</v>
      </c>
      <c r="O127" s="10"/>
      <c r="P127" s="4">
        <f t="shared" si="17"/>
        <v>216.48000000000002</v>
      </c>
      <c r="Q127" s="4">
        <f t="shared" si="18"/>
        <v>252.56000000000003</v>
      </c>
      <c r="R127" s="4">
        <f t="shared" si="19"/>
        <v>270.60000000000002</v>
      </c>
      <c r="S127" s="4">
        <f t="shared" si="20"/>
        <v>288.64000000000004</v>
      </c>
      <c r="T127" s="4">
        <f t="shared" si="21"/>
        <v>324.72000000000003</v>
      </c>
      <c r="U127" s="4">
        <f t="shared" si="22"/>
        <v>378.84000000000003</v>
      </c>
      <c r="V127" s="4">
        <f t="shared" si="23"/>
        <v>432.96000000000004</v>
      </c>
      <c r="W127" s="4">
        <f t="shared" si="24"/>
        <v>487.0800000000001</v>
      </c>
      <c r="X127" s="10"/>
      <c r="Y127" s="4">
        <f>L127*12</f>
        <v>365.21999999999997</v>
      </c>
      <c r="Z127" s="4">
        <f>L127*14</f>
        <v>426.09</v>
      </c>
      <c r="AA127" s="4">
        <f t="shared" si="25"/>
        <v>456.52499999999998</v>
      </c>
      <c r="AB127" s="4">
        <f>L127*16</f>
        <v>486.96</v>
      </c>
    </row>
    <row r="128" spans="1:28" x14ac:dyDescent="0.25">
      <c r="A128" s="3">
        <v>33785</v>
      </c>
      <c r="B128" s="23">
        <v>5.21</v>
      </c>
      <c r="C128" s="23">
        <v>5.4</v>
      </c>
      <c r="D128" s="23">
        <v>3.2389999999999999</v>
      </c>
      <c r="E128" s="19"/>
      <c r="F128" s="23"/>
      <c r="G128" s="23"/>
      <c r="H128" s="24">
        <v>408.14</v>
      </c>
      <c r="I128" s="31">
        <v>6867.07</v>
      </c>
      <c r="J128" s="10"/>
      <c r="K128" s="36">
        <f t="shared" si="26"/>
        <v>17.050000000000004</v>
      </c>
      <c r="L128" s="36">
        <f t="shared" si="27"/>
        <v>29.369999999999997</v>
      </c>
      <c r="M128" s="18">
        <f t="shared" si="28"/>
        <v>23.937829912023453</v>
      </c>
      <c r="N128" s="18">
        <f t="shared" si="16"/>
        <v>13.896493020088526</v>
      </c>
      <c r="O128" s="10"/>
      <c r="P128" s="4">
        <f t="shared" si="17"/>
        <v>204.60000000000005</v>
      </c>
      <c r="Q128" s="4">
        <f t="shared" si="18"/>
        <v>238.70000000000005</v>
      </c>
      <c r="R128" s="4">
        <f t="shared" si="19"/>
        <v>255.75000000000006</v>
      </c>
      <c r="S128" s="4">
        <f t="shared" si="20"/>
        <v>272.80000000000007</v>
      </c>
      <c r="T128" s="4">
        <f t="shared" si="21"/>
        <v>306.90000000000009</v>
      </c>
      <c r="U128" s="4">
        <f t="shared" si="22"/>
        <v>358.05000000000007</v>
      </c>
      <c r="V128" s="4">
        <f t="shared" si="23"/>
        <v>409.2000000000001</v>
      </c>
      <c r="W128" s="4">
        <f t="shared" si="24"/>
        <v>460.35000000000014</v>
      </c>
      <c r="X128" s="10"/>
      <c r="Y128" s="4">
        <f>L128*12</f>
        <v>352.43999999999994</v>
      </c>
      <c r="Z128" s="4">
        <f>L128*14</f>
        <v>411.17999999999995</v>
      </c>
      <c r="AA128" s="4">
        <f t="shared" si="25"/>
        <v>440.54999999999995</v>
      </c>
      <c r="AB128" s="4">
        <f>L128*16</f>
        <v>469.91999999999996</v>
      </c>
    </row>
    <row r="129" spans="1:28" x14ac:dyDescent="0.25">
      <c r="A129" s="3">
        <v>33694</v>
      </c>
      <c r="B129" s="23">
        <v>4.93</v>
      </c>
      <c r="C129" s="23">
        <v>5.36</v>
      </c>
      <c r="D129" s="23">
        <v>2.9119999999999999</v>
      </c>
      <c r="E129" s="23"/>
      <c r="F129" s="23"/>
      <c r="G129" s="23"/>
      <c r="H129" s="24">
        <v>403.69</v>
      </c>
      <c r="I129" s="31">
        <v>6833.95</v>
      </c>
      <c r="J129" s="10"/>
      <c r="K129" s="36">
        <f t="shared" si="26"/>
        <v>16.190000000000001</v>
      </c>
      <c r="L129" s="36">
        <f t="shared" si="27"/>
        <v>28.513999999999992</v>
      </c>
      <c r="M129" s="18">
        <f t="shared" si="28"/>
        <v>24.934527486102532</v>
      </c>
      <c r="N129" s="18">
        <f t="shared" si="16"/>
        <v>14.157606789647195</v>
      </c>
      <c r="O129" s="10"/>
      <c r="P129" s="4">
        <f t="shared" si="17"/>
        <v>194.28000000000003</v>
      </c>
      <c r="Q129" s="4">
        <f t="shared" si="18"/>
        <v>226.66000000000003</v>
      </c>
      <c r="R129" s="4">
        <f t="shared" si="19"/>
        <v>242.85000000000002</v>
      </c>
      <c r="S129" s="4">
        <f t="shared" si="20"/>
        <v>259.04000000000002</v>
      </c>
      <c r="T129" s="4">
        <f t="shared" si="21"/>
        <v>291.42</v>
      </c>
      <c r="U129" s="4">
        <f t="shared" si="22"/>
        <v>339.99</v>
      </c>
      <c r="V129" s="4">
        <f t="shared" si="23"/>
        <v>388.56000000000006</v>
      </c>
      <c r="W129" s="4">
        <f t="shared" si="24"/>
        <v>437.13000000000005</v>
      </c>
      <c r="X129" s="10"/>
      <c r="Y129" s="4">
        <f>L129*12</f>
        <v>342.16799999999989</v>
      </c>
      <c r="Z129" s="4">
        <f>L129*14</f>
        <v>399.19599999999991</v>
      </c>
      <c r="AA129" s="4">
        <f t="shared" si="25"/>
        <v>427.70999999999987</v>
      </c>
      <c r="AB129" s="4">
        <f>L129*16</f>
        <v>456.22399999999988</v>
      </c>
    </row>
    <row r="130" spans="1:28" x14ac:dyDescent="0.25">
      <c r="A130" s="3">
        <v>33603</v>
      </c>
      <c r="B130" s="23">
        <v>4.63</v>
      </c>
      <c r="C130" s="23">
        <v>2.5499999999999998</v>
      </c>
      <c r="D130" s="23">
        <v>3.0430000000000001</v>
      </c>
      <c r="E130" s="23"/>
      <c r="F130" s="23"/>
      <c r="G130" s="23"/>
      <c r="H130" s="24">
        <v>417.09</v>
      </c>
      <c r="I130" s="31">
        <v>6812.5168999999996</v>
      </c>
      <c r="J130" s="10"/>
      <c r="K130" s="36">
        <f t="shared" si="26"/>
        <v>15.969999999999999</v>
      </c>
      <c r="L130" s="36">
        <f t="shared" si="27"/>
        <v>28.172999999999998</v>
      </c>
      <c r="M130" s="18">
        <f t="shared" si="28"/>
        <v>26.117094552285536</v>
      </c>
      <c r="N130" s="18">
        <f t="shared" si="16"/>
        <v>14.804600149078905</v>
      </c>
      <c r="O130" s="10"/>
      <c r="P130" s="4">
        <f t="shared" si="17"/>
        <v>191.64</v>
      </c>
      <c r="Q130" s="4">
        <f t="shared" si="18"/>
        <v>223.57999999999998</v>
      </c>
      <c r="R130" s="4">
        <f t="shared" si="19"/>
        <v>239.54999999999998</v>
      </c>
      <c r="S130" s="4">
        <f t="shared" si="20"/>
        <v>255.51999999999998</v>
      </c>
      <c r="T130" s="4">
        <f t="shared" si="21"/>
        <v>287.45999999999998</v>
      </c>
      <c r="U130" s="4">
        <f t="shared" si="22"/>
        <v>335.37</v>
      </c>
      <c r="V130" s="4">
        <f t="shared" si="23"/>
        <v>383.28</v>
      </c>
      <c r="W130" s="4">
        <f t="shared" si="24"/>
        <v>431.18999999999994</v>
      </c>
      <c r="X130" s="10"/>
      <c r="Y130" s="4">
        <f>L130*12</f>
        <v>338.07599999999996</v>
      </c>
      <c r="Z130" s="4">
        <f>L130*14</f>
        <v>394.42199999999997</v>
      </c>
      <c r="AA130" s="4">
        <f t="shared" si="25"/>
        <v>422.59499999999997</v>
      </c>
      <c r="AB130" s="4">
        <f>L130*16</f>
        <v>450.76799999999997</v>
      </c>
    </row>
    <row r="131" spans="1:28" x14ac:dyDescent="0.25">
      <c r="A131" s="3">
        <v>33511</v>
      </c>
      <c r="B131" s="23">
        <v>5.1100000000000003</v>
      </c>
      <c r="C131" s="23">
        <v>3.74</v>
      </c>
      <c r="D131" s="23">
        <v>3.1259999999999994</v>
      </c>
      <c r="E131" s="23"/>
      <c r="F131" s="23"/>
      <c r="G131" s="23"/>
      <c r="H131" s="24">
        <v>387.86</v>
      </c>
      <c r="I131" s="31">
        <v>6723.09</v>
      </c>
      <c r="J131" s="10"/>
      <c r="K131" s="36">
        <f t="shared" si="26"/>
        <v>17.82</v>
      </c>
      <c r="L131" s="36">
        <f t="shared" si="27"/>
        <v>30.094999999999999</v>
      </c>
      <c r="M131" s="18">
        <f t="shared" si="28"/>
        <v>21.765432098765434</v>
      </c>
      <c r="N131" s="18">
        <f t="shared" ref="N131:N142" si="29">H131/L131</f>
        <v>12.88785512543612</v>
      </c>
      <c r="O131" s="10"/>
      <c r="P131" s="4">
        <f t="shared" ref="P131:P142" si="30">K131*12</f>
        <v>213.84</v>
      </c>
      <c r="Q131" s="4">
        <f t="shared" ref="Q131:Q142" si="31">K131*14</f>
        <v>249.48000000000002</v>
      </c>
      <c r="R131" s="4">
        <f t="shared" ref="R131:R142" si="32">K131*15</f>
        <v>267.3</v>
      </c>
      <c r="S131" s="4">
        <f t="shared" ref="S131:S142" si="33">K131*16</f>
        <v>285.12</v>
      </c>
      <c r="T131" s="4">
        <f t="shared" ref="T131:T142" si="34">K131*18</f>
        <v>320.76</v>
      </c>
      <c r="U131" s="4">
        <f t="shared" ref="U131:U142" si="35">K131*21</f>
        <v>374.22</v>
      </c>
      <c r="V131" s="4">
        <f t="shared" ref="V131:V142" si="36">K131*24</f>
        <v>427.68</v>
      </c>
      <c r="W131" s="4">
        <f t="shared" ref="W131:W142" si="37">K131*27</f>
        <v>481.14</v>
      </c>
      <c r="X131" s="10"/>
      <c r="Y131" s="4">
        <f>L131*12</f>
        <v>361.14</v>
      </c>
      <c r="Z131" s="4">
        <f>L131*14</f>
        <v>421.33</v>
      </c>
      <c r="AA131" s="4">
        <f t="shared" ref="AA131:AA142" si="38">L131*15</f>
        <v>451.42499999999995</v>
      </c>
      <c r="AB131" s="4">
        <f>L131*16</f>
        <v>481.52</v>
      </c>
    </row>
    <row r="132" spans="1:28" x14ac:dyDescent="0.25">
      <c r="A132" s="3">
        <v>33419</v>
      </c>
      <c r="B132" s="23">
        <v>4.79</v>
      </c>
      <c r="C132" s="23">
        <v>4.54</v>
      </c>
      <c r="D132" s="23">
        <v>3.2429999999999999</v>
      </c>
      <c r="E132" s="23"/>
      <c r="F132" s="23"/>
      <c r="G132" s="23"/>
      <c r="H132" s="24">
        <v>371.16</v>
      </c>
      <c r="I132" s="31">
        <v>6685.13</v>
      </c>
      <c r="J132" s="10"/>
      <c r="K132" s="36">
        <f t="shared" si="26"/>
        <v>19.41</v>
      </c>
      <c r="L132" s="36">
        <f t="shared" si="27"/>
        <v>31.556999999999999</v>
      </c>
      <c r="M132" s="18">
        <f t="shared" si="28"/>
        <v>19.122102009273572</v>
      </c>
      <c r="N132" s="18">
        <f t="shared" si="29"/>
        <v>11.761574294134425</v>
      </c>
      <c r="O132" s="10"/>
      <c r="P132" s="4">
        <f t="shared" si="30"/>
        <v>232.92000000000002</v>
      </c>
      <c r="Q132" s="4">
        <f t="shared" si="31"/>
        <v>271.74</v>
      </c>
      <c r="R132" s="4">
        <f t="shared" si="32"/>
        <v>291.14999999999998</v>
      </c>
      <c r="S132" s="4">
        <f t="shared" si="33"/>
        <v>310.56</v>
      </c>
      <c r="T132" s="4">
        <f t="shared" si="34"/>
        <v>349.38</v>
      </c>
      <c r="U132" s="4">
        <f t="shared" si="35"/>
        <v>407.61</v>
      </c>
      <c r="V132" s="4">
        <f t="shared" si="36"/>
        <v>465.84000000000003</v>
      </c>
      <c r="W132" s="4">
        <f t="shared" si="37"/>
        <v>524.07000000000005</v>
      </c>
      <c r="X132" s="10"/>
      <c r="Y132" s="4">
        <f>L132*12</f>
        <v>378.68399999999997</v>
      </c>
      <c r="Z132" s="4">
        <f>L132*14</f>
        <v>441.798</v>
      </c>
      <c r="AA132" s="4">
        <f t="shared" si="38"/>
        <v>473.35499999999996</v>
      </c>
      <c r="AB132" s="4">
        <f>L132*16</f>
        <v>504.91199999999998</v>
      </c>
    </row>
    <row r="133" spans="1:28" x14ac:dyDescent="0.25">
      <c r="A133" s="3">
        <v>33328</v>
      </c>
      <c r="B133" s="23">
        <v>4.7699999999999996</v>
      </c>
      <c r="C133" s="23">
        <v>5.14</v>
      </c>
      <c r="D133" s="23">
        <v>2.7909999999999995</v>
      </c>
      <c r="E133" s="23"/>
      <c r="F133" s="23"/>
      <c r="G133" s="23"/>
      <c r="H133" s="24">
        <v>375.22</v>
      </c>
      <c r="I133" s="31">
        <v>6666.67</v>
      </c>
      <c r="J133" s="10"/>
      <c r="K133" s="36">
        <f t="shared" si="26"/>
        <v>20.939999999999998</v>
      </c>
      <c r="L133" s="36">
        <f t="shared" si="27"/>
        <v>33.050000000000004</v>
      </c>
      <c r="M133" s="18">
        <f t="shared" si="28"/>
        <v>17.91881566380134</v>
      </c>
      <c r="N133" s="18">
        <f t="shared" si="29"/>
        <v>11.353101361573373</v>
      </c>
      <c r="O133" s="10"/>
      <c r="P133" s="4">
        <f t="shared" si="30"/>
        <v>251.27999999999997</v>
      </c>
      <c r="Q133" s="4">
        <f t="shared" si="31"/>
        <v>293.15999999999997</v>
      </c>
      <c r="R133" s="4">
        <f t="shared" si="32"/>
        <v>314.09999999999997</v>
      </c>
      <c r="S133" s="4">
        <f t="shared" si="33"/>
        <v>335.03999999999996</v>
      </c>
      <c r="T133" s="4">
        <f t="shared" si="34"/>
        <v>376.91999999999996</v>
      </c>
      <c r="U133" s="4">
        <f t="shared" si="35"/>
        <v>439.73999999999995</v>
      </c>
      <c r="V133" s="4">
        <f t="shared" si="36"/>
        <v>502.55999999999995</v>
      </c>
      <c r="W133" s="4">
        <f t="shared" si="37"/>
        <v>565.37999999999988</v>
      </c>
      <c r="X133" s="10"/>
      <c r="Y133" s="4">
        <f>L133*12</f>
        <v>396.6</v>
      </c>
      <c r="Z133" s="4">
        <f>L133*14</f>
        <v>462.70000000000005</v>
      </c>
      <c r="AA133" s="4">
        <f t="shared" si="38"/>
        <v>495.75000000000006</v>
      </c>
      <c r="AB133" s="4">
        <f>L133*16</f>
        <v>528.80000000000007</v>
      </c>
    </row>
    <row r="134" spans="1:28" x14ac:dyDescent="0.25">
      <c r="A134" s="3">
        <v>33238</v>
      </c>
      <c r="B134" s="23">
        <v>5.01</v>
      </c>
      <c r="C134" s="23">
        <v>4.4000000000000004</v>
      </c>
      <c r="D134" s="23">
        <v>3.1150000000000002</v>
      </c>
      <c r="E134" s="23"/>
      <c r="F134" s="23"/>
      <c r="G134" s="23"/>
      <c r="H134" s="24">
        <v>330.22</v>
      </c>
      <c r="I134" s="31">
        <v>6647.01</v>
      </c>
      <c r="J134" s="10"/>
      <c r="K134" s="36">
        <f t="shared" si="26"/>
        <v>21.34</v>
      </c>
      <c r="L134" s="36">
        <f t="shared" si="27"/>
        <v>33.426000000000002</v>
      </c>
      <c r="M134" s="18">
        <f t="shared" si="28"/>
        <v>15.474226804123713</v>
      </c>
      <c r="N134" s="18">
        <f t="shared" si="29"/>
        <v>9.8791360019146772</v>
      </c>
      <c r="O134" s="10"/>
      <c r="P134" s="4">
        <f t="shared" si="30"/>
        <v>256.08</v>
      </c>
      <c r="Q134" s="4">
        <f t="shared" si="31"/>
        <v>298.76</v>
      </c>
      <c r="R134" s="4">
        <f t="shared" si="32"/>
        <v>320.10000000000002</v>
      </c>
      <c r="S134" s="4">
        <f t="shared" si="33"/>
        <v>341.44</v>
      </c>
      <c r="T134" s="4">
        <f t="shared" si="34"/>
        <v>384.12</v>
      </c>
      <c r="U134" s="4">
        <f t="shared" si="35"/>
        <v>448.14</v>
      </c>
      <c r="V134" s="4">
        <f t="shared" si="36"/>
        <v>512.16</v>
      </c>
      <c r="W134" s="4">
        <f t="shared" si="37"/>
        <v>576.17999999999995</v>
      </c>
      <c r="X134" s="10"/>
      <c r="Y134" s="4">
        <f>L134*12</f>
        <v>401.11200000000002</v>
      </c>
      <c r="Z134" s="4">
        <f>L134*14</f>
        <v>467.96400000000006</v>
      </c>
      <c r="AA134" s="4">
        <f t="shared" si="38"/>
        <v>501.39000000000004</v>
      </c>
      <c r="AB134" s="4">
        <f>L134*16</f>
        <v>534.81600000000003</v>
      </c>
    </row>
    <row r="135" spans="1:28" x14ac:dyDescent="0.25">
      <c r="A135" s="3">
        <v>33146</v>
      </c>
      <c r="B135" s="23">
        <v>5.97</v>
      </c>
      <c r="C135" s="23">
        <v>5.33</v>
      </c>
      <c r="D135" s="23">
        <v>2.9980000000000002</v>
      </c>
      <c r="E135" s="23"/>
      <c r="F135" s="23"/>
      <c r="G135" s="23"/>
      <c r="H135" s="24">
        <v>306.05</v>
      </c>
      <c r="I135" s="31">
        <v>6653.1</v>
      </c>
      <c r="J135" s="10"/>
      <c r="K135" s="36">
        <f t="shared" si="26"/>
        <v>21.740000000000002</v>
      </c>
      <c r="L135" s="36">
        <f t="shared" si="27"/>
        <v>33.573999999999998</v>
      </c>
      <c r="M135" s="18">
        <f t="shared" si="28"/>
        <v>14.077736890524378</v>
      </c>
      <c r="N135" s="18">
        <f t="shared" si="29"/>
        <v>9.1156847560612384</v>
      </c>
      <c r="O135" s="10"/>
      <c r="P135" s="4">
        <f t="shared" si="30"/>
        <v>260.88</v>
      </c>
      <c r="Q135" s="4">
        <f t="shared" si="31"/>
        <v>304.36</v>
      </c>
      <c r="R135" s="4">
        <f t="shared" si="32"/>
        <v>326.10000000000002</v>
      </c>
      <c r="S135" s="4">
        <f t="shared" si="33"/>
        <v>347.84000000000003</v>
      </c>
      <c r="T135" s="4">
        <f t="shared" si="34"/>
        <v>391.32000000000005</v>
      </c>
      <c r="U135" s="4">
        <f t="shared" si="35"/>
        <v>456.54</v>
      </c>
      <c r="V135" s="4">
        <f t="shared" si="36"/>
        <v>521.76</v>
      </c>
      <c r="W135" s="4">
        <f t="shared" si="37"/>
        <v>586.98</v>
      </c>
      <c r="X135" s="10"/>
      <c r="Y135" s="4">
        <f>L135*12</f>
        <v>402.88799999999998</v>
      </c>
      <c r="Z135" s="4">
        <f>L135*14</f>
        <v>470.03599999999994</v>
      </c>
      <c r="AA135" s="4">
        <f t="shared" si="38"/>
        <v>503.60999999999996</v>
      </c>
      <c r="AB135" s="4">
        <f>L135*16</f>
        <v>537.18399999999997</v>
      </c>
    </row>
    <row r="136" spans="1:28" x14ac:dyDescent="0.25">
      <c r="A136" s="3">
        <v>33054</v>
      </c>
      <c r="B136" s="23">
        <v>6.06</v>
      </c>
      <c r="C136" s="23">
        <v>6.07</v>
      </c>
      <c r="D136" s="23">
        <v>3.206</v>
      </c>
      <c r="E136" s="23"/>
      <c r="F136" s="23"/>
      <c r="G136" s="23"/>
      <c r="H136" s="24">
        <v>358.02</v>
      </c>
      <c r="I136" s="31">
        <v>6656.02</v>
      </c>
      <c r="J136" s="10"/>
      <c r="K136" s="36">
        <f t="shared" ref="K136:K142" si="39">SUM(C136:C139)</f>
        <v>21.259999999999998</v>
      </c>
      <c r="L136" s="36">
        <f t="shared" ref="L136:L142" si="40">SUM(C136:D139)</f>
        <v>32.922999999999995</v>
      </c>
      <c r="M136" s="18">
        <f t="shared" ref="M136:M142" si="41">H136/K136</f>
        <v>16.840075258701788</v>
      </c>
      <c r="N136" s="18">
        <f t="shared" si="29"/>
        <v>10.874464659964159</v>
      </c>
      <c r="O136" s="10"/>
      <c r="P136" s="4">
        <f t="shared" si="30"/>
        <v>255.11999999999998</v>
      </c>
      <c r="Q136" s="4">
        <f t="shared" si="31"/>
        <v>297.64</v>
      </c>
      <c r="R136" s="4">
        <f t="shared" si="32"/>
        <v>318.89999999999998</v>
      </c>
      <c r="S136" s="4">
        <f t="shared" si="33"/>
        <v>340.15999999999997</v>
      </c>
      <c r="T136" s="4">
        <f t="shared" si="34"/>
        <v>382.67999999999995</v>
      </c>
      <c r="U136" s="4">
        <f t="shared" si="35"/>
        <v>446.46</v>
      </c>
      <c r="V136" s="4">
        <f t="shared" si="36"/>
        <v>510.23999999999995</v>
      </c>
      <c r="W136" s="4">
        <f t="shared" si="37"/>
        <v>574.02</v>
      </c>
      <c r="X136" s="10"/>
      <c r="Y136" s="4">
        <f>L136*12</f>
        <v>395.07599999999991</v>
      </c>
      <c r="Z136" s="4">
        <f>L136*14</f>
        <v>460.92199999999991</v>
      </c>
      <c r="AA136" s="4">
        <f t="shared" si="38"/>
        <v>493.84499999999991</v>
      </c>
      <c r="AB136" s="4">
        <f>L136*16</f>
        <v>526.76799999999992</v>
      </c>
    </row>
    <row r="137" spans="1:28" x14ac:dyDescent="0.25">
      <c r="A137" s="3">
        <v>32963</v>
      </c>
      <c r="B137" s="23">
        <v>5.61</v>
      </c>
      <c r="C137" s="23">
        <v>5.54</v>
      </c>
      <c r="D137" s="23">
        <v>2.7669999999999999</v>
      </c>
      <c r="E137" s="23"/>
      <c r="F137" s="23"/>
      <c r="G137" s="23"/>
      <c r="H137" s="24">
        <v>339.94</v>
      </c>
      <c r="I137" s="31">
        <v>6669.89</v>
      </c>
      <c r="J137" s="10"/>
      <c r="K137" s="36">
        <f t="shared" si="39"/>
        <v>21.67</v>
      </c>
      <c r="L137" s="36">
        <f t="shared" si="40"/>
        <v>32.988</v>
      </c>
      <c r="M137" s="18">
        <f t="shared" si="41"/>
        <v>15.687125057683431</v>
      </c>
      <c r="N137" s="18">
        <f t="shared" si="29"/>
        <v>10.304959379168183</v>
      </c>
      <c r="O137" s="10"/>
      <c r="P137" s="4">
        <f t="shared" si="30"/>
        <v>260.04000000000002</v>
      </c>
      <c r="Q137" s="4">
        <f t="shared" si="31"/>
        <v>303.38</v>
      </c>
      <c r="R137" s="4">
        <f t="shared" si="32"/>
        <v>325.05</v>
      </c>
      <c r="S137" s="4">
        <f t="shared" si="33"/>
        <v>346.72</v>
      </c>
      <c r="T137" s="4">
        <f t="shared" si="34"/>
        <v>390.06000000000006</v>
      </c>
      <c r="U137" s="4">
        <f t="shared" si="35"/>
        <v>455.07000000000005</v>
      </c>
      <c r="V137" s="4">
        <f t="shared" si="36"/>
        <v>520.08000000000004</v>
      </c>
      <c r="W137" s="4">
        <f t="shared" si="37"/>
        <v>585.09</v>
      </c>
      <c r="X137" s="10"/>
      <c r="Y137" s="4">
        <f>L137*12</f>
        <v>395.85599999999999</v>
      </c>
      <c r="Z137" s="4">
        <f>L137*14</f>
        <v>461.83199999999999</v>
      </c>
      <c r="AA137" s="4">
        <f t="shared" si="38"/>
        <v>494.82</v>
      </c>
      <c r="AB137" s="4">
        <f>L137*16</f>
        <v>527.80799999999999</v>
      </c>
    </row>
    <row r="138" spans="1:28" x14ac:dyDescent="0.25">
      <c r="A138" s="3">
        <v>32873</v>
      </c>
      <c r="B138" s="23">
        <v>5.84</v>
      </c>
      <c r="C138" s="23">
        <v>4.8</v>
      </c>
      <c r="D138" s="23">
        <v>2.863</v>
      </c>
      <c r="E138" s="23"/>
      <c r="F138" s="23"/>
      <c r="G138" s="23"/>
      <c r="H138" s="24">
        <v>353.4</v>
      </c>
      <c r="I138" s="31">
        <v>6697.81</v>
      </c>
      <c r="J138" s="10"/>
      <c r="K138" s="36">
        <f t="shared" si="39"/>
        <v>22.869999999999997</v>
      </c>
      <c r="L138" s="36">
        <f t="shared" si="40"/>
        <v>33.924999999999997</v>
      </c>
      <c r="M138" s="18">
        <f t="shared" si="41"/>
        <v>15.452557936160909</v>
      </c>
      <c r="N138" s="18">
        <f t="shared" si="29"/>
        <v>10.417096536477525</v>
      </c>
      <c r="O138" s="10"/>
      <c r="P138" s="4">
        <f t="shared" si="30"/>
        <v>274.43999999999994</v>
      </c>
      <c r="Q138" s="4">
        <f t="shared" si="31"/>
        <v>320.17999999999995</v>
      </c>
      <c r="R138" s="4">
        <f t="shared" si="32"/>
        <v>343.04999999999995</v>
      </c>
      <c r="S138" s="4">
        <f t="shared" si="33"/>
        <v>365.91999999999996</v>
      </c>
      <c r="T138" s="4">
        <f t="shared" si="34"/>
        <v>411.65999999999997</v>
      </c>
      <c r="U138" s="4">
        <f t="shared" si="35"/>
        <v>480.26999999999992</v>
      </c>
      <c r="V138" s="4">
        <f t="shared" si="36"/>
        <v>548.87999999999988</v>
      </c>
      <c r="W138" s="4">
        <f t="shared" si="37"/>
        <v>617.4899999999999</v>
      </c>
      <c r="X138" s="10"/>
      <c r="Y138" s="4">
        <f>L138*12</f>
        <v>407.09999999999997</v>
      </c>
      <c r="Z138" s="4">
        <f>L138*14</f>
        <v>474.94999999999993</v>
      </c>
      <c r="AA138" s="4">
        <f t="shared" si="38"/>
        <v>508.87499999999994</v>
      </c>
      <c r="AB138" s="4">
        <f>L138*16</f>
        <v>542.79999999999995</v>
      </c>
    </row>
    <row r="139" spans="1:28" x14ac:dyDescent="0.25">
      <c r="A139" s="3">
        <v>32781</v>
      </c>
      <c r="B139" s="23">
        <v>5.54</v>
      </c>
      <c r="C139" s="23">
        <v>4.8499999999999996</v>
      </c>
      <c r="D139" s="23">
        <v>2.827</v>
      </c>
      <c r="E139" s="23"/>
      <c r="F139" s="23"/>
      <c r="G139" s="23"/>
      <c r="H139" s="24">
        <v>349.15</v>
      </c>
      <c r="I139" s="31">
        <v>6684.33</v>
      </c>
      <c r="J139" s="10"/>
      <c r="K139" s="36">
        <f t="shared" si="39"/>
        <v>23.69</v>
      </c>
      <c r="L139" s="36">
        <f t="shared" si="40"/>
        <v>34.423999999999999</v>
      </c>
      <c r="M139" s="18">
        <f t="shared" si="41"/>
        <v>14.73828619670747</v>
      </c>
      <c r="N139" s="18">
        <f t="shared" si="29"/>
        <v>10.142633046711596</v>
      </c>
      <c r="O139" s="10"/>
      <c r="P139" s="4">
        <f t="shared" si="30"/>
        <v>284.28000000000003</v>
      </c>
      <c r="Q139" s="4">
        <f t="shared" si="31"/>
        <v>331.66</v>
      </c>
      <c r="R139" s="4">
        <f t="shared" si="32"/>
        <v>355.35</v>
      </c>
      <c r="S139" s="4">
        <f t="shared" si="33"/>
        <v>379.04</v>
      </c>
      <c r="T139" s="4">
        <f t="shared" si="34"/>
        <v>426.42</v>
      </c>
      <c r="U139" s="4">
        <f t="shared" si="35"/>
        <v>497.49</v>
      </c>
      <c r="V139" s="4">
        <f t="shared" si="36"/>
        <v>568.56000000000006</v>
      </c>
      <c r="W139" s="4">
        <f t="shared" si="37"/>
        <v>639.63</v>
      </c>
      <c r="X139" s="10"/>
      <c r="Y139" s="4">
        <f>L139*12</f>
        <v>413.08799999999997</v>
      </c>
      <c r="Z139" s="4">
        <f>L139*14</f>
        <v>481.93599999999998</v>
      </c>
      <c r="AA139" s="4">
        <f t="shared" si="38"/>
        <v>516.36</v>
      </c>
      <c r="AB139" s="4">
        <f>L139*16</f>
        <v>550.78399999999999</v>
      </c>
    </row>
    <row r="140" spans="1:28" x14ac:dyDescent="0.25">
      <c r="A140" s="3">
        <v>32689</v>
      </c>
      <c r="B140" s="23">
        <v>6.53</v>
      </c>
      <c r="C140" s="23">
        <v>6.48</v>
      </c>
      <c r="D140" s="23">
        <v>2.8609999999999998</v>
      </c>
      <c r="E140" s="23"/>
      <c r="F140" s="23"/>
      <c r="G140" s="23"/>
      <c r="H140" s="24">
        <v>317.98</v>
      </c>
      <c r="I140" s="31">
        <v>6723.45</v>
      </c>
      <c r="J140" s="10"/>
      <c r="K140" s="36">
        <f t="shared" si="39"/>
        <v>25.22</v>
      </c>
      <c r="L140" s="36">
        <f t="shared" si="40"/>
        <v>35.588000000000001</v>
      </c>
      <c r="M140" s="18">
        <f t="shared" si="41"/>
        <v>12.608247422680414</v>
      </c>
      <c r="N140" s="18">
        <f t="shared" si="29"/>
        <v>8.9350342812183889</v>
      </c>
      <c r="O140" s="10"/>
      <c r="P140" s="4">
        <f t="shared" si="30"/>
        <v>302.64</v>
      </c>
      <c r="Q140" s="4">
        <f t="shared" si="31"/>
        <v>353.08</v>
      </c>
      <c r="R140" s="4">
        <f t="shared" si="32"/>
        <v>378.29999999999995</v>
      </c>
      <c r="S140" s="4">
        <f t="shared" si="33"/>
        <v>403.52</v>
      </c>
      <c r="T140" s="4">
        <f t="shared" si="34"/>
        <v>453.96</v>
      </c>
      <c r="U140" s="4">
        <f t="shared" si="35"/>
        <v>529.62</v>
      </c>
      <c r="V140" s="4">
        <f t="shared" si="36"/>
        <v>605.28</v>
      </c>
      <c r="W140" s="4">
        <f t="shared" si="37"/>
        <v>680.93999999999994</v>
      </c>
      <c r="X140" s="10"/>
      <c r="Y140" s="4">
        <f>L140*12</f>
        <v>427.05600000000004</v>
      </c>
      <c r="Z140" s="4">
        <f>L140*14</f>
        <v>498.23200000000003</v>
      </c>
      <c r="AA140" s="4">
        <f t="shared" si="38"/>
        <v>533.82000000000005</v>
      </c>
      <c r="AB140" s="4">
        <f>L140*16</f>
        <v>569.40800000000002</v>
      </c>
    </row>
    <row r="141" spans="1:28" x14ac:dyDescent="0.25">
      <c r="A141" s="3">
        <v>32598</v>
      </c>
      <c r="B141" s="23">
        <v>6.41</v>
      </c>
      <c r="C141" s="23">
        <v>6.74</v>
      </c>
      <c r="D141" s="23">
        <v>2.5039999999999996</v>
      </c>
      <c r="E141" s="23"/>
      <c r="F141" s="23"/>
      <c r="G141" s="23"/>
      <c r="H141" s="24">
        <v>294.87</v>
      </c>
      <c r="I141" s="31">
        <v>6731.88</v>
      </c>
      <c r="J141" s="10"/>
      <c r="K141" s="36">
        <f t="shared" si="39"/>
        <v>24.959999999999997</v>
      </c>
      <c r="L141" s="36">
        <f t="shared" si="40"/>
        <v>34.970999999999997</v>
      </c>
      <c r="M141" s="18">
        <f t="shared" si="41"/>
        <v>11.813701923076925</v>
      </c>
      <c r="N141" s="18">
        <f t="shared" si="29"/>
        <v>8.4318435274942107</v>
      </c>
      <c r="O141" s="10"/>
      <c r="P141" s="4">
        <f t="shared" si="30"/>
        <v>299.52</v>
      </c>
      <c r="Q141" s="4">
        <f t="shared" si="31"/>
        <v>349.43999999999994</v>
      </c>
      <c r="R141" s="4">
        <f t="shared" si="32"/>
        <v>374.4</v>
      </c>
      <c r="S141" s="4">
        <f t="shared" si="33"/>
        <v>399.35999999999996</v>
      </c>
      <c r="T141" s="4">
        <f t="shared" si="34"/>
        <v>449.28</v>
      </c>
      <c r="U141" s="4">
        <f t="shared" si="35"/>
        <v>524.16</v>
      </c>
      <c r="V141" s="4">
        <f t="shared" si="36"/>
        <v>599.04</v>
      </c>
      <c r="W141" s="4">
        <f t="shared" si="37"/>
        <v>673.92</v>
      </c>
      <c r="X141" s="10"/>
      <c r="Y141" s="4">
        <f>L141*12</f>
        <v>419.65199999999993</v>
      </c>
      <c r="Z141" s="4">
        <f>L141*14</f>
        <v>489.59399999999994</v>
      </c>
      <c r="AA141" s="4">
        <f t="shared" si="38"/>
        <v>524.56499999999994</v>
      </c>
      <c r="AB141" s="4">
        <f>L141*16</f>
        <v>559.53599999999994</v>
      </c>
    </row>
    <row r="142" spans="1:28" x14ac:dyDescent="0.25">
      <c r="A142" s="3">
        <v>32508</v>
      </c>
      <c r="B142" s="23">
        <v>6.37</v>
      </c>
      <c r="C142" s="23">
        <v>5.62</v>
      </c>
      <c r="D142" s="23">
        <v>2.5419999999999998</v>
      </c>
      <c r="E142" s="23"/>
      <c r="F142" s="23"/>
      <c r="G142" s="23"/>
      <c r="H142" s="24">
        <v>277.72000000000003</v>
      </c>
      <c r="I142" s="31">
        <v>6829.56</v>
      </c>
      <c r="J142" s="10"/>
      <c r="K142" s="36">
        <f t="shared" si="39"/>
        <v>23.75</v>
      </c>
      <c r="L142" s="36">
        <f t="shared" si="40"/>
        <v>33.5</v>
      </c>
      <c r="M142" s="18">
        <f>H142/K142</f>
        <v>11.693473684210527</v>
      </c>
      <c r="N142" s="18">
        <f t="shared" si="29"/>
        <v>8.2901492537313448</v>
      </c>
      <c r="O142" s="10"/>
      <c r="P142" s="4">
        <f t="shared" si="30"/>
        <v>285</v>
      </c>
      <c r="Q142" s="4">
        <f t="shared" si="31"/>
        <v>332.5</v>
      </c>
      <c r="R142" s="4">
        <f t="shared" si="32"/>
        <v>356.25</v>
      </c>
      <c r="S142" s="4">
        <f t="shared" si="33"/>
        <v>380</v>
      </c>
      <c r="T142" s="4">
        <f t="shared" si="34"/>
        <v>427.5</v>
      </c>
      <c r="U142" s="4">
        <f t="shared" si="35"/>
        <v>498.75</v>
      </c>
      <c r="V142" s="4">
        <f t="shared" si="36"/>
        <v>570</v>
      </c>
      <c r="W142" s="4">
        <f t="shared" si="37"/>
        <v>641.25</v>
      </c>
      <c r="X142" s="10"/>
      <c r="Y142" s="4">
        <f>L142*12</f>
        <v>402</v>
      </c>
      <c r="Z142" s="4">
        <f>L142*14</f>
        <v>469</v>
      </c>
      <c r="AA142" s="4">
        <f t="shared" si="38"/>
        <v>502.5</v>
      </c>
      <c r="AB142" s="4">
        <f>L142*16</f>
        <v>536</v>
      </c>
    </row>
    <row r="143" spans="1:28" x14ac:dyDescent="0.25">
      <c r="A143" s="3">
        <v>32416</v>
      </c>
      <c r="B143" s="23">
        <v>6.22</v>
      </c>
      <c r="C143" s="23">
        <v>6.38</v>
      </c>
      <c r="D143" s="23">
        <v>2.4609999999999999</v>
      </c>
      <c r="E143" s="23"/>
      <c r="F143" s="23"/>
      <c r="G143" s="23"/>
      <c r="H143" s="24">
        <v>271.91000000000003</v>
      </c>
      <c r="I143" s="31">
        <v>6930.89</v>
      </c>
      <c r="J143" s="10"/>
      <c r="K143" s="37"/>
      <c r="O143" s="10"/>
      <c r="X143" s="10"/>
    </row>
    <row r="144" spans="1:28" x14ac:dyDescent="0.25">
      <c r="A144" s="3">
        <v>32324</v>
      </c>
      <c r="B144" s="23">
        <v>6.05</v>
      </c>
      <c r="C144" s="23">
        <v>6.22</v>
      </c>
      <c r="D144" s="23">
        <v>2.504</v>
      </c>
      <c r="E144" s="23"/>
      <c r="F144" s="23"/>
      <c r="G144" s="23"/>
      <c r="H144" s="24">
        <v>273.5</v>
      </c>
      <c r="I144" s="31">
        <v>6956.73</v>
      </c>
      <c r="J144" s="10"/>
      <c r="K144" s="37"/>
      <c r="O144" s="10"/>
      <c r="X144" s="10"/>
    </row>
    <row r="145" spans="1:24" x14ac:dyDescent="0.25">
      <c r="A145" s="3">
        <v>32233</v>
      </c>
      <c r="B145" s="23">
        <v>5.48</v>
      </c>
      <c r="C145" s="23">
        <v>5.53</v>
      </c>
      <c r="D145" s="23">
        <v>2.2430000000000003</v>
      </c>
      <c r="E145" s="23"/>
      <c r="F145" s="23"/>
      <c r="G145" s="23"/>
      <c r="H145" s="24">
        <v>258.89</v>
      </c>
      <c r="I145" s="31">
        <v>6977.4</v>
      </c>
      <c r="J145" s="10"/>
      <c r="K145" s="37"/>
      <c r="O145" s="10"/>
      <c r="X145" s="10"/>
    </row>
  </sheetData>
  <pageMargins left="0.7" right="0.7" top="0.75" bottom="0.75" header="0.3" footer="0.3"/>
  <ignoredErrors>
    <ignoredError sqref="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4BF8-0F3C-4D9B-BEB3-E1F6CD5545CA}">
  <dimension ref="A2:AC38"/>
  <sheetViews>
    <sheetView workbookViewId="0">
      <selection activeCell="L42" sqref="L42"/>
    </sheetView>
  </sheetViews>
  <sheetFormatPr defaultRowHeight="15" x14ac:dyDescent="0.25"/>
  <sheetData>
    <row r="2" spans="1:29" x14ac:dyDescent="0.25">
      <c r="A2" s="1" t="s">
        <v>25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</sheetData>
  <mergeCells count="1">
    <mergeCell ref="A2:AC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Chart-Quarterly</vt:lpstr>
      <vt:lpstr>Earnings-Quarterly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2022-10-18T16:36:44Z</dcterms:modified>
</cp:coreProperties>
</file>