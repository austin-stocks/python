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ACI\"/>
    </mc:Choice>
  </mc:AlternateContent>
  <xr:revisionPtr revIDLastSave="0" documentId="13_ncr:1_{A53910D6-71F1-4DE6-8264-2797CD436849}" xr6:coauthVersionLast="44" xr6:coauthVersionMax="44" xr10:uidLastSave="{00000000-0000-0000-0000-000000000000}"/>
  <bookViews>
    <workbookView xWindow="-120" yWindow="-120" windowWidth="29040" windowHeight="17640" activeTab="3" xr2:uid="{F98A321D-054F-4E15-8CB7-25CD69C64E8D}"/>
  </bookViews>
  <sheets>
    <sheet name="User_Data" sheetId="2" r:id="rId1"/>
    <sheet name="ACI_Input" sheetId="1" r:id="rId2"/>
    <sheet name="Daily_Market_Action" sheetId="24" r:id="rId3"/>
    <sheet name="Trend_Following_Returns" sheetId="26" r:id="rId4"/>
    <sheet name="Progress_in_AD_Ratings" sheetId="27" r:id="rId5"/>
    <sheet name="Market_Factors" sheetId="28" r:id="rId6"/>
    <sheet name="Market_Action" sheetId="21" r:id="rId7"/>
    <sheet name="ACI_Input_Backup" sheetId="23" r:id="rId8"/>
    <sheet name="Market_Action_Backup" sheetId="22" r:id="rId9"/>
    <sheet name="Daily_Market_Action_Backup" sheetId="25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58" i="1" l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7" i="1"/>
  <c r="V36" i="1"/>
  <c r="V35" i="1"/>
  <c r="V39" i="1"/>
  <c r="V38" i="1"/>
  <c r="J6" i="27" l="1"/>
  <c r="J7" i="27"/>
  <c r="J8" i="27"/>
  <c r="J9" i="27"/>
  <c r="J5" i="27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2" i="1"/>
</calcChain>
</file>

<file path=xl/sharedStrings.xml><?xml version="1.0" encoding="utf-8"?>
<sst xmlns="http://schemas.openxmlformats.org/spreadsheetml/2006/main" count="252" uniqueCount="134">
  <si>
    <t>Date</t>
  </si>
  <si>
    <t>Day_of_the_week</t>
  </si>
  <si>
    <t>Trading_day_of_the_year</t>
  </si>
  <si>
    <t>Nas_Closing</t>
  </si>
  <si>
    <t>Nas_IBD_Change</t>
  </si>
  <si>
    <t>Nas_Calculated_Change</t>
  </si>
  <si>
    <t>Nas_Daily_Volume</t>
  </si>
  <si>
    <t>----</t>
  </si>
  <si>
    <t>UPTREND</t>
  </si>
  <si>
    <t>DOWNTREND</t>
  </si>
  <si>
    <t>Major Accumulation</t>
  </si>
  <si>
    <t>Minor Accumulation</t>
  </si>
  <si>
    <t>Major Distribution</t>
  </si>
  <si>
    <t>#</t>
  </si>
  <si>
    <t>Close</t>
  </si>
  <si>
    <t>Index % Change</t>
  </si>
  <si>
    <t>Volume % Change</t>
  </si>
  <si>
    <t>Current Trend Day Count</t>
  </si>
  <si>
    <r>
      <t xml:space="preserve">MARKET ACTION (Nasdaq) OVER THE LAST </t>
    </r>
    <r>
      <rPr>
        <b/>
        <u/>
        <sz val="16"/>
        <color rgb="FF000000"/>
        <rFont val="Arial"/>
        <family val="2"/>
      </rPr>
      <t>20 DAYS</t>
    </r>
  </si>
  <si>
    <t>(For a full explanation of the terms in  this table see end of this newsletter</t>
  </si>
  <si>
    <r>
      <t xml:space="preserve">Index % </t>
    </r>
    <r>
      <rPr>
        <b/>
        <sz val="9"/>
        <color rgb="FF000000"/>
        <rFont val="Arial"/>
        <family val="2"/>
      </rPr>
      <t>Change</t>
    </r>
  </si>
  <si>
    <r>
      <t xml:space="preserve">Volume % </t>
    </r>
    <r>
      <rPr>
        <b/>
        <sz val="9"/>
        <color rgb="FF000000"/>
        <rFont val="Arial"/>
        <family val="2"/>
      </rPr>
      <t>Chang</t>
    </r>
    <r>
      <rPr>
        <b/>
        <sz val="10"/>
        <color rgb="FF000000"/>
        <rFont val="Arial"/>
        <family val="2"/>
      </rPr>
      <t>e</t>
    </r>
  </si>
  <si>
    <t xml:space="preserve">Type of Day: Accumulation, Distribution or </t>
  </si>
  <si>
    <t>Neither (—)</t>
  </si>
  <si>
    <r>
      <t>CONSISTENT WITH</t>
    </r>
    <r>
      <rPr>
        <b/>
        <sz val="9"/>
        <color rgb="FF000000"/>
        <rFont val="Arial"/>
        <family val="2"/>
      </rPr>
      <t xml:space="preserve">: </t>
    </r>
    <r>
      <rPr>
        <b/>
        <sz val="10"/>
        <color rgb="FF000000"/>
        <rFont val="Arial"/>
        <family val="2"/>
      </rPr>
      <t>UPTREND OR DOWNTREND?</t>
    </r>
  </si>
  <si>
    <t>––</t>
  </si>
  <si>
    <t xml:space="preserve">Minor accumulation </t>
  </si>
  <si>
    <r>
      <t xml:space="preserve">“Consistent with” Uptrend or Downtrend: On a </t>
    </r>
    <r>
      <rPr>
        <u/>
        <sz val="11"/>
        <color rgb="FF000000"/>
        <rFont val="Arial"/>
        <family val="2"/>
      </rPr>
      <t>rising day with lower volume</t>
    </r>
    <r>
      <rPr>
        <sz val="11"/>
        <color rgb="FF000000"/>
        <rFont val="Arial"/>
        <family val="2"/>
      </rPr>
      <t xml:space="preserve"> (see 4/13 for example), the lower volume says the market isn’t supportive of the rise in price.  Thus, the right-most column labeled the day “DOWNTREND” which means the Nasdaq’s price-volume action was </t>
    </r>
    <r>
      <rPr>
        <u/>
        <sz val="11"/>
        <color rgb="FF000000"/>
        <rFont val="Arial"/>
        <family val="2"/>
      </rPr>
      <t xml:space="preserve">consistent with a market Downtrend. </t>
    </r>
  </si>
  <si>
    <t>DAILY MARKET ACTION</t>
  </si>
  <si>
    <t>Index Close</t>
  </si>
  <si>
    <t>Volume vs 50-day Avg.</t>
  </si>
  <si>
    <t>Accumulation or Distribution Day?</t>
  </si>
  <si>
    <r>
      <t>YOUR GAIN</t>
    </r>
    <r>
      <rPr>
        <b/>
        <sz val="9"/>
        <color rgb="FF000000"/>
        <rFont val="Arial"/>
        <family val="2"/>
      </rPr>
      <t xml:space="preserve"> from Buying the index on 4/3 (New Uptrend)</t>
    </r>
  </si>
  <si>
    <t>Nasdaq</t>
  </si>
  <si>
    <t>Neither</t>
  </si>
  <si>
    <t>S&amp;P500</t>
  </si>
  <si>
    <t xml:space="preserve">NYSE </t>
  </si>
  <si>
    <t>Volume</t>
  </si>
  <si>
    <t>DJIA</t>
  </si>
  <si>
    <t>Current_Uptrend_Start_Date</t>
  </si>
  <si>
    <t>Current_Downtrend_Start_Date</t>
  </si>
  <si>
    <t>Current_Trend</t>
  </si>
  <si>
    <t>Uptrend_Start_Date</t>
  </si>
  <si>
    <t>Downtrend_Start_Date</t>
  </si>
  <si>
    <t>Dates</t>
  </si>
  <si>
    <t>Leaders_UP</t>
  </si>
  <si>
    <t>Leaders_Down</t>
  </si>
  <si>
    <t>NASDAQ_IBD_Change</t>
  </si>
  <si>
    <t>NASDAQ_Calculated_Change</t>
  </si>
  <si>
    <t>NASDAQ_Daily_Volume</t>
  </si>
  <si>
    <t>NASDAQ_Daily_Close</t>
  </si>
  <si>
    <t>SPY_Daily_Close</t>
  </si>
  <si>
    <t>DJIA_Daily_Close</t>
  </si>
  <si>
    <t>Minor Distribution</t>
  </si>
  <si>
    <t>NYSE_Daily_Volume</t>
  </si>
  <si>
    <t>ARMCHAIR INVESTOR TREND-FOLLOWING RETURNS</t>
  </si>
  <si>
    <t>All Trades In 2020</t>
  </si>
  <si>
    <t>Market Direction Signal Change</t>
  </si>
  <si>
    <t>Direction</t>
  </si>
  <si>
    <t>Action</t>
  </si>
  <si>
    <t># Days</t>
  </si>
  <si>
    <t>Price</t>
  </si>
  <si>
    <t>% GAIN Each Trend (See note)</t>
  </si>
  <si>
    <t>Armchair Investor GAIN In 2020</t>
  </si>
  <si>
    <t>Uptrend</t>
  </si>
  <si>
    <r>
      <t xml:space="preserve">Hold the </t>
    </r>
    <r>
      <rPr>
        <b/>
        <sz val="10"/>
        <color rgb="FF000000"/>
        <rFont val="Arial"/>
        <family val="2"/>
      </rPr>
      <t>QQQ</t>
    </r>
  </si>
  <si>
    <t>Uptrend under Pressure</t>
  </si>
  <si>
    <t>Sold QQQ at Open</t>
  </si>
  <si>
    <r>
      <t xml:space="preserve">Wait in </t>
    </r>
    <r>
      <rPr>
        <b/>
        <sz val="10"/>
        <color rgb="FF000000"/>
        <rFont val="Arial"/>
        <family val="2"/>
      </rPr>
      <t>CASH</t>
    </r>
  </si>
  <si>
    <t>Downtrend</t>
  </si>
  <si>
    <r>
      <t xml:space="preserve">Bot </t>
    </r>
    <r>
      <rPr>
        <b/>
        <sz val="10"/>
        <color rgb="FF000000"/>
        <rFont val="Arial"/>
        <family val="2"/>
      </rPr>
      <t>PSQ</t>
    </r>
    <r>
      <rPr>
        <sz val="10"/>
        <color rgb="FF000000"/>
        <rFont val="Arial"/>
        <family val="2"/>
      </rPr>
      <t xml:space="preserve"> at Open</t>
    </r>
  </si>
  <si>
    <t>Sold PSQ at Open</t>
  </si>
  <si>
    <r>
      <t xml:space="preserve">Wait in </t>
    </r>
    <r>
      <rPr>
        <b/>
        <sz val="10"/>
        <color theme="1"/>
        <rFont val="Arial"/>
        <family val="2"/>
      </rPr>
      <t>CASH</t>
    </r>
  </si>
  <si>
    <t>Bot QQQ at open</t>
  </si>
  <si>
    <t>End of Day</t>
  </si>
  <si>
    <r>
      <t>TOTAL</t>
    </r>
    <r>
      <rPr>
        <b/>
        <sz val="14"/>
        <color rgb="FF66FF99"/>
        <rFont val="Arial"/>
        <family val="2"/>
      </rPr>
      <t>.</t>
    </r>
    <r>
      <rPr>
        <b/>
        <sz val="14"/>
        <color rgb="FF000000"/>
        <rFont val="Arial"/>
        <family val="2"/>
      </rPr>
      <t xml:space="preserve">% Growth in 2020 : </t>
    </r>
    <r>
      <rPr>
        <b/>
        <sz val="14"/>
        <color rgb="FF66FF99"/>
        <rFont val="Arial"/>
        <family val="2"/>
      </rPr>
      <t>.</t>
    </r>
  </si>
  <si>
    <t>QQQ_Daily_Close</t>
  </si>
  <si>
    <r>
      <t xml:space="preserve">PROGRESS IN </t>
    </r>
    <r>
      <rPr>
        <b/>
        <sz val="14"/>
        <color rgb="FF000000"/>
        <rFont val="Arial"/>
        <family val="2"/>
      </rPr>
      <t>ACCUMULATION/DISTRIBUTION RATINGS</t>
    </r>
  </si>
  <si>
    <t>A</t>
  </si>
  <si>
    <t>B</t>
  </si>
  <si>
    <t>C</t>
  </si>
  <si>
    <t>D</t>
  </si>
  <si>
    <t>E</t>
  </si>
  <si>
    <t>As + Bs</t>
  </si>
  <si>
    <t>4 weeks ago</t>
  </si>
  <si>
    <t>3 weeks ago</t>
  </si>
  <si>
    <t>2 weeks ago</t>
  </si>
  <si>
    <t>1 week ago</t>
  </si>
  <si>
    <t>Today</t>
  </si>
  <si>
    <t># stocks in each rating:</t>
  </si>
  <si>
    <t>Stocks_with_AD_Rating_A</t>
  </si>
  <si>
    <t>Stocks_with_AD_Rating_B</t>
  </si>
  <si>
    <t>Stocks_with_AD_Rating_C</t>
  </si>
  <si>
    <t>Stocks_with_AD_Rating_D</t>
  </si>
  <si>
    <t>Stocks_with_AD_Rating_E</t>
  </si>
  <si>
    <t>Stocks_with_AD_Rating_Total</t>
  </si>
  <si>
    <t xml:space="preserve">MARKET FACTORS, COUNTS &amp; RATINGS </t>
  </si>
  <si>
    <r>
      <t xml:space="preserve">Type of Day for </t>
    </r>
    <r>
      <rPr>
        <b/>
        <u/>
        <sz val="9"/>
        <color rgb="FF000000"/>
        <rFont val="Arial"/>
        <family val="2"/>
      </rPr>
      <t>Nasdaq Index</t>
    </r>
  </si>
  <si>
    <t>Accumulation, Distribution or Neither</t>
  </si>
  <si>
    <r>
      <t xml:space="preserve">I track the </t>
    </r>
    <r>
      <rPr>
        <u/>
        <sz val="8"/>
        <color rgb="FF000000"/>
        <rFont val="Arial"/>
        <family val="2"/>
      </rPr>
      <t>Nasdaq's</t>
    </r>
    <r>
      <rPr>
        <sz val="8"/>
        <color rgb="FF000000"/>
        <rFont val="Arial"/>
        <family val="2"/>
      </rPr>
      <t xml:space="preserve"> price-volume because it usually leads the market direction.</t>
    </r>
  </si>
  <si>
    <t>Market Direction</t>
  </si>
  <si>
    <t xml:space="preserve">Uptrend  </t>
  </si>
  <si>
    <t>Uptrend, Under Pressure, Downtrend</t>
  </si>
  <si>
    <r>
      <t>Nasdaq</t>
    </r>
    <r>
      <rPr>
        <b/>
        <sz val="10"/>
        <color rgb="FF000000"/>
        <rFont val="Arial"/>
        <family val="2"/>
      </rPr>
      <t xml:space="preserve"> Accumulation &amp; Distribution Days (last </t>
    </r>
    <r>
      <rPr>
        <b/>
        <u/>
        <sz val="10"/>
        <color rgb="FF000000"/>
        <rFont val="Arial"/>
        <family val="2"/>
      </rPr>
      <t>20 days</t>
    </r>
    <r>
      <rPr>
        <b/>
        <sz val="10"/>
        <color rgb="FF000000"/>
        <rFont val="Arial"/>
        <family val="2"/>
      </rPr>
      <t>)</t>
    </r>
  </si>
  <si>
    <t>Accumulation Days</t>
  </si>
  <si>
    <t>Distribution Days</t>
  </si>
  <si>
    <r>
      <t xml:space="preserve">Only accumulation and distribution days </t>
    </r>
    <r>
      <rPr>
        <u/>
        <sz val="9"/>
        <color rgb="FF000000"/>
        <rFont val="Arial"/>
        <family val="2"/>
      </rPr>
      <t>since the last market direction change</t>
    </r>
    <r>
      <rPr>
        <sz val="9"/>
        <color rgb="FF000000"/>
        <rFont val="Arial"/>
        <family val="2"/>
      </rPr>
      <t xml:space="preserve"> are in this count.</t>
    </r>
  </si>
  <si>
    <t>FYI: IBD uses 25 days for their distribution count. I've found the last 20 days to be most relevant. Thus, we don't always match.</t>
  </si>
  <si>
    <t>Count of Up Days and Down Days</t>
  </si>
  <si>
    <t xml:space="preserve"> Up Days</t>
  </si>
  <si>
    <t>Down Days</t>
  </si>
  <si>
    <r>
      <t xml:space="preserve"> Nasdaq's last </t>
    </r>
    <r>
      <rPr>
        <u/>
        <sz val="9"/>
        <color rgb="FF000000"/>
        <rFont val="Arial"/>
        <family val="2"/>
      </rPr>
      <t>10-days</t>
    </r>
    <r>
      <rPr>
        <sz val="9"/>
        <color rgb="FF000000"/>
        <rFont val="Arial"/>
        <family val="2"/>
      </rPr>
      <t>' price movement</t>
    </r>
  </si>
  <si>
    <t xml:space="preserve">Only days that move at least + or - 0.2% are included in the Up/Down count which does not always, therefore, add up to 10 days. </t>
  </si>
  <si>
    <t xml:space="preserve">Rising/Falling Ratio of Leader Stocks with High Volume </t>
  </si>
  <si>
    <t xml:space="preserve">Nasdaq 10-day ratio </t>
  </si>
  <si>
    <t>This indicator looks at the HEALTH of leading stocks (high RS rating) with strong financials (high EPS rating)</t>
  </si>
  <si>
    <t xml:space="preserve">Uptrend indicator: 1.5 or higher.   Neutral: 1.0 to 1.49.   Downtrend: less than 1.0 </t>
  </si>
  <si>
    <t xml:space="preserve">Market  Accumulation/Distribution Ratings </t>
  </si>
  <si>
    <t>"A": heavy accumulation, "B":  moderate accumulation, "C":  neutral,  "D":  moderate distribution,  "E":  heavy distribution.</t>
  </si>
  <si>
    <t>S&amp;P 500</t>
  </si>
  <si>
    <t>C+</t>
  </si>
  <si>
    <t>Accumulation = Institutions are BUYING, Distribution = Inst are SELLING</t>
  </si>
  <si>
    <t>B-</t>
  </si>
  <si>
    <t>* To answer the question sent to me by several of you:</t>
  </si>
  <si>
    <t>On Friday 5/16, IBD listed the DJIA Acc/Dist rating as a D+. On Monday it jumped to B. Monday did not show price-volume action that seemed to justify the jump. Nor does its extended under-performance of the other indexes seem to justify bring its rating  up to the other indexes.  I'll ask IBD and relay what answer they give. (Perhaps a new, updated formula was implemented?) </t>
  </si>
  <si>
    <t>Are Major Indexes Above or Below Moving Averages?</t>
  </si>
  <si>
    <t>50-Day</t>
  </si>
  <si>
    <t>200-Day</t>
  </si>
  <si>
    <t xml:space="preserve">           Nasdaq    </t>
  </si>
  <si>
    <t>Above</t>
  </si>
  <si>
    <r>
      <t xml:space="preserve">"At" is within 1% above or below the moving average.    </t>
    </r>
    <r>
      <rPr>
        <b/>
        <sz val="9"/>
        <color rgb="FF000000"/>
        <rFont val="Arial"/>
        <family val="2"/>
      </rPr>
      <t xml:space="preserve">             S&amp;P 500</t>
    </r>
  </si>
  <si>
    <t>Below</t>
  </si>
  <si>
    <t xml:space="preserve">    NYSE</t>
  </si>
  <si>
    <t>Latest_Date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</si>
</sst>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m/d;@"/>
  </numFmts>
  <fonts count="36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6"/>
      <color rgb="FF000000"/>
      <name val="Arial"/>
      <family val="2"/>
    </font>
    <font>
      <b/>
      <u/>
      <sz val="16"/>
      <color rgb="FF000000"/>
      <name val="Arial"/>
      <family val="2"/>
    </font>
    <font>
      <b/>
      <sz val="11"/>
      <color rgb="FF000000"/>
      <name val="Arial"/>
      <family val="2"/>
    </font>
    <font>
      <b/>
      <u/>
      <sz val="9"/>
      <color rgb="FF000000"/>
      <name val="Arial"/>
      <family val="2"/>
    </font>
    <font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4"/>
      <color rgb="FF000000"/>
      <name val="Arial"/>
      <family val="2"/>
    </font>
    <font>
      <b/>
      <sz val="14"/>
      <color rgb="FF66FF99"/>
      <name val="Arial"/>
      <family val="2"/>
    </font>
    <font>
      <b/>
      <sz val="9"/>
      <color theme="1"/>
      <name val="Arial"/>
      <family val="2"/>
    </font>
    <font>
      <i/>
      <sz val="10"/>
      <color theme="1"/>
      <name val="Arial"/>
      <family val="2"/>
    </font>
    <font>
      <b/>
      <sz val="12"/>
      <color rgb="FF000000"/>
      <name val="Arial"/>
      <family val="2"/>
    </font>
    <font>
      <sz val="8"/>
      <color rgb="FF000000"/>
      <name val="Arial"/>
      <family val="2"/>
    </font>
    <font>
      <u/>
      <sz val="8"/>
      <color rgb="FF000000"/>
      <name val="Arial"/>
      <family val="2"/>
    </font>
    <font>
      <b/>
      <u/>
      <sz val="10"/>
      <color rgb="FF000000"/>
      <name val="Arial"/>
      <family val="2"/>
    </font>
    <font>
      <b/>
      <sz val="9"/>
      <color rgb="FFFFFFFF"/>
      <name val="Arial"/>
      <family val="2"/>
    </font>
    <font>
      <u/>
      <sz val="9"/>
      <color rgb="FF000000"/>
      <name val="Arial"/>
      <family val="2"/>
    </font>
    <font>
      <sz val="8"/>
      <color theme="1"/>
      <name val="Arial"/>
      <family val="2"/>
    </font>
    <font>
      <b/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1B8FF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9999"/>
        <bgColor indexed="64"/>
      </patternFill>
    </fill>
  </fills>
  <borders count="35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/>
      <top style="medium">
        <color rgb="FFE0E4E9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B7DEE8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1">
    <xf numFmtId="0" fontId="0" fillId="0" borderId="0" xfId="0"/>
    <xf numFmtId="0" fontId="0" fillId="2" borderId="0" xfId="0" applyFill="1"/>
    <xf numFmtId="14" fontId="0" fillId="0" borderId="0" xfId="0" applyNumberFormat="1"/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0" xfId="0" applyNumberFormat="1"/>
    <xf numFmtId="1" fontId="0" fillId="0" borderId="3" xfId="1" applyNumberFormat="1" applyFont="1" applyBorder="1" applyProtection="1">
      <protection locked="0"/>
    </xf>
    <xf numFmtId="1" fontId="0" fillId="0" borderId="0" xfId="1" applyNumberFormat="1" applyFont="1" applyProtection="1">
      <protection locked="0"/>
    </xf>
    <xf numFmtId="1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 applyAlignment="1">
      <alignment wrapText="1"/>
    </xf>
    <xf numFmtId="1" fontId="2" fillId="0" borderId="0" xfId="1" applyNumberFormat="1" applyFont="1" applyProtection="1">
      <protection locked="0"/>
    </xf>
    <xf numFmtId="0" fontId="8" fillId="7" borderId="10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11" fillId="9" borderId="8" xfId="0" applyNumberFormat="1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10" fontId="11" fillId="10" borderId="8" xfId="0" applyNumberFormat="1" applyFont="1" applyFill="1" applyBorder="1" applyAlignment="1">
      <alignment horizontal="center" vertical="center" wrapText="1"/>
    </xf>
    <xf numFmtId="10" fontId="11" fillId="9" borderId="8" xfId="0" applyNumberFormat="1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10" fontId="11" fillId="3" borderId="12" xfId="0" applyNumberFormat="1" applyFont="1" applyFill="1" applyBorder="1" applyAlignment="1">
      <alignment horizontal="center" vertical="center" wrapText="1"/>
    </xf>
    <xf numFmtId="0" fontId="11" fillId="10" borderId="8" xfId="0" applyFont="1" applyFill="1" applyBorder="1" applyAlignment="1">
      <alignment horizontal="center" vertical="center" wrapText="1"/>
    </xf>
    <xf numFmtId="10" fontId="11" fillId="11" borderId="8" xfId="0" applyNumberFormat="1" applyFont="1" applyFill="1" applyBorder="1" applyAlignment="1">
      <alignment horizontal="center" vertical="center" wrapText="1"/>
    </xf>
    <xf numFmtId="10" fontId="11" fillId="4" borderId="12" xfId="0" applyNumberFormat="1" applyFont="1" applyFill="1" applyBorder="1" applyAlignment="1">
      <alignment horizontal="center" vertical="center" wrapText="1"/>
    </xf>
    <xf numFmtId="10" fontId="11" fillId="4" borderId="13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10" fontId="13" fillId="5" borderId="8" xfId="0" applyNumberFormat="1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10" fontId="11" fillId="4" borderId="8" xfId="0" applyNumberFormat="1" applyFont="1" applyFill="1" applyBorder="1" applyAlignment="1">
      <alignment horizontal="center" vertical="center" wrapText="1"/>
    </xf>
    <xf numFmtId="10" fontId="11" fillId="3" borderId="8" xfId="0" applyNumberFormat="1" applyFont="1" applyFill="1" applyBorder="1" applyAlignment="1">
      <alignment horizontal="center" vertical="center" wrapText="1"/>
    </xf>
    <xf numFmtId="14" fontId="11" fillId="9" borderId="7" xfId="0" applyNumberFormat="1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10" fontId="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4" borderId="8" xfId="0" applyFont="1" applyFill="1" applyBorder="1" applyAlignment="1">
      <alignment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11" fillId="4" borderId="8" xfId="0" quotePrefix="1" applyFont="1" applyFill="1" applyBorder="1" applyAlignment="1">
      <alignment horizontal="center" vertical="center" wrapText="1"/>
    </xf>
    <xf numFmtId="0" fontId="11" fillId="10" borderId="8" xfId="0" quotePrefix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14" fontId="8" fillId="12" borderId="9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0" fontId="9" fillId="13" borderId="8" xfId="0" applyFont="1" applyFill="1" applyBorder="1" applyAlignment="1">
      <alignment horizontal="center" vertical="center" wrapText="1"/>
    </xf>
    <xf numFmtId="0" fontId="6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10" fontId="8" fillId="10" borderId="8" xfId="0" applyNumberFormat="1" applyFont="1" applyFill="1" applyBorder="1" applyAlignment="1">
      <alignment horizontal="center" vertical="center" wrapText="1"/>
    </xf>
    <xf numFmtId="10" fontId="8" fillId="9" borderId="8" xfId="0" applyNumberFormat="1" applyFont="1" applyFill="1" applyBorder="1" applyAlignment="1">
      <alignment horizontal="center" vertical="center" wrapText="1"/>
    </xf>
    <xf numFmtId="10" fontId="8" fillId="11" borderId="8" xfId="0" applyNumberFormat="1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10" fontId="8" fillId="3" borderId="10" xfId="0" applyNumberFormat="1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horizontal="right" vertical="center"/>
    </xf>
    <xf numFmtId="0" fontId="12" fillId="14" borderId="8" xfId="0" applyFont="1" applyFill="1" applyBorder="1" applyAlignment="1">
      <alignment vertical="center"/>
    </xf>
    <xf numFmtId="10" fontId="19" fillId="5" borderId="8" xfId="0" applyNumberFormat="1" applyFont="1" applyFill="1" applyBorder="1" applyAlignment="1">
      <alignment horizontal="center" vertical="center"/>
    </xf>
    <xf numFmtId="10" fontId="8" fillId="3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20" fillId="0" borderId="0" xfId="0" applyNumberFormat="1" applyFont="1" applyAlignment="1">
      <alignment wrapText="1"/>
    </xf>
    <xf numFmtId="49" fontId="20" fillId="2" borderId="0" xfId="0" applyNumberFormat="1" applyFont="1" applyFill="1" applyAlignment="1">
      <alignment wrapText="1"/>
    </xf>
    <xf numFmtId="14" fontId="20" fillId="0" borderId="0" xfId="0" applyNumberFormat="1" applyFont="1"/>
    <xf numFmtId="0" fontId="20" fillId="0" borderId="0" xfId="0" applyFont="1"/>
    <xf numFmtId="0" fontId="20" fillId="2" borderId="0" xfId="0" applyFont="1" applyFill="1"/>
    <xf numFmtId="49" fontId="20" fillId="0" borderId="0" xfId="0" applyNumberFormat="1" applyFont="1" applyBorder="1" applyAlignment="1">
      <alignment horizontal="center" wrapText="1"/>
    </xf>
    <xf numFmtId="49" fontId="20" fillId="0" borderId="0" xfId="0" applyNumberFormat="1" applyFont="1" applyAlignment="1">
      <alignment horizontal="center" wrapText="1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0" xfId="0" applyNumberFormat="1" applyFont="1" applyFill="1" applyBorder="1" applyAlignment="1">
      <alignment horizontal="center" vertical="center"/>
    </xf>
    <xf numFmtId="2" fontId="20" fillId="0" borderId="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2" fontId="20" fillId="0" borderId="0" xfId="0" applyNumberFormat="1" applyFont="1" applyBorder="1" applyAlignment="1">
      <alignment horizontal="center"/>
    </xf>
    <xf numFmtId="0" fontId="11" fillId="12" borderId="9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 wrapText="1"/>
    </xf>
    <xf numFmtId="0" fontId="11" fillId="12" borderId="11" xfId="0" applyFont="1" applyFill="1" applyBorder="1" applyAlignment="1">
      <alignment horizontal="center" vertical="center"/>
    </xf>
    <xf numFmtId="14" fontId="12" fillId="12" borderId="23" xfId="0" applyNumberFormat="1" applyFont="1" applyFill="1" applyBorder="1" applyAlignment="1">
      <alignment horizontal="center" vertical="center" wrapText="1"/>
    </xf>
    <xf numFmtId="0" fontId="8" fillId="15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 vertical="center"/>
    </xf>
    <xf numFmtId="8" fontId="12" fillId="9" borderId="11" xfId="0" applyNumberFormat="1" applyFont="1" applyFill="1" applyBorder="1" applyAlignment="1">
      <alignment horizontal="center" vertical="center"/>
    </xf>
    <xf numFmtId="10" fontId="12" fillId="15" borderId="11" xfId="0" applyNumberFormat="1" applyFont="1" applyFill="1" applyBorder="1" applyAlignment="1">
      <alignment horizontal="center" vertical="center"/>
    </xf>
    <xf numFmtId="10" fontId="8" fillId="15" borderId="13" xfId="0" applyNumberFormat="1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 wrapText="1"/>
    </xf>
    <xf numFmtId="14" fontId="12" fillId="12" borderId="23" xfId="0" applyNumberFormat="1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14" fontId="15" fillId="12" borderId="23" xfId="0" applyNumberFormat="1" applyFont="1" applyFill="1" applyBorder="1" applyAlignment="1">
      <alignment horizontal="center" vertical="center"/>
    </xf>
    <xf numFmtId="0" fontId="15" fillId="15" borderId="11" xfId="0" applyFont="1" applyFill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8" fontId="15" fillId="9" borderId="11" xfId="0" applyNumberFormat="1" applyFont="1" applyFill="1" applyBorder="1" applyAlignment="1">
      <alignment horizontal="center" vertical="center"/>
    </xf>
    <xf numFmtId="10" fontId="15" fillId="15" borderId="11" xfId="0" applyNumberFormat="1" applyFont="1" applyFill="1" applyBorder="1" applyAlignment="1">
      <alignment horizontal="center" vertical="center"/>
    </xf>
    <xf numFmtId="10" fontId="5" fillId="15" borderId="13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17" fillId="9" borderId="6" xfId="0" applyFont="1" applyFill="1" applyBorder="1" applyAlignment="1">
      <alignment vertical="center"/>
    </xf>
    <xf numFmtId="0" fontId="17" fillId="9" borderId="12" xfId="0" applyFont="1" applyFill="1" applyBorder="1" applyAlignment="1">
      <alignment vertical="center"/>
    </xf>
    <xf numFmtId="10" fontId="3" fillId="9" borderId="13" xfId="0" applyNumberFormat="1" applyFont="1" applyFill="1" applyBorder="1" applyAlignment="1">
      <alignment horizontal="center" vertical="center"/>
    </xf>
    <xf numFmtId="1" fontId="20" fillId="0" borderId="0" xfId="1" applyNumberFormat="1" applyFont="1" applyBorder="1" applyAlignment="1" applyProtection="1">
      <alignment horizontal="center"/>
      <protection locked="0"/>
    </xf>
    <xf numFmtId="1" fontId="20" fillId="0" borderId="0" xfId="0" applyNumberFormat="1" applyFont="1" applyBorder="1" applyAlignment="1">
      <alignment horizontal="center"/>
    </xf>
    <xf numFmtId="0" fontId="12" fillId="9" borderId="20" xfId="0" applyFont="1" applyFill="1" applyBorder="1" applyAlignment="1">
      <alignment horizontal="right" vertical="center" indent="1"/>
    </xf>
    <xf numFmtId="0" fontId="9" fillId="12" borderId="9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9" fontId="8" fillId="15" borderId="8" xfId="0" applyNumberFormat="1" applyFont="1" applyFill="1" applyBorder="1" applyAlignment="1">
      <alignment horizontal="center" vertical="center"/>
    </xf>
    <xf numFmtId="9" fontId="8" fillId="16" borderId="8" xfId="0" applyNumberFormat="1" applyFont="1" applyFill="1" applyBorder="1" applyAlignment="1">
      <alignment horizontal="center" vertical="center"/>
    </xf>
    <xf numFmtId="9" fontId="8" fillId="9" borderId="8" xfId="0" applyNumberFormat="1" applyFont="1" applyFill="1" applyBorder="1" applyAlignment="1">
      <alignment horizontal="center" vertical="center" wrapText="1"/>
    </xf>
    <xf numFmtId="9" fontId="8" fillId="16" borderId="8" xfId="0" applyNumberFormat="1" applyFont="1" applyFill="1" applyBorder="1" applyAlignment="1">
      <alignment horizontal="center" vertical="center" wrapText="1"/>
    </xf>
    <xf numFmtId="9" fontId="8" fillId="15" borderId="11" xfId="0" applyNumberFormat="1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164" fontId="9" fillId="9" borderId="8" xfId="0" applyNumberFormat="1" applyFont="1" applyFill="1" applyBorder="1" applyAlignment="1">
      <alignment horizontal="center" vertical="center"/>
    </xf>
    <xf numFmtId="164" fontId="8" fillId="9" borderId="8" xfId="0" applyNumberFormat="1" applyFont="1" applyFill="1" applyBorder="1" applyAlignment="1">
      <alignment horizontal="center" vertical="center"/>
    </xf>
    <xf numFmtId="164" fontId="8" fillId="9" borderId="12" xfId="0" applyNumberFormat="1" applyFont="1" applyFill="1" applyBorder="1" applyAlignment="1">
      <alignment horizontal="center" vertical="center"/>
    </xf>
    <xf numFmtId="1" fontId="27" fillId="0" borderId="0" xfId="0" applyNumberFormat="1" applyFont="1" applyBorder="1" applyProtection="1">
      <protection locked="0"/>
    </xf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1" fontId="20" fillId="0" borderId="0" xfId="0" applyNumberFormat="1" applyFont="1"/>
    <xf numFmtId="0" fontId="18" fillId="6" borderId="16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 wrapText="1"/>
    </xf>
    <xf numFmtId="0" fontId="18" fillId="6" borderId="18" xfId="0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 vertical="center" wrapText="1"/>
    </xf>
    <xf numFmtId="0" fontId="5" fillId="12" borderId="19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9" xfId="0" applyFont="1" applyFill="1" applyBorder="1" applyAlignment="1">
      <alignment horizontal="center" vertical="center" wrapText="1"/>
    </xf>
    <xf numFmtId="10" fontId="19" fillId="5" borderId="15" xfId="0" applyNumberFormat="1" applyFont="1" applyFill="1" applyBorder="1" applyAlignment="1">
      <alignment horizontal="center" vertical="center" wrapText="1"/>
    </xf>
    <xf numFmtId="10" fontId="19" fillId="5" borderId="19" xfId="0" applyNumberFormat="1" applyFont="1" applyFill="1" applyBorder="1" applyAlignment="1">
      <alignment horizontal="center" vertical="center" wrapText="1"/>
    </xf>
    <xf numFmtId="10" fontId="8" fillId="3" borderId="15" xfId="0" applyNumberFormat="1" applyFont="1" applyFill="1" applyBorder="1" applyAlignment="1">
      <alignment horizontal="center" vertical="center" wrapText="1"/>
    </xf>
    <xf numFmtId="10" fontId="8" fillId="3" borderId="19" xfId="0" applyNumberFormat="1" applyFont="1" applyFill="1" applyBorder="1" applyAlignment="1">
      <alignment horizontal="center" vertical="center" wrapText="1"/>
    </xf>
    <xf numFmtId="10" fontId="8" fillId="9" borderId="15" xfId="0" applyNumberFormat="1" applyFont="1" applyFill="1" applyBorder="1" applyAlignment="1">
      <alignment horizontal="center" vertical="center" wrapText="1"/>
    </xf>
    <xf numFmtId="10" fontId="8" fillId="9" borderId="19" xfId="0" applyNumberFormat="1" applyFont="1" applyFill="1" applyBorder="1" applyAlignment="1">
      <alignment horizontal="center" vertical="center" wrapText="1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0" fontId="24" fillId="15" borderId="30" xfId="0" applyFont="1" applyFill="1" applyBorder="1" applyAlignment="1">
      <alignment horizontal="right" vertical="center" wrapText="1"/>
    </xf>
    <xf numFmtId="0" fontId="24" fillId="15" borderId="31" xfId="0" applyFont="1" applyFill="1" applyBorder="1" applyAlignment="1">
      <alignment horizontal="right" vertical="center" wrapText="1"/>
    </xf>
    <xf numFmtId="0" fontId="24" fillId="15" borderId="29" xfId="0" applyFont="1" applyFill="1" applyBorder="1" applyAlignment="1">
      <alignment horizontal="right" vertical="center" wrapText="1"/>
    </xf>
    <xf numFmtId="14" fontId="12" fillId="12" borderId="15" xfId="0" applyNumberFormat="1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center" vertical="center"/>
    </xf>
    <xf numFmtId="0" fontId="12" fillId="15" borderId="27" xfId="0" applyFont="1" applyFill="1" applyBorder="1" applyAlignment="1">
      <alignment horizontal="center" vertical="center" wrapText="1"/>
    </xf>
    <xf numFmtId="0" fontId="12" fillId="15" borderId="25" xfId="0" applyFont="1" applyFill="1" applyBorder="1" applyAlignment="1">
      <alignment horizontal="center" vertical="center" wrapText="1"/>
    </xf>
    <xf numFmtId="0" fontId="12" fillId="9" borderId="27" xfId="0" applyFont="1" applyFill="1" applyBorder="1" applyAlignment="1">
      <alignment horizontal="center" vertical="center"/>
    </xf>
    <xf numFmtId="0" fontId="12" fillId="9" borderId="25" xfId="0" applyFont="1" applyFill="1" applyBorder="1" applyAlignment="1">
      <alignment horizontal="center" vertical="center"/>
    </xf>
    <xf numFmtId="8" fontId="12" fillId="9" borderId="27" xfId="0" applyNumberFormat="1" applyFont="1" applyFill="1" applyBorder="1" applyAlignment="1">
      <alignment horizontal="center" vertical="center"/>
    </xf>
    <xf numFmtId="8" fontId="12" fillId="9" borderId="25" xfId="0" applyNumberFormat="1" applyFont="1" applyFill="1" applyBorder="1" applyAlignment="1">
      <alignment horizontal="center" vertical="center"/>
    </xf>
    <xf numFmtId="10" fontId="12" fillId="9" borderId="27" xfId="0" applyNumberFormat="1" applyFont="1" applyFill="1" applyBorder="1" applyAlignment="1">
      <alignment horizontal="center" vertical="center"/>
    </xf>
    <xf numFmtId="10" fontId="12" fillId="9" borderId="25" xfId="0" applyNumberFormat="1" applyFont="1" applyFill="1" applyBorder="1" applyAlignment="1">
      <alignment horizontal="center" vertical="center"/>
    </xf>
    <xf numFmtId="10" fontId="8" fillId="15" borderId="27" xfId="0" applyNumberFormat="1" applyFont="1" applyFill="1" applyBorder="1" applyAlignment="1">
      <alignment horizontal="center" vertical="center"/>
    </xf>
    <xf numFmtId="10" fontId="8" fillId="15" borderId="25" xfId="0" applyNumberFormat="1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20" fillId="0" borderId="27" xfId="0" applyNumberFormat="1" applyFont="1" applyBorder="1" applyAlignment="1">
      <alignment horizontal="center" vertical="center"/>
    </xf>
    <xf numFmtId="10" fontId="20" fillId="0" borderId="25" xfId="0" applyNumberFormat="1" applyFont="1" applyBorder="1" applyAlignment="1">
      <alignment horizontal="center" vertical="center"/>
    </xf>
    <xf numFmtId="0" fontId="18" fillId="6" borderId="16" xfId="0" applyFont="1" applyFill="1" applyBorder="1" applyAlignment="1">
      <alignment horizontal="center" vertical="center"/>
    </xf>
    <xf numFmtId="0" fontId="18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vertical="center" wrapText="1"/>
    </xf>
    <xf numFmtId="0" fontId="15" fillId="8" borderId="5" xfId="0" applyFont="1" applyFill="1" applyBorder="1" applyAlignment="1">
      <alignment vertical="center" wrapText="1"/>
    </xf>
    <xf numFmtId="0" fontId="15" fillId="8" borderId="1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8" fillId="7" borderId="15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9" fillId="7" borderId="1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9" fontId="8" fillId="16" borderId="11" xfId="0" applyNumberFormat="1" applyFont="1" applyFill="1" applyBorder="1" applyAlignment="1">
      <alignment horizontal="center" vertical="center"/>
    </xf>
    <xf numFmtId="9" fontId="8" fillId="16" borderId="13" xfId="0" applyNumberFormat="1" applyFont="1" applyFill="1" applyBorder="1" applyAlignment="1">
      <alignment horizontal="center" vertical="center"/>
    </xf>
    <xf numFmtId="9" fontId="8" fillId="15" borderId="8" xfId="0" applyNumberFormat="1" applyFont="1" applyFill="1" applyBorder="1" applyAlignment="1">
      <alignment horizontal="center" vertical="center" wrapText="1"/>
    </xf>
    <xf numFmtId="9" fontId="8" fillId="15" borderId="12" xfId="0" applyNumberFormat="1" applyFont="1" applyFill="1" applyBorder="1" applyAlignment="1">
      <alignment horizontal="center" vertical="center"/>
    </xf>
    <xf numFmtId="0" fontId="24" fillId="6" borderId="16" xfId="0" applyFont="1" applyFill="1" applyBorder="1" applyAlignment="1">
      <alignment horizontal="center" vertical="center"/>
    </xf>
    <xf numFmtId="0" fontId="24" fillId="6" borderId="17" xfId="0" applyFont="1" applyFill="1" applyBorder="1" applyAlignment="1">
      <alignment horizontal="center" vertical="center"/>
    </xf>
    <xf numFmtId="14" fontId="5" fillId="6" borderId="32" xfId="0" applyNumberFormat="1" applyFont="1" applyFill="1" applyBorder="1" applyAlignment="1">
      <alignment horizontal="center" vertical="center"/>
    </xf>
    <xf numFmtId="0" fontId="9" fillId="14" borderId="33" xfId="0" applyFont="1" applyFill="1" applyBorder="1" applyAlignment="1">
      <alignment horizontal="center" vertical="center" wrapText="1"/>
    </xf>
    <xf numFmtId="0" fontId="11" fillId="14" borderId="9" xfId="0" applyFont="1" applyFill="1" applyBorder="1" applyAlignment="1">
      <alignment horizontal="center" vertical="center" wrapText="1"/>
    </xf>
    <xf numFmtId="0" fontId="29" fillId="9" borderId="6" xfId="0" applyFont="1" applyFill="1" applyBorder="1" applyAlignment="1">
      <alignment vertical="center" wrapText="1"/>
    </xf>
    <xf numFmtId="0" fontId="5" fillId="9" borderId="7" xfId="0" applyFont="1" applyFill="1" applyBorder="1" applyAlignment="1">
      <alignment horizontal="center" vertical="center" wrapText="1"/>
    </xf>
    <xf numFmtId="0" fontId="5" fillId="9" borderId="8" xfId="0" applyFont="1" applyFill="1" applyBorder="1" applyAlignment="1">
      <alignment vertical="center" wrapText="1"/>
    </xf>
    <xf numFmtId="0" fontId="8" fillId="14" borderId="33" xfId="0" applyFont="1" applyFill="1" applyBorder="1" applyAlignment="1">
      <alignment horizontal="center" vertical="center" wrapText="1"/>
    </xf>
    <xf numFmtId="0" fontId="28" fillId="9" borderId="6" xfId="0" applyFont="1" applyFill="1" applyBorder="1" applyAlignment="1">
      <alignment horizontal="center" vertical="center" wrapText="1"/>
    </xf>
    <xf numFmtId="0" fontId="28" fillId="9" borderId="7" xfId="0" applyFont="1" applyFill="1" applyBorder="1" applyAlignment="1">
      <alignment horizontal="center" vertical="center" wrapText="1"/>
    </xf>
    <xf numFmtId="0" fontId="28" fillId="9" borderId="8" xfId="0" applyFont="1" applyFill="1" applyBorder="1" applyAlignment="1">
      <alignment horizontal="center" vertical="center" wrapText="1"/>
    </xf>
    <xf numFmtId="0" fontId="31" fillId="14" borderId="3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 wrapText="1"/>
    </xf>
    <xf numFmtId="0" fontId="32" fillId="5" borderId="8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9" borderId="8" xfId="0" applyFont="1" applyFill="1" applyBorder="1" applyAlignment="1">
      <alignment horizontal="center" vertical="center" wrapText="1"/>
    </xf>
    <xf numFmtId="0" fontId="29" fillId="9" borderId="6" xfId="0" applyFont="1" applyFill="1" applyBorder="1" applyAlignment="1">
      <alignment horizontal="center" vertical="center" wrapText="1"/>
    </xf>
    <xf numFmtId="0" fontId="9" fillId="9" borderId="7" xfId="0" applyFont="1" applyFill="1" applyBorder="1" applyAlignment="1">
      <alignment horizontal="center" vertical="center" wrapText="1"/>
    </xf>
    <xf numFmtId="0" fontId="8" fillId="14" borderId="14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11" fillId="14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/>
    </xf>
    <xf numFmtId="0" fontId="11" fillId="9" borderId="8" xfId="0" applyFont="1" applyFill="1" applyBorder="1" applyAlignment="1">
      <alignment horizontal="center" vertical="center"/>
    </xf>
    <xf numFmtId="0" fontId="8" fillId="14" borderId="34" xfId="0" applyFont="1" applyFill="1" applyBorder="1" applyAlignment="1">
      <alignment horizontal="center" vertical="center" wrapText="1"/>
    </xf>
    <xf numFmtId="0" fontId="35" fillId="9" borderId="34" xfId="0" applyFont="1" applyFill="1" applyBorder="1" applyAlignment="1">
      <alignment horizontal="center" vertical="center" wrapText="1"/>
    </xf>
    <xf numFmtId="0" fontId="8" fillId="14" borderId="15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9" fillId="11" borderId="32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8" fillId="14" borderId="33" xfId="0" applyFont="1" applyFill="1" applyBorder="1" applyAlignment="1">
      <alignment horizontal="center" vertical="center"/>
    </xf>
    <xf numFmtId="0" fontId="9" fillId="14" borderId="33" xfId="0" applyFont="1" applyFill="1" applyBorder="1" applyAlignment="1">
      <alignment horizontal="right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11" fillId="14" borderId="33" xfId="0" applyFont="1" applyFill="1" applyBorder="1" applyAlignment="1">
      <alignment horizontal="right" vertical="center" wrapText="1"/>
    </xf>
    <xf numFmtId="0" fontId="19" fillId="5" borderId="8" xfId="0" applyFont="1" applyFill="1" applyBorder="1" applyAlignment="1">
      <alignment horizontal="center" vertical="center" wrapText="1"/>
    </xf>
    <xf numFmtId="0" fontId="9" fillId="14" borderId="9" xfId="0" applyFont="1" applyFill="1" applyBorder="1" applyAlignment="1">
      <alignment horizontal="right" vertical="center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21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28" fillId="3" borderId="22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 wrapText="1"/>
    </xf>
    <xf numFmtId="0" fontId="13" fillId="9" borderId="6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vertical="center" wrapText="1"/>
    </xf>
    <xf numFmtId="0" fontId="11" fillId="9" borderId="3" xfId="0" applyFont="1" applyFill="1" applyBorder="1" applyAlignment="1">
      <alignment vertical="center" wrapText="1"/>
    </xf>
    <xf numFmtId="0" fontId="11" fillId="9" borderId="5" xfId="0" applyFont="1" applyFill="1" applyBorder="1" applyAlignment="1">
      <alignment vertical="center" wrapText="1"/>
    </xf>
    <xf numFmtId="0" fontId="11" fillId="9" borderId="6" xfId="0" applyFont="1" applyFill="1" applyBorder="1" applyAlignment="1">
      <alignment vertical="center" wrapText="1"/>
    </xf>
    <xf numFmtId="0" fontId="11" fillId="9" borderId="7" xfId="0" applyFont="1" applyFill="1" applyBorder="1" applyAlignment="1">
      <alignment vertical="center" wrapText="1"/>
    </xf>
    <xf numFmtId="0" fontId="11" fillId="9" borderId="8" xfId="0" applyFont="1" applyFill="1" applyBorder="1" applyAlignment="1">
      <alignment vertical="center" wrapText="1"/>
    </xf>
    <xf numFmtId="14" fontId="20" fillId="0" borderId="0" xfId="0" applyNumberFormat="1" applyFont="1" applyAlignment="1">
      <alignment wrapText="1"/>
    </xf>
    <xf numFmtId="14" fontId="12" fillId="9" borderId="20" xfId="0" applyNumberFormat="1" applyFont="1" applyFill="1" applyBorder="1" applyAlignment="1">
      <alignment horizontal="left" vertical="center" indent="1"/>
    </xf>
    <xf numFmtId="4" fontId="12" fillId="9" borderId="20" xfId="0" applyNumberFormat="1" applyFont="1" applyFill="1" applyBorder="1" applyAlignment="1">
      <alignment horizontal="right" vertical="center" indent="1"/>
    </xf>
  </cellXfs>
  <cellStyles count="2">
    <cellStyle name="Comma" xfId="1" builtinId="3"/>
    <cellStyle name="Normal" xfId="0" builtinId="0"/>
  </cellStyles>
  <dxfs count="14">
    <dxf>
      <fill>
        <patternFill patternType="solid">
          <bgColor theme="0"/>
        </patternFill>
      </fill>
    </dxf>
    <dxf>
      <fill>
        <patternFill>
          <bgColor rgb="FF66FF66"/>
        </patternFill>
      </fill>
    </dxf>
    <dxf>
      <font>
        <color auto="1"/>
      </font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CCFF33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CCFF33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9999"/>
      <color rgb="FF66FF99"/>
      <color rgb="FFCCFF33"/>
      <color rgb="FF66FF66"/>
      <color rgb="FF00FF00"/>
      <color rgb="FF33CC33"/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27DE-BEFA-4893-9020-6F4FB371A796}">
  <sheetPr codeName="Sheet1"/>
  <dimension ref="A1:B10"/>
  <sheetViews>
    <sheetView workbookViewId="0">
      <selection activeCell="B5" sqref="B5"/>
    </sheetView>
  </sheetViews>
  <sheetFormatPr defaultRowHeight="12" x14ac:dyDescent="0.2"/>
  <cols>
    <col min="1" max="1" width="37" customWidth="1"/>
    <col min="2" max="2" width="13.1640625" style="58" customWidth="1"/>
    <col min="3" max="3" width="11" customWidth="1"/>
  </cols>
  <sheetData>
    <row r="1" spans="1:2" x14ac:dyDescent="0.2">
      <c r="B1" s="58" t="s">
        <v>44</v>
      </c>
    </row>
    <row r="4" spans="1:2" x14ac:dyDescent="0.2">
      <c r="A4" t="s">
        <v>133</v>
      </c>
      <c r="B4" s="59">
        <v>43979</v>
      </c>
    </row>
    <row r="5" spans="1:2" x14ac:dyDescent="0.2">
      <c r="A5" t="s">
        <v>41</v>
      </c>
      <c r="B5" s="58" t="s">
        <v>8</v>
      </c>
    </row>
    <row r="6" spans="1:2" x14ac:dyDescent="0.2">
      <c r="A6" t="s">
        <v>39</v>
      </c>
      <c r="B6" s="59">
        <v>43936</v>
      </c>
    </row>
    <row r="7" spans="1:2" x14ac:dyDescent="0.2">
      <c r="A7" t="s">
        <v>40</v>
      </c>
      <c r="B7" s="59">
        <v>43912</v>
      </c>
    </row>
    <row r="9" spans="1:2" x14ac:dyDescent="0.2">
      <c r="A9" t="s">
        <v>42</v>
      </c>
    </row>
    <row r="10" spans="1:2" x14ac:dyDescent="0.2">
      <c r="A1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5F94D-CF8F-468A-A56C-C8BC074A6BFF}">
  <sheetPr codeName="Sheet2"/>
  <dimension ref="A1:V59"/>
  <sheetViews>
    <sheetView topLeftCell="A34" workbookViewId="0">
      <selection activeCell="N51" sqref="N51"/>
    </sheetView>
  </sheetViews>
  <sheetFormatPr defaultRowHeight="12.75" x14ac:dyDescent="0.2"/>
  <cols>
    <col min="1" max="1" width="12.1640625" style="62" bestFit="1" customWidth="1"/>
    <col min="2" max="2" width="13" style="63" customWidth="1"/>
    <col min="3" max="3" width="14.33203125" style="63" customWidth="1"/>
    <col min="4" max="5" width="9.33203125" style="63"/>
    <col min="6" max="6" width="2.83203125" style="64" customWidth="1"/>
    <col min="7" max="9" width="12.5" style="71" customWidth="1"/>
    <col min="10" max="10" width="14" style="71" customWidth="1"/>
    <col min="11" max="11" width="12.1640625" style="71" customWidth="1"/>
    <col min="12" max="12" width="13" style="70" customWidth="1"/>
    <col min="13" max="13" width="10.33203125" style="70" customWidth="1"/>
    <col min="14" max="14" width="16" style="101" customWidth="1"/>
    <col min="15" max="16" width="9.33203125" style="70"/>
    <col min="17" max="17" width="13" style="118" customWidth="1"/>
    <col min="18" max="21" width="9.33203125" style="119"/>
    <col min="22" max="16384" width="9.33203125" style="63"/>
  </cols>
  <sheetData>
    <row r="1" spans="1:22" s="60" customFormat="1" ht="58.5" customHeight="1" thickBot="1" x14ac:dyDescent="0.25">
      <c r="A1" s="248" t="s">
        <v>0</v>
      </c>
      <c r="B1" s="60" t="s">
        <v>1</v>
      </c>
      <c r="C1" s="60" t="s">
        <v>2</v>
      </c>
      <c r="F1" s="61"/>
      <c r="G1" s="65" t="s">
        <v>76</v>
      </c>
      <c r="H1" s="65" t="s">
        <v>51</v>
      </c>
      <c r="I1" s="65" t="s">
        <v>52</v>
      </c>
      <c r="J1" s="65" t="s">
        <v>54</v>
      </c>
      <c r="K1" s="65" t="s">
        <v>50</v>
      </c>
      <c r="L1" s="66" t="s">
        <v>47</v>
      </c>
      <c r="M1" s="66" t="s">
        <v>48</v>
      </c>
      <c r="N1" s="65" t="s">
        <v>49</v>
      </c>
      <c r="O1" s="66" t="s">
        <v>45</v>
      </c>
      <c r="P1" s="66" t="s">
        <v>46</v>
      </c>
      <c r="Q1" s="65" t="s">
        <v>90</v>
      </c>
      <c r="R1" s="65" t="s">
        <v>91</v>
      </c>
      <c r="S1" s="65" t="s">
        <v>92</v>
      </c>
      <c r="T1" s="65" t="s">
        <v>93</v>
      </c>
      <c r="U1" s="65" t="s">
        <v>94</v>
      </c>
      <c r="V1" s="60" t="s">
        <v>95</v>
      </c>
    </row>
    <row r="2" spans="1:22" ht="13.5" thickBot="1" x14ac:dyDescent="0.25">
      <c r="A2" s="62">
        <v>43934</v>
      </c>
      <c r="G2" s="102">
        <v>203.03</v>
      </c>
      <c r="H2" s="67">
        <v>2761.63</v>
      </c>
      <c r="I2" s="68">
        <v>23390.77</v>
      </c>
      <c r="J2" s="69">
        <v>5274</v>
      </c>
      <c r="K2" s="69">
        <v>8192.42</v>
      </c>
      <c r="N2" s="100">
        <v>3105</v>
      </c>
      <c r="Q2" s="117">
        <v>312</v>
      </c>
      <c r="R2" s="117">
        <v>1585</v>
      </c>
      <c r="S2" s="117">
        <v>1393</v>
      </c>
      <c r="T2" s="117">
        <v>1700</v>
      </c>
      <c r="U2" s="117">
        <v>1167</v>
      </c>
      <c r="V2" s="120">
        <f>SUM(Q2:U2)</f>
        <v>6157</v>
      </c>
    </row>
    <row r="3" spans="1:22" ht="13.5" thickBot="1" x14ac:dyDescent="0.25">
      <c r="A3" s="62">
        <v>43935</v>
      </c>
      <c r="G3" s="102">
        <v>211.86</v>
      </c>
      <c r="H3" s="67">
        <v>2846.06</v>
      </c>
      <c r="I3" s="67">
        <v>23949.759999999998</v>
      </c>
      <c r="J3" s="69">
        <v>5567</v>
      </c>
      <c r="K3" s="69">
        <v>8515.74</v>
      </c>
      <c r="N3" s="100">
        <v>3441</v>
      </c>
      <c r="Q3" s="117">
        <v>306</v>
      </c>
      <c r="R3" s="117">
        <v>1551</v>
      </c>
      <c r="S3" s="117">
        <v>1384</v>
      </c>
      <c r="T3" s="117">
        <v>1744</v>
      </c>
      <c r="U3" s="117">
        <v>1179</v>
      </c>
      <c r="V3" s="120">
        <f t="shared" ref="V3:V34" si="0">SUM(Q3:U3)</f>
        <v>6164</v>
      </c>
    </row>
    <row r="4" spans="1:22" ht="13.5" thickBot="1" x14ac:dyDescent="0.25">
      <c r="A4" s="62">
        <v>43936</v>
      </c>
      <c r="G4" s="102">
        <v>209.43</v>
      </c>
      <c r="H4" s="67">
        <v>2783.36</v>
      </c>
      <c r="I4" s="67">
        <v>23504.35</v>
      </c>
      <c r="J4" s="69">
        <v>5203</v>
      </c>
      <c r="K4" s="69">
        <v>8393.18</v>
      </c>
      <c r="N4" s="100">
        <v>3266</v>
      </c>
      <c r="Q4" s="117">
        <v>350</v>
      </c>
      <c r="R4" s="117">
        <v>1684</v>
      </c>
      <c r="S4" s="117">
        <v>1390</v>
      </c>
      <c r="T4" s="117">
        <v>1694</v>
      </c>
      <c r="U4" s="117">
        <v>1061</v>
      </c>
      <c r="V4" s="120">
        <f t="shared" si="0"/>
        <v>6179</v>
      </c>
    </row>
    <row r="5" spans="1:22" ht="13.5" thickBot="1" x14ac:dyDescent="0.25">
      <c r="A5" s="62">
        <v>43937</v>
      </c>
      <c r="G5" s="102">
        <v>213.25</v>
      </c>
      <c r="H5" s="67">
        <v>2799.55</v>
      </c>
      <c r="I5" s="67">
        <v>23537.68</v>
      </c>
      <c r="J5" s="69">
        <v>5179</v>
      </c>
      <c r="K5" s="69">
        <v>8532.36</v>
      </c>
      <c r="N5" s="100">
        <v>3659</v>
      </c>
      <c r="Q5" s="117">
        <v>326</v>
      </c>
      <c r="R5" s="117">
        <v>1590</v>
      </c>
      <c r="S5" s="117">
        <v>1368</v>
      </c>
      <c r="T5" s="117">
        <v>1720</v>
      </c>
      <c r="U5" s="117">
        <v>1153</v>
      </c>
      <c r="V5" s="120">
        <f t="shared" si="0"/>
        <v>6157</v>
      </c>
    </row>
    <row r="6" spans="1:22" ht="13.5" thickBot="1" x14ac:dyDescent="0.25">
      <c r="A6" s="62">
        <v>43938</v>
      </c>
      <c r="G6" s="102">
        <v>215.29</v>
      </c>
      <c r="H6" s="67">
        <v>2874.56</v>
      </c>
      <c r="I6" s="67">
        <v>24242.49</v>
      </c>
      <c r="J6" s="69">
        <v>5792</v>
      </c>
      <c r="K6" s="69">
        <v>8650.14</v>
      </c>
      <c r="N6" s="100">
        <v>4011</v>
      </c>
      <c r="Q6" s="117">
        <v>323</v>
      </c>
      <c r="R6" s="117">
        <v>1584</v>
      </c>
      <c r="S6" s="117">
        <v>1355</v>
      </c>
      <c r="T6" s="117">
        <v>1682</v>
      </c>
      <c r="U6" s="117">
        <v>1187</v>
      </c>
      <c r="V6" s="120">
        <f t="shared" si="0"/>
        <v>6131</v>
      </c>
    </row>
    <row r="7" spans="1:22" ht="13.5" thickBot="1" x14ac:dyDescent="0.25">
      <c r="A7" s="62">
        <v>43941</v>
      </c>
      <c r="G7" s="102">
        <v>212.74</v>
      </c>
      <c r="H7" s="67">
        <v>2823.16</v>
      </c>
      <c r="I7" s="67">
        <v>23650.44</v>
      </c>
      <c r="J7" s="69">
        <v>5220</v>
      </c>
      <c r="K7" s="69">
        <v>8560.73</v>
      </c>
      <c r="N7" s="100">
        <v>3726</v>
      </c>
      <c r="Q7" s="117">
        <v>378</v>
      </c>
      <c r="R7" s="117">
        <v>1771</v>
      </c>
      <c r="S7" s="117">
        <v>1438</v>
      </c>
      <c r="T7" s="117">
        <v>1596</v>
      </c>
      <c r="U7" s="117">
        <v>986</v>
      </c>
      <c r="V7" s="120">
        <f t="shared" si="0"/>
        <v>6169</v>
      </c>
    </row>
    <row r="8" spans="1:22" ht="13.5" thickBot="1" x14ac:dyDescent="0.25">
      <c r="A8" s="62">
        <v>43942</v>
      </c>
      <c r="G8" s="102">
        <v>204.89</v>
      </c>
      <c r="H8" s="67">
        <v>2736.56</v>
      </c>
      <c r="I8" s="67">
        <v>23018.880000000001</v>
      </c>
      <c r="J8" s="69">
        <v>5075</v>
      </c>
      <c r="K8" s="69">
        <v>8263.23</v>
      </c>
      <c r="N8" s="100">
        <v>3501</v>
      </c>
      <c r="Q8" s="117">
        <v>357</v>
      </c>
      <c r="R8" s="117">
        <v>1745</v>
      </c>
      <c r="S8" s="117">
        <v>1402</v>
      </c>
      <c r="T8" s="117">
        <v>1635</v>
      </c>
      <c r="U8" s="117">
        <v>1017</v>
      </c>
      <c r="V8" s="120">
        <f t="shared" si="0"/>
        <v>6156</v>
      </c>
    </row>
    <row r="9" spans="1:22" ht="13.5" thickBot="1" x14ac:dyDescent="0.25">
      <c r="A9" s="62">
        <v>43943</v>
      </c>
      <c r="G9" s="102">
        <v>210.97</v>
      </c>
      <c r="H9" s="67">
        <v>2799.31</v>
      </c>
      <c r="I9" s="67">
        <v>23475.82</v>
      </c>
      <c r="J9" s="69">
        <v>5049</v>
      </c>
      <c r="K9" s="69">
        <v>8495.3799999999992</v>
      </c>
      <c r="N9" s="100">
        <v>2770</v>
      </c>
      <c r="Q9" s="117">
        <v>319</v>
      </c>
      <c r="R9" s="117">
        <v>1644</v>
      </c>
      <c r="S9" s="117">
        <v>1427</v>
      </c>
      <c r="T9" s="117">
        <v>1652</v>
      </c>
      <c r="U9" s="117">
        <v>1096</v>
      </c>
      <c r="V9" s="120">
        <f t="shared" si="0"/>
        <v>6138</v>
      </c>
    </row>
    <row r="10" spans="1:22" ht="13.5" thickBot="1" x14ac:dyDescent="0.25">
      <c r="A10" s="62">
        <v>43944</v>
      </c>
      <c r="G10" s="102">
        <v>210.52</v>
      </c>
      <c r="H10" s="67">
        <v>2797.8</v>
      </c>
      <c r="I10" s="67">
        <v>23515.26</v>
      </c>
      <c r="J10" s="69">
        <v>5756</v>
      </c>
      <c r="K10" s="69">
        <v>8494.75</v>
      </c>
      <c r="N10" s="100">
        <v>3497</v>
      </c>
      <c r="Q10" s="117">
        <v>354</v>
      </c>
      <c r="R10" s="117">
        <v>1695</v>
      </c>
      <c r="S10" s="117">
        <v>1424</v>
      </c>
      <c r="T10" s="117">
        <v>1661</v>
      </c>
      <c r="U10" s="117">
        <v>1018</v>
      </c>
      <c r="V10" s="120">
        <f t="shared" si="0"/>
        <v>6152</v>
      </c>
    </row>
    <row r="11" spans="1:22" ht="13.5" thickBot="1" x14ac:dyDescent="0.25">
      <c r="A11" s="62">
        <v>43945</v>
      </c>
      <c r="G11" s="102">
        <v>213.84</v>
      </c>
      <c r="H11" s="67">
        <v>2836.74</v>
      </c>
      <c r="I11" s="67">
        <v>23775.27</v>
      </c>
      <c r="J11" s="69">
        <v>5374</v>
      </c>
      <c r="K11" s="69">
        <v>8634.52</v>
      </c>
      <c r="N11" s="100">
        <v>3391</v>
      </c>
      <c r="Q11" s="117">
        <v>365</v>
      </c>
      <c r="R11" s="117">
        <v>1733</v>
      </c>
      <c r="S11" s="117">
        <v>1437</v>
      </c>
      <c r="T11" s="117">
        <v>1650</v>
      </c>
      <c r="U11" s="117">
        <v>990</v>
      </c>
      <c r="V11" s="120">
        <f t="shared" si="0"/>
        <v>6175</v>
      </c>
    </row>
    <row r="12" spans="1:22" ht="13.5" thickBot="1" x14ac:dyDescent="0.25">
      <c r="A12" s="62">
        <v>43948</v>
      </c>
      <c r="G12" s="102">
        <v>215.56</v>
      </c>
      <c r="H12" s="67">
        <v>2878.48</v>
      </c>
      <c r="I12" s="67">
        <v>24133.78</v>
      </c>
      <c r="J12" s="69">
        <v>5194</v>
      </c>
      <c r="K12" s="69">
        <v>8730.16</v>
      </c>
      <c r="N12" s="100">
        <v>3445</v>
      </c>
      <c r="Q12" s="117">
        <v>392</v>
      </c>
      <c r="R12" s="117">
        <v>1776</v>
      </c>
      <c r="S12" s="117">
        <v>1440</v>
      </c>
      <c r="T12" s="117">
        <v>1590</v>
      </c>
      <c r="U12" s="117">
        <v>984</v>
      </c>
      <c r="V12" s="120">
        <f t="shared" si="0"/>
        <v>6182</v>
      </c>
    </row>
    <row r="13" spans="1:22" ht="13.5" thickBot="1" x14ac:dyDescent="0.25">
      <c r="A13" s="62">
        <v>43949</v>
      </c>
      <c r="G13" s="102">
        <v>211.5</v>
      </c>
      <c r="H13" s="67">
        <v>2863.39</v>
      </c>
      <c r="I13" s="67">
        <v>24101.55</v>
      </c>
      <c r="J13" s="69">
        <v>5672</v>
      </c>
      <c r="K13" s="69">
        <v>8607.73</v>
      </c>
      <c r="N13" s="100">
        <v>3469</v>
      </c>
      <c r="Q13" s="117">
        <v>467</v>
      </c>
      <c r="R13" s="117">
        <v>1931</v>
      </c>
      <c r="S13" s="117">
        <v>1467</v>
      </c>
      <c r="T13" s="117">
        <v>1515</v>
      </c>
      <c r="U13" s="117">
        <v>824</v>
      </c>
      <c r="V13" s="120">
        <f t="shared" si="0"/>
        <v>6204</v>
      </c>
    </row>
    <row r="14" spans="1:22" ht="13.5" thickBot="1" x14ac:dyDescent="0.25">
      <c r="A14" s="62">
        <v>43950</v>
      </c>
      <c r="G14" s="102">
        <v>219</v>
      </c>
      <c r="H14" s="67">
        <v>2939.51</v>
      </c>
      <c r="I14" s="67">
        <v>24633.86</v>
      </c>
      <c r="J14" s="69">
        <v>6620</v>
      </c>
      <c r="K14" s="69">
        <v>8914.7099999999991</v>
      </c>
      <c r="N14" s="100">
        <v>4267</v>
      </c>
      <c r="Q14" s="117">
        <v>479</v>
      </c>
      <c r="R14" s="117">
        <v>2065</v>
      </c>
      <c r="S14" s="117">
        <v>1495</v>
      </c>
      <c r="T14" s="117">
        <v>1465</v>
      </c>
      <c r="U14" s="117">
        <v>727</v>
      </c>
      <c r="V14" s="120">
        <f t="shared" si="0"/>
        <v>6231</v>
      </c>
    </row>
    <row r="15" spans="1:22" ht="13.5" thickBot="1" x14ac:dyDescent="0.25">
      <c r="A15" s="62">
        <v>43951</v>
      </c>
      <c r="G15" s="102">
        <v>218.91</v>
      </c>
      <c r="H15" s="67">
        <v>2912.43</v>
      </c>
      <c r="I15" s="67">
        <v>24345.72</v>
      </c>
      <c r="J15" s="69">
        <v>6523</v>
      </c>
      <c r="K15" s="69">
        <v>8889.5499999999993</v>
      </c>
      <c r="N15" s="100">
        <v>3884</v>
      </c>
      <c r="Q15" s="117">
        <v>669</v>
      </c>
      <c r="R15" s="117">
        <v>2443</v>
      </c>
      <c r="S15" s="117">
        <v>1471</v>
      </c>
      <c r="T15" s="117">
        <v>1183</v>
      </c>
      <c r="U15" s="117">
        <v>509</v>
      </c>
      <c r="V15" s="120">
        <f t="shared" si="0"/>
        <v>6275</v>
      </c>
    </row>
    <row r="16" spans="1:22" ht="13.5" thickBot="1" x14ac:dyDescent="0.25">
      <c r="A16" s="62">
        <v>43952</v>
      </c>
      <c r="G16" s="102">
        <v>212.74</v>
      </c>
      <c r="H16" s="67">
        <v>2830.71</v>
      </c>
      <c r="I16" s="67">
        <v>23723.69</v>
      </c>
      <c r="J16" s="69">
        <v>4753</v>
      </c>
      <c r="K16" s="69">
        <v>8604.9500000000007</v>
      </c>
      <c r="N16" s="100">
        <v>3501</v>
      </c>
      <c r="Q16" s="117">
        <v>544</v>
      </c>
      <c r="R16" s="117">
        <v>2300</v>
      </c>
      <c r="S16" s="117">
        <v>1500</v>
      </c>
      <c r="T16" s="117">
        <v>1322</v>
      </c>
      <c r="U16" s="117">
        <v>582</v>
      </c>
      <c r="V16" s="120">
        <f t="shared" si="0"/>
        <v>6248</v>
      </c>
    </row>
    <row r="17" spans="1:22" ht="13.5" thickBot="1" x14ac:dyDescent="0.25">
      <c r="A17" s="62">
        <v>43955</v>
      </c>
      <c r="G17" s="102">
        <v>215.22</v>
      </c>
      <c r="H17" s="67">
        <v>2842.74</v>
      </c>
      <c r="I17" s="67">
        <v>23749.759999999998</v>
      </c>
      <c r="J17" s="69">
        <v>4723</v>
      </c>
      <c r="K17" s="69">
        <v>8710.7199999999993</v>
      </c>
      <c r="N17" s="100">
        <v>3167</v>
      </c>
      <c r="Q17" s="117">
        <v>456</v>
      </c>
      <c r="R17" s="117">
        <v>2130</v>
      </c>
      <c r="S17" s="117">
        <v>1494</v>
      </c>
      <c r="T17" s="117">
        <v>1507</v>
      </c>
      <c r="U17" s="117">
        <v>644</v>
      </c>
      <c r="V17" s="120">
        <f t="shared" si="0"/>
        <v>6231</v>
      </c>
    </row>
    <row r="18" spans="1:22" ht="13.5" thickBot="1" x14ac:dyDescent="0.25">
      <c r="A18" s="62">
        <v>43956</v>
      </c>
      <c r="G18" s="102">
        <v>217.66</v>
      </c>
      <c r="H18" s="67">
        <v>2868.44</v>
      </c>
      <c r="I18" s="67">
        <v>23883.09</v>
      </c>
      <c r="J18" s="69">
        <v>5129</v>
      </c>
      <c r="K18" s="69">
        <v>8809.1200000000008</v>
      </c>
      <c r="N18" s="100">
        <v>3839</v>
      </c>
      <c r="Q18" s="117">
        <v>475</v>
      </c>
      <c r="R18" s="117">
        <v>2143</v>
      </c>
      <c r="S18" s="117">
        <v>1506</v>
      </c>
      <c r="T18" s="117">
        <v>1460</v>
      </c>
      <c r="U18" s="117">
        <v>651</v>
      </c>
      <c r="V18" s="120">
        <f t="shared" si="0"/>
        <v>6235</v>
      </c>
    </row>
    <row r="19" spans="1:22" ht="13.5" thickBot="1" x14ac:dyDescent="0.25">
      <c r="A19" s="62">
        <v>43957</v>
      </c>
      <c r="G19" s="102">
        <v>219</v>
      </c>
      <c r="H19" s="67">
        <v>2848.42</v>
      </c>
      <c r="I19" s="67">
        <v>23664.639999999999</v>
      </c>
      <c r="J19" s="69">
        <v>4861</v>
      </c>
      <c r="K19" s="69">
        <v>8854.39</v>
      </c>
      <c r="N19" s="100">
        <v>3537</v>
      </c>
      <c r="Q19" s="117">
        <v>477</v>
      </c>
      <c r="R19" s="117">
        <v>2188</v>
      </c>
      <c r="S19" s="117">
        <v>1503</v>
      </c>
      <c r="T19" s="117">
        <v>1438</v>
      </c>
      <c r="U19" s="117">
        <v>630</v>
      </c>
      <c r="V19" s="120">
        <f t="shared" si="0"/>
        <v>6236</v>
      </c>
    </row>
    <row r="20" spans="1:22" ht="13.5" thickBot="1" x14ac:dyDescent="0.25">
      <c r="A20" s="62">
        <v>43958</v>
      </c>
      <c r="G20" s="102">
        <v>221.82</v>
      </c>
      <c r="H20" s="67">
        <v>2881.19</v>
      </c>
      <c r="I20" s="67">
        <v>23875.89</v>
      </c>
      <c r="J20" s="69">
        <v>5164</v>
      </c>
      <c r="K20" s="69">
        <v>8979.66</v>
      </c>
      <c r="N20" s="100">
        <v>3659</v>
      </c>
      <c r="Q20" s="117">
        <v>483</v>
      </c>
      <c r="R20" s="117">
        <v>2141</v>
      </c>
      <c r="S20" s="117">
        <v>1517</v>
      </c>
      <c r="T20" s="117">
        <v>1441</v>
      </c>
      <c r="U20" s="117">
        <v>646</v>
      </c>
      <c r="V20" s="120">
        <f t="shared" si="0"/>
        <v>6228</v>
      </c>
    </row>
    <row r="21" spans="1:22" ht="13.5" thickBot="1" x14ac:dyDescent="0.25">
      <c r="A21" s="62">
        <v>43959</v>
      </c>
      <c r="G21" s="102">
        <v>224.86</v>
      </c>
      <c r="H21" s="67">
        <v>2929.8</v>
      </c>
      <c r="I21" s="67">
        <v>24331.32</v>
      </c>
      <c r="J21" s="69">
        <v>4857</v>
      </c>
      <c r="K21" s="69">
        <v>9121.32</v>
      </c>
      <c r="N21" s="100">
        <v>3726</v>
      </c>
      <c r="Q21" s="117">
        <v>516</v>
      </c>
      <c r="R21" s="117">
        <v>2221</v>
      </c>
      <c r="S21" s="117">
        <v>1513</v>
      </c>
      <c r="T21" s="117">
        <v>1398</v>
      </c>
      <c r="U21" s="117">
        <v>592</v>
      </c>
      <c r="V21" s="120">
        <f t="shared" si="0"/>
        <v>6240</v>
      </c>
    </row>
    <row r="22" spans="1:22" ht="13.5" thickBot="1" x14ac:dyDescent="0.25">
      <c r="A22" s="62">
        <v>43962</v>
      </c>
      <c r="G22" s="102">
        <v>226.87</v>
      </c>
      <c r="H22" s="67">
        <v>2930.19</v>
      </c>
      <c r="I22" s="67">
        <v>24221.99</v>
      </c>
      <c r="J22" s="69">
        <v>4807</v>
      </c>
      <c r="K22" s="69">
        <v>9192.34</v>
      </c>
      <c r="N22" s="100">
        <v>3859</v>
      </c>
      <c r="Q22" s="117">
        <v>592</v>
      </c>
      <c r="R22" s="117">
        <v>2371</v>
      </c>
      <c r="S22" s="117">
        <v>1457</v>
      </c>
      <c r="T22" s="117">
        <v>1312</v>
      </c>
      <c r="U22" s="117">
        <v>540</v>
      </c>
      <c r="V22" s="120">
        <f t="shared" si="0"/>
        <v>6272</v>
      </c>
    </row>
    <row r="23" spans="1:22" ht="13.5" thickBot="1" x14ac:dyDescent="0.25">
      <c r="A23" s="62">
        <v>43963</v>
      </c>
      <c r="G23" s="102">
        <v>222.12</v>
      </c>
      <c r="H23" s="67">
        <v>2870.12</v>
      </c>
      <c r="I23" s="67">
        <v>23764.78</v>
      </c>
      <c r="J23" s="69">
        <v>5107</v>
      </c>
      <c r="K23" s="69">
        <v>9002.5499999999993</v>
      </c>
      <c r="N23" s="100">
        <v>4240</v>
      </c>
      <c r="Q23" s="117">
        <v>589</v>
      </c>
      <c r="R23" s="117">
        <v>2291</v>
      </c>
      <c r="S23" s="117">
        <v>1500</v>
      </c>
      <c r="T23" s="117">
        <v>1320</v>
      </c>
      <c r="U23" s="117">
        <v>570</v>
      </c>
      <c r="V23" s="120">
        <f t="shared" si="0"/>
        <v>6270</v>
      </c>
    </row>
    <row r="24" spans="1:22" ht="13.5" thickBot="1" x14ac:dyDescent="0.25">
      <c r="A24" s="62">
        <v>43964</v>
      </c>
      <c r="G24" s="102">
        <v>219.34</v>
      </c>
      <c r="H24" s="67">
        <v>2820</v>
      </c>
      <c r="I24" s="67">
        <v>23247.97</v>
      </c>
      <c r="J24" s="69">
        <v>6143</v>
      </c>
      <c r="K24" s="69">
        <v>8863.17</v>
      </c>
      <c r="N24" s="100">
        <v>4175</v>
      </c>
      <c r="Q24" s="117">
        <v>520</v>
      </c>
      <c r="R24" s="117">
        <v>2104</v>
      </c>
      <c r="S24" s="117">
        <v>1546</v>
      </c>
      <c r="T24" s="117">
        <v>1431</v>
      </c>
      <c r="U24" s="117">
        <v>637</v>
      </c>
      <c r="V24" s="120">
        <f t="shared" si="0"/>
        <v>6238</v>
      </c>
    </row>
    <row r="25" spans="1:22" ht="13.5" thickBot="1" x14ac:dyDescent="0.25">
      <c r="A25" s="62">
        <v>43965</v>
      </c>
      <c r="G25" s="102">
        <v>221.83</v>
      </c>
      <c r="H25" s="67">
        <v>2852.5</v>
      </c>
      <c r="I25" s="67">
        <v>23625.34</v>
      </c>
      <c r="J25" s="69">
        <v>5641</v>
      </c>
      <c r="K25" s="69">
        <v>8943.7199999999993</v>
      </c>
      <c r="N25" s="100">
        <v>3881</v>
      </c>
      <c r="Q25" s="117">
        <v>424</v>
      </c>
      <c r="R25" s="117">
        <v>1850</v>
      </c>
      <c r="S25" s="117">
        <v>1553</v>
      </c>
      <c r="T25" s="117">
        <v>1569</v>
      </c>
      <c r="U25" s="117">
        <v>802</v>
      </c>
      <c r="V25" s="120">
        <f t="shared" si="0"/>
        <v>6198</v>
      </c>
    </row>
    <row r="26" spans="1:22" ht="13.5" thickBot="1" x14ac:dyDescent="0.25">
      <c r="A26" s="62">
        <v>43966</v>
      </c>
      <c r="G26" s="102">
        <v>223.27</v>
      </c>
      <c r="H26" s="67">
        <v>2863.7</v>
      </c>
      <c r="I26" s="67">
        <v>23685.42</v>
      </c>
      <c r="J26" s="69">
        <v>5477</v>
      </c>
      <c r="K26" s="69">
        <v>9014.56</v>
      </c>
      <c r="N26" s="100">
        <v>4164</v>
      </c>
      <c r="Q26" s="117">
        <v>415</v>
      </c>
      <c r="R26" s="117">
        <v>1925</v>
      </c>
      <c r="S26" s="117">
        <v>1557</v>
      </c>
      <c r="T26" s="117">
        <v>1557</v>
      </c>
      <c r="U26" s="117">
        <v>751</v>
      </c>
      <c r="V26" s="120">
        <f t="shared" si="0"/>
        <v>6205</v>
      </c>
    </row>
    <row r="27" spans="1:22" ht="13.5" thickBot="1" x14ac:dyDescent="0.25">
      <c r="A27" s="62">
        <v>43969</v>
      </c>
      <c r="G27" s="102">
        <v>227.43</v>
      </c>
      <c r="H27" s="67">
        <v>2953.91</v>
      </c>
      <c r="I27" s="67">
        <v>24597.37</v>
      </c>
      <c r="J27" s="69">
        <v>6364</v>
      </c>
      <c r="K27" s="69">
        <v>9234.83</v>
      </c>
      <c r="N27" s="100">
        <v>4035</v>
      </c>
      <c r="Q27" s="117">
        <v>448</v>
      </c>
      <c r="R27" s="117">
        <v>1962</v>
      </c>
      <c r="S27" s="117">
        <v>1561</v>
      </c>
      <c r="T27" s="117">
        <v>1506</v>
      </c>
      <c r="U27" s="117">
        <v>731</v>
      </c>
      <c r="V27" s="120">
        <f t="shared" si="0"/>
        <v>6208</v>
      </c>
    </row>
    <row r="28" spans="1:22" ht="13.5" thickBot="1" x14ac:dyDescent="0.25">
      <c r="A28" s="62">
        <v>43970</v>
      </c>
      <c r="G28" s="102">
        <v>226.86</v>
      </c>
      <c r="H28" s="67">
        <v>2922.94</v>
      </c>
      <c r="I28" s="67">
        <v>24206.86</v>
      </c>
      <c r="J28" s="69">
        <v>4969</v>
      </c>
      <c r="K28" s="69">
        <v>9185.1</v>
      </c>
      <c r="N28" s="100">
        <v>4063</v>
      </c>
      <c r="Q28" s="117">
        <v>571</v>
      </c>
      <c r="R28" s="117">
        <v>2330</v>
      </c>
      <c r="S28" s="117">
        <v>1553</v>
      </c>
      <c r="T28" s="117">
        <v>1305</v>
      </c>
      <c r="U28" s="117">
        <v>499</v>
      </c>
      <c r="V28" s="120">
        <f t="shared" si="0"/>
        <v>6258</v>
      </c>
    </row>
    <row r="29" spans="1:22" ht="13.5" thickBot="1" x14ac:dyDescent="0.25">
      <c r="A29" s="62">
        <v>43971</v>
      </c>
      <c r="G29" s="102">
        <v>231.39</v>
      </c>
      <c r="H29" s="67">
        <v>2971.61</v>
      </c>
      <c r="I29" s="67">
        <v>24575.9</v>
      </c>
      <c r="J29" s="69">
        <v>4992</v>
      </c>
      <c r="K29" s="69">
        <v>9375.68</v>
      </c>
      <c r="N29" s="100">
        <v>4265</v>
      </c>
      <c r="Q29" s="117">
        <v>540</v>
      </c>
      <c r="R29" s="117">
        <v>2307</v>
      </c>
      <c r="S29" s="117">
        <v>1551</v>
      </c>
      <c r="T29" s="117">
        <v>1349</v>
      </c>
      <c r="U29" s="117">
        <v>502</v>
      </c>
      <c r="V29" s="120">
        <f t="shared" si="0"/>
        <v>6249</v>
      </c>
    </row>
    <row r="30" spans="1:22" ht="13.5" thickBot="1" x14ac:dyDescent="0.25">
      <c r="A30" s="62">
        <v>43972</v>
      </c>
      <c r="G30" s="102">
        <v>228.87</v>
      </c>
      <c r="H30" s="67">
        <v>2948.51</v>
      </c>
      <c r="I30" s="67">
        <v>24474.12</v>
      </c>
      <c r="J30" s="69">
        <v>4966</v>
      </c>
      <c r="K30" s="69">
        <v>9284.8799999999992</v>
      </c>
      <c r="N30" s="100">
        <v>3699</v>
      </c>
      <c r="Q30" s="117">
        <v>589</v>
      </c>
      <c r="R30" s="117">
        <v>2457</v>
      </c>
      <c r="S30" s="117">
        <v>1521</v>
      </c>
      <c r="T30" s="117">
        <v>1251</v>
      </c>
      <c r="U30" s="117">
        <v>462</v>
      </c>
      <c r="V30" s="120">
        <f t="shared" si="0"/>
        <v>6280</v>
      </c>
    </row>
    <row r="31" spans="1:22" ht="13.5" thickBot="1" x14ac:dyDescent="0.25">
      <c r="A31" s="62">
        <v>43973</v>
      </c>
      <c r="G31" s="102">
        <v>229.66</v>
      </c>
      <c r="H31" s="67">
        <v>2955.45</v>
      </c>
      <c r="I31" s="67">
        <v>24465.16</v>
      </c>
      <c r="J31" s="69">
        <v>3952</v>
      </c>
      <c r="K31" s="69">
        <v>9324.59</v>
      </c>
      <c r="N31" s="100">
        <v>3621</v>
      </c>
      <c r="Q31" s="117">
        <v>592</v>
      </c>
      <c r="R31" s="117">
        <v>2459</v>
      </c>
      <c r="S31" s="117">
        <v>1492</v>
      </c>
      <c r="T31" s="117">
        <v>1299</v>
      </c>
      <c r="U31" s="117">
        <v>447</v>
      </c>
      <c r="V31" s="120">
        <f t="shared" si="0"/>
        <v>6289</v>
      </c>
    </row>
    <row r="32" spans="1:22" ht="13.5" thickBot="1" x14ac:dyDescent="0.25">
      <c r="A32" s="62">
        <v>43977</v>
      </c>
      <c r="G32" s="102">
        <v>229.04</v>
      </c>
      <c r="H32" s="67">
        <v>2991.77</v>
      </c>
      <c r="I32" s="67">
        <v>24995.11</v>
      </c>
      <c r="J32" s="69">
        <v>5837</v>
      </c>
      <c r="K32" s="69">
        <v>9340.2199999999993</v>
      </c>
      <c r="N32" s="100">
        <v>4406</v>
      </c>
      <c r="Q32" s="117">
        <v>613</v>
      </c>
      <c r="R32" s="117">
        <v>2435</v>
      </c>
      <c r="S32" s="117">
        <v>1486</v>
      </c>
      <c r="T32" s="117">
        <v>1317</v>
      </c>
      <c r="U32" s="117">
        <v>448</v>
      </c>
      <c r="V32" s="120">
        <f t="shared" si="0"/>
        <v>6299</v>
      </c>
    </row>
    <row r="33" spans="1:22" ht="13.5" thickBot="1" x14ac:dyDescent="0.25">
      <c r="A33" s="62">
        <v>43978</v>
      </c>
      <c r="G33" s="102">
        <v>230.29</v>
      </c>
      <c r="H33" s="67">
        <v>3036.13</v>
      </c>
      <c r="I33" s="67">
        <v>25548.27</v>
      </c>
      <c r="J33" s="69">
        <v>6371</v>
      </c>
      <c r="K33" s="69">
        <v>9412.36</v>
      </c>
      <c r="N33" s="100">
        <v>4431</v>
      </c>
      <c r="Q33" s="117">
        <v>115</v>
      </c>
      <c r="R33" s="117">
        <v>416</v>
      </c>
      <c r="S33" s="117">
        <v>670</v>
      </c>
      <c r="T33" s="117">
        <v>1912</v>
      </c>
      <c r="U33" s="117">
        <v>3065</v>
      </c>
      <c r="V33" s="120">
        <f t="shared" si="0"/>
        <v>6178</v>
      </c>
    </row>
    <row r="34" spans="1:22" ht="13.5" thickBot="1" x14ac:dyDescent="0.25">
      <c r="A34" s="62">
        <v>43979</v>
      </c>
      <c r="G34" s="102">
        <v>229.99</v>
      </c>
      <c r="H34" s="67">
        <v>3029.73</v>
      </c>
      <c r="I34" s="67">
        <v>25400.639999999999</v>
      </c>
      <c r="J34" s="69">
        <v>5402</v>
      </c>
      <c r="K34" s="69">
        <v>9368.99</v>
      </c>
      <c r="N34" s="100">
        <v>3990</v>
      </c>
      <c r="Q34" s="117">
        <v>126</v>
      </c>
      <c r="R34" s="117">
        <v>276</v>
      </c>
      <c r="S34" s="117">
        <v>411</v>
      </c>
      <c r="T34" s="117">
        <v>1353</v>
      </c>
      <c r="U34" s="117">
        <v>3876</v>
      </c>
      <c r="V34" s="120">
        <f t="shared" si="0"/>
        <v>6042</v>
      </c>
    </row>
    <row r="35" spans="1:22" ht="13.5" thickBot="1" x14ac:dyDescent="0.25">
      <c r="A35" s="249">
        <v>43980</v>
      </c>
      <c r="G35" s="102">
        <v>232.95</v>
      </c>
      <c r="H35" s="250">
        <v>3044.31</v>
      </c>
      <c r="I35" s="250">
        <v>25383.11</v>
      </c>
      <c r="J35" s="69">
        <v>6523</v>
      </c>
      <c r="K35" s="250">
        <v>9489.8700000000008</v>
      </c>
      <c r="N35" s="100">
        <v>2770</v>
      </c>
      <c r="Q35" s="117">
        <v>357</v>
      </c>
      <c r="R35" s="117">
        <v>1745</v>
      </c>
      <c r="S35" s="117">
        <v>1402</v>
      </c>
      <c r="T35" s="117">
        <v>1635</v>
      </c>
      <c r="U35" s="117">
        <v>1017</v>
      </c>
      <c r="V35" s="120">
        <f t="shared" ref="V35:V37" si="1">SUM(Q35:U35)</f>
        <v>6156</v>
      </c>
    </row>
    <row r="36" spans="1:22" ht="13.5" thickBot="1" x14ac:dyDescent="0.25">
      <c r="A36" s="249">
        <v>43983</v>
      </c>
      <c r="G36" s="102">
        <v>233.65</v>
      </c>
      <c r="H36" s="250">
        <v>3055.73</v>
      </c>
      <c r="I36" s="250">
        <v>25475.02</v>
      </c>
      <c r="J36" s="69">
        <v>4753</v>
      </c>
      <c r="K36" s="250">
        <v>9552.0499999999993</v>
      </c>
      <c r="N36" s="100">
        <v>4175</v>
      </c>
      <c r="Q36" s="117">
        <v>319</v>
      </c>
      <c r="R36" s="117">
        <v>1644</v>
      </c>
      <c r="S36" s="117">
        <v>1427</v>
      </c>
      <c r="T36" s="117">
        <v>1652</v>
      </c>
      <c r="U36" s="117">
        <v>1096</v>
      </c>
      <c r="V36" s="120">
        <f t="shared" si="1"/>
        <v>6138</v>
      </c>
    </row>
    <row r="37" spans="1:22" ht="13.5" thickBot="1" x14ac:dyDescent="0.25">
      <c r="A37" s="249">
        <v>43984</v>
      </c>
      <c r="G37" s="102">
        <v>235.22</v>
      </c>
      <c r="H37" s="250">
        <v>3080.82</v>
      </c>
      <c r="I37" s="250">
        <v>25742.65</v>
      </c>
      <c r="J37" s="69">
        <v>4723</v>
      </c>
      <c r="K37" s="250">
        <v>9608.3799999999992</v>
      </c>
      <c r="N37" s="100">
        <v>3881</v>
      </c>
      <c r="Q37" s="117">
        <v>354</v>
      </c>
      <c r="R37" s="117">
        <v>1695</v>
      </c>
      <c r="S37" s="117">
        <v>1424</v>
      </c>
      <c r="T37" s="117">
        <v>1661</v>
      </c>
      <c r="U37" s="117">
        <v>1018</v>
      </c>
      <c r="V37" s="120">
        <f t="shared" si="1"/>
        <v>6152</v>
      </c>
    </row>
    <row r="38" spans="1:22" ht="13.5" thickBot="1" x14ac:dyDescent="0.25">
      <c r="A38" s="249">
        <v>43985</v>
      </c>
      <c r="G38" s="102">
        <v>236.28</v>
      </c>
      <c r="H38" s="250">
        <v>3122.87</v>
      </c>
      <c r="I38" s="250">
        <v>26269.89</v>
      </c>
      <c r="J38" s="69">
        <v>6364</v>
      </c>
      <c r="K38" s="250">
        <v>9682.91</v>
      </c>
      <c r="N38" s="100">
        <v>4164</v>
      </c>
      <c r="Q38" s="117">
        <v>475</v>
      </c>
      <c r="R38" s="117">
        <v>2143</v>
      </c>
      <c r="S38" s="117">
        <v>1506</v>
      </c>
      <c r="T38" s="117">
        <v>1460</v>
      </c>
      <c r="U38" s="117">
        <v>651</v>
      </c>
      <c r="V38" s="120">
        <f t="shared" ref="V37:V57" si="2">SUM(Q38:U38)</f>
        <v>6235</v>
      </c>
    </row>
    <row r="39" spans="1:22" ht="13.5" thickBot="1" x14ac:dyDescent="0.25">
      <c r="A39" s="249">
        <v>43986</v>
      </c>
      <c r="G39" s="102">
        <v>234.62</v>
      </c>
      <c r="H39" s="250">
        <v>3112.35</v>
      </c>
      <c r="I39" s="250">
        <v>26281.82</v>
      </c>
      <c r="J39" s="69">
        <v>4969</v>
      </c>
      <c r="K39" s="250">
        <v>9615.81</v>
      </c>
      <c r="N39" s="100">
        <v>4035</v>
      </c>
      <c r="Q39" s="117">
        <v>415</v>
      </c>
      <c r="R39" s="117">
        <v>1925</v>
      </c>
      <c r="S39" s="117">
        <v>1557</v>
      </c>
      <c r="T39" s="117">
        <v>1557</v>
      </c>
      <c r="U39" s="117">
        <v>751</v>
      </c>
      <c r="V39" s="120">
        <f t="shared" si="2"/>
        <v>6205</v>
      </c>
    </row>
    <row r="40" spans="1:22" ht="13.5" thickBot="1" x14ac:dyDescent="0.25">
      <c r="A40" s="249">
        <v>43987</v>
      </c>
      <c r="G40" s="102">
        <v>239.27</v>
      </c>
      <c r="H40" s="250">
        <v>3193.93</v>
      </c>
      <c r="I40" s="250">
        <v>27110.98</v>
      </c>
      <c r="J40" s="69">
        <v>4992</v>
      </c>
      <c r="K40" s="250">
        <v>9814.08</v>
      </c>
      <c r="N40" s="100">
        <v>4063</v>
      </c>
      <c r="Q40" s="117">
        <v>456</v>
      </c>
      <c r="R40" s="117">
        <v>2130</v>
      </c>
      <c r="S40" s="117">
        <v>1494</v>
      </c>
      <c r="T40" s="117">
        <v>1507</v>
      </c>
      <c r="U40" s="117">
        <v>644</v>
      </c>
      <c r="V40" s="120">
        <f t="shared" si="2"/>
        <v>6231</v>
      </c>
    </row>
    <row r="41" spans="1:22" ht="13.5" thickBot="1" x14ac:dyDescent="0.25">
      <c r="A41" s="249">
        <v>43990</v>
      </c>
      <c r="G41" s="102">
        <v>241.13</v>
      </c>
      <c r="H41" s="250">
        <v>3232.39</v>
      </c>
      <c r="I41" s="250">
        <v>27572.44</v>
      </c>
      <c r="J41" s="69">
        <v>5203</v>
      </c>
      <c r="K41" s="250">
        <v>9924.75</v>
      </c>
      <c r="N41" s="100">
        <v>4265</v>
      </c>
      <c r="Q41" s="117">
        <v>475</v>
      </c>
      <c r="R41" s="117">
        <v>2143</v>
      </c>
      <c r="S41" s="117">
        <v>1506</v>
      </c>
      <c r="T41" s="117">
        <v>1460</v>
      </c>
      <c r="U41" s="117">
        <v>651</v>
      </c>
      <c r="V41" s="120">
        <f t="shared" si="2"/>
        <v>6235</v>
      </c>
    </row>
    <row r="42" spans="1:22" ht="13.5" thickBot="1" x14ac:dyDescent="0.25">
      <c r="A42" s="249">
        <v>43991</v>
      </c>
      <c r="G42" s="102">
        <v>242.88</v>
      </c>
      <c r="H42" s="250">
        <v>3207.18</v>
      </c>
      <c r="I42" s="250">
        <v>27272.3</v>
      </c>
      <c r="J42" s="69">
        <v>5179</v>
      </c>
      <c r="K42" s="250">
        <v>9953.75</v>
      </c>
      <c r="N42" s="100">
        <v>3699</v>
      </c>
      <c r="Q42" s="117">
        <v>477</v>
      </c>
      <c r="R42" s="117">
        <v>2188</v>
      </c>
      <c r="S42" s="117">
        <v>1503</v>
      </c>
      <c r="T42" s="117">
        <v>1438</v>
      </c>
      <c r="U42" s="117">
        <v>630</v>
      </c>
      <c r="V42" s="120">
        <f t="shared" si="2"/>
        <v>6236</v>
      </c>
    </row>
    <row r="43" spans="1:22" ht="13.5" thickBot="1" x14ac:dyDescent="0.25">
      <c r="A43" s="249">
        <v>43992</v>
      </c>
      <c r="G43" s="102">
        <v>245.79</v>
      </c>
      <c r="H43" s="250">
        <v>3190.14</v>
      </c>
      <c r="I43" s="250">
        <v>26989.99</v>
      </c>
      <c r="J43" s="69">
        <v>5792</v>
      </c>
      <c r="K43" s="250">
        <v>10020.35</v>
      </c>
      <c r="N43" s="100">
        <v>3167</v>
      </c>
      <c r="Q43" s="117">
        <v>483</v>
      </c>
      <c r="R43" s="117">
        <v>2141</v>
      </c>
      <c r="S43" s="117">
        <v>1517</v>
      </c>
      <c r="T43" s="117">
        <v>1441</v>
      </c>
      <c r="U43" s="117">
        <v>646</v>
      </c>
      <c r="V43" s="120">
        <f t="shared" si="2"/>
        <v>6228</v>
      </c>
    </row>
    <row r="44" spans="1:22" ht="13.5" thickBot="1" x14ac:dyDescent="0.25">
      <c r="A44" s="249">
        <v>43993</v>
      </c>
      <c r="G44" s="102">
        <v>233.61</v>
      </c>
      <c r="H44" s="250">
        <v>3002.1</v>
      </c>
      <c r="I44" s="250">
        <v>25128.17</v>
      </c>
      <c r="J44" s="69">
        <v>5220</v>
      </c>
      <c r="K44" s="250">
        <v>9492.73</v>
      </c>
      <c r="N44" s="100">
        <v>3659</v>
      </c>
      <c r="Q44" s="117">
        <v>589</v>
      </c>
      <c r="R44" s="117">
        <v>2291</v>
      </c>
      <c r="S44" s="117">
        <v>1500</v>
      </c>
      <c r="T44" s="117">
        <v>1320</v>
      </c>
      <c r="U44" s="117">
        <v>570</v>
      </c>
      <c r="V44" s="120">
        <f t="shared" si="2"/>
        <v>6270</v>
      </c>
    </row>
    <row r="45" spans="1:22" ht="13.5" thickBot="1" x14ac:dyDescent="0.25">
      <c r="A45" s="249">
        <v>43994</v>
      </c>
      <c r="G45" s="102">
        <v>235.47</v>
      </c>
      <c r="H45" s="250">
        <v>3041.31</v>
      </c>
      <c r="I45" s="250">
        <v>25605.54</v>
      </c>
      <c r="J45" s="69">
        <v>5075</v>
      </c>
      <c r="K45" s="250">
        <v>9588.81</v>
      </c>
      <c r="N45" s="100">
        <v>4011</v>
      </c>
      <c r="Q45" s="117">
        <v>520</v>
      </c>
      <c r="R45" s="117">
        <v>2104</v>
      </c>
      <c r="S45" s="117">
        <v>1546</v>
      </c>
      <c r="T45" s="117">
        <v>1431</v>
      </c>
      <c r="U45" s="117">
        <v>637</v>
      </c>
      <c r="V45" s="120">
        <f t="shared" si="2"/>
        <v>6238</v>
      </c>
    </row>
    <row r="46" spans="1:22" ht="13.5" thickBot="1" x14ac:dyDescent="0.25">
      <c r="A46" s="249">
        <v>43997</v>
      </c>
      <c r="G46" s="102">
        <v>238.34</v>
      </c>
      <c r="H46" s="250">
        <v>3066.59</v>
      </c>
      <c r="I46" s="250">
        <v>25763.16</v>
      </c>
      <c r="J46" s="69">
        <v>5049</v>
      </c>
      <c r="K46" s="250">
        <v>9726.02</v>
      </c>
      <c r="N46" s="100">
        <v>3726</v>
      </c>
      <c r="Q46" s="117">
        <v>540</v>
      </c>
      <c r="R46" s="117">
        <v>2307</v>
      </c>
      <c r="S46" s="117">
        <v>1551</v>
      </c>
      <c r="T46" s="117">
        <v>1349</v>
      </c>
      <c r="U46" s="117">
        <v>502</v>
      </c>
      <c r="V46" s="120">
        <f t="shared" si="2"/>
        <v>6249</v>
      </c>
    </row>
    <row r="47" spans="1:22" ht="13.5" thickBot="1" x14ac:dyDescent="0.25">
      <c r="A47" s="249">
        <v>43998</v>
      </c>
      <c r="G47" s="102">
        <v>242.43</v>
      </c>
      <c r="H47" s="250">
        <v>3124.74</v>
      </c>
      <c r="I47" s="250">
        <v>26289.98</v>
      </c>
      <c r="J47" s="69">
        <v>5756</v>
      </c>
      <c r="K47" s="250">
        <v>9895.8700000000008</v>
      </c>
      <c r="N47" s="100">
        <v>3501</v>
      </c>
      <c r="Q47" s="117">
        <v>589</v>
      </c>
      <c r="R47" s="117">
        <v>2457</v>
      </c>
      <c r="S47" s="117">
        <v>1521</v>
      </c>
      <c r="T47" s="117">
        <v>1251</v>
      </c>
      <c r="U47" s="117">
        <v>462</v>
      </c>
      <c r="V47" s="120">
        <f t="shared" si="2"/>
        <v>6280</v>
      </c>
    </row>
    <row r="48" spans="1:22" ht="13.5" thickBot="1" x14ac:dyDescent="0.25">
      <c r="A48" s="249">
        <v>43999</v>
      </c>
      <c r="G48" s="102">
        <v>243.2</v>
      </c>
      <c r="H48" s="250">
        <v>3113.49</v>
      </c>
      <c r="I48" s="250">
        <v>26119.61</v>
      </c>
      <c r="J48" s="69">
        <v>5374</v>
      </c>
      <c r="K48" s="250">
        <v>9910.5300000000007</v>
      </c>
      <c r="N48" s="100">
        <v>3859</v>
      </c>
      <c r="Q48" s="117">
        <v>592</v>
      </c>
      <c r="R48" s="117">
        <v>2459</v>
      </c>
      <c r="S48" s="117">
        <v>1492</v>
      </c>
      <c r="T48" s="117">
        <v>1299</v>
      </c>
      <c r="U48" s="117">
        <v>447</v>
      </c>
      <c r="V48" s="120">
        <f t="shared" si="2"/>
        <v>6289</v>
      </c>
    </row>
    <row r="49" spans="1:22" ht="13.5" thickBot="1" x14ac:dyDescent="0.25">
      <c r="A49" s="249">
        <v>44000</v>
      </c>
      <c r="G49" s="102">
        <v>243.86</v>
      </c>
      <c r="H49" s="250">
        <v>3115.34</v>
      </c>
      <c r="I49" s="250">
        <v>26080.1</v>
      </c>
      <c r="J49" s="69">
        <v>6364</v>
      </c>
      <c r="K49" s="250">
        <v>9943.0499999999993</v>
      </c>
      <c r="N49" s="100">
        <v>3726</v>
      </c>
      <c r="Q49" s="117">
        <v>613</v>
      </c>
      <c r="R49" s="117">
        <v>2435</v>
      </c>
      <c r="S49" s="117">
        <v>1486</v>
      </c>
      <c r="T49" s="117">
        <v>1317</v>
      </c>
      <c r="U49" s="117">
        <v>448</v>
      </c>
      <c r="V49" s="120">
        <f t="shared" si="2"/>
        <v>6299</v>
      </c>
    </row>
    <row r="50" spans="1:22" ht="13.5" thickBot="1" x14ac:dyDescent="0.25">
      <c r="A50" s="249">
        <v>44001</v>
      </c>
      <c r="G50" s="102">
        <v>243.82</v>
      </c>
      <c r="H50" s="250">
        <v>3097.74</v>
      </c>
      <c r="I50" s="250">
        <v>25871.46</v>
      </c>
      <c r="J50" s="69">
        <v>4992</v>
      </c>
      <c r="K50" s="250">
        <v>9946.1200000000008</v>
      </c>
      <c r="N50" s="100">
        <v>3859</v>
      </c>
      <c r="Q50" s="117">
        <v>479</v>
      </c>
      <c r="R50" s="117">
        <v>2065</v>
      </c>
      <c r="S50" s="117">
        <v>1495</v>
      </c>
      <c r="T50" s="117">
        <v>1465</v>
      </c>
      <c r="U50" s="117">
        <v>727</v>
      </c>
      <c r="V50" s="120">
        <f t="shared" si="2"/>
        <v>6231</v>
      </c>
    </row>
    <row r="51" spans="1:22" ht="13.5" thickBot="1" x14ac:dyDescent="0.25">
      <c r="A51" s="249">
        <v>44004</v>
      </c>
      <c r="G51" s="102">
        <v>246.74</v>
      </c>
      <c r="H51" s="250">
        <v>3117.86</v>
      </c>
      <c r="I51" s="250">
        <v>26024.959999999999</v>
      </c>
      <c r="J51" s="69">
        <v>4966</v>
      </c>
      <c r="K51" s="250">
        <v>10056.48</v>
      </c>
      <c r="N51" s="100">
        <v>3726</v>
      </c>
      <c r="Q51" s="117">
        <v>669</v>
      </c>
      <c r="R51" s="117">
        <v>2443</v>
      </c>
      <c r="S51" s="117">
        <v>1471</v>
      </c>
      <c r="T51" s="117">
        <v>1183</v>
      </c>
      <c r="U51" s="117">
        <v>509</v>
      </c>
      <c r="V51" s="120">
        <f t="shared" si="2"/>
        <v>6275</v>
      </c>
    </row>
    <row r="52" spans="1:22" ht="13.5" thickBot="1" x14ac:dyDescent="0.25">
      <c r="A52" s="249">
        <v>44005</v>
      </c>
      <c r="G52" s="102">
        <v>248.84</v>
      </c>
      <c r="H52" s="250">
        <v>3131.29</v>
      </c>
      <c r="I52" s="250">
        <v>26156.1</v>
      </c>
      <c r="J52" s="69">
        <v>3952</v>
      </c>
      <c r="K52" s="250">
        <v>10131.370000000001</v>
      </c>
      <c r="N52" s="100">
        <v>3859</v>
      </c>
      <c r="Q52" s="117">
        <v>520</v>
      </c>
      <c r="R52" s="117">
        <v>2104</v>
      </c>
      <c r="S52" s="117">
        <v>1546</v>
      </c>
      <c r="T52" s="117">
        <v>1431</v>
      </c>
      <c r="U52" s="117">
        <v>637</v>
      </c>
      <c r="V52" s="120">
        <f t="shared" si="2"/>
        <v>6238</v>
      </c>
    </row>
    <row r="53" spans="1:22" ht="13.5" thickBot="1" x14ac:dyDescent="0.25">
      <c r="A53" s="249">
        <v>44006</v>
      </c>
      <c r="G53" s="102">
        <v>243.71</v>
      </c>
      <c r="H53" s="250">
        <v>3050.33</v>
      </c>
      <c r="I53" s="250">
        <v>25445.94</v>
      </c>
      <c r="J53" s="69">
        <v>5837</v>
      </c>
      <c r="K53" s="250">
        <v>9909.17</v>
      </c>
      <c r="N53" s="100">
        <v>4240</v>
      </c>
      <c r="Q53" s="117">
        <v>424</v>
      </c>
      <c r="R53" s="117">
        <v>1850</v>
      </c>
      <c r="S53" s="117">
        <v>1553</v>
      </c>
      <c r="T53" s="117">
        <v>1569</v>
      </c>
      <c r="U53" s="117">
        <v>802</v>
      </c>
      <c r="V53" s="120">
        <f t="shared" si="2"/>
        <v>6198</v>
      </c>
    </row>
    <row r="54" spans="1:22" ht="13.5" thickBot="1" x14ac:dyDescent="0.25">
      <c r="A54" s="249">
        <v>44007</v>
      </c>
      <c r="G54" s="102">
        <v>246.03</v>
      </c>
      <c r="H54" s="250">
        <v>3083.76</v>
      </c>
      <c r="I54" s="250">
        <v>25745.599999999999</v>
      </c>
      <c r="J54" s="69">
        <v>6371</v>
      </c>
      <c r="K54" s="250">
        <v>10017</v>
      </c>
      <c r="N54" s="100">
        <v>4175</v>
      </c>
      <c r="Q54" s="117">
        <v>415</v>
      </c>
      <c r="R54" s="117">
        <v>1925</v>
      </c>
      <c r="S54" s="117">
        <v>1557</v>
      </c>
      <c r="T54" s="117">
        <v>1557</v>
      </c>
      <c r="U54" s="117">
        <v>751</v>
      </c>
      <c r="V54" s="120">
        <f t="shared" si="2"/>
        <v>6205</v>
      </c>
    </row>
    <row r="55" spans="1:22" ht="13.5" thickBot="1" x14ac:dyDescent="0.25">
      <c r="A55" s="249">
        <v>44008</v>
      </c>
      <c r="G55" s="102">
        <v>240.22</v>
      </c>
      <c r="H55" s="250">
        <v>3009.05</v>
      </c>
      <c r="I55" s="250">
        <v>25015.55</v>
      </c>
      <c r="J55" s="69">
        <v>4992</v>
      </c>
      <c r="K55" s="250">
        <v>9757.2199999999993</v>
      </c>
      <c r="N55" s="100">
        <v>3881</v>
      </c>
      <c r="Q55" s="117">
        <v>448</v>
      </c>
      <c r="R55" s="117">
        <v>1962</v>
      </c>
      <c r="S55" s="117">
        <v>1561</v>
      </c>
      <c r="T55" s="117">
        <v>1506</v>
      </c>
      <c r="U55" s="117">
        <v>731</v>
      </c>
      <c r="V55" s="120">
        <f t="shared" si="2"/>
        <v>6208</v>
      </c>
    </row>
    <row r="56" spans="1:22" ht="13.5" thickBot="1" x14ac:dyDescent="0.25">
      <c r="A56" s="249">
        <v>44011</v>
      </c>
      <c r="G56" s="102">
        <v>242.84</v>
      </c>
      <c r="H56" s="250">
        <v>3053.24</v>
      </c>
      <c r="I56" s="250">
        <v>25595.8</v>
      </c>
      <c r="J56" s="69">
        <v>5203</v>
      </c>
      <c r="K56" s="250">
        <v>9874.15</v>
      </c>
      <c r="N56" s="100">
        <v>4164</v>
      </c>
      <c r="Q56" s="117">
        <v>477</v>
      </c>
      <c r="R56" s="117">
        <v>2188</v>
      </c>
      <c r="S56" s="117">
        <v>1503</v>
      </c>
      <c r="T56" s="117">
        <v>1438</v>
      </c>
      <c r="U56" s="117">
        <v>630</v>
      </c>
      <c r="V56" s="120">
        <f t="shared" si="2"/>
        <v>6236</v>
      </c>
    </row>
    <row r="57" spans="1:22" ht="13.5" thickBot="1" x14ac:dyDescent="0.25">
      <c r="A57" s="249">
        <v>44012</v>
      </c>
      <c r="G57" s="102">
        <v>247.6</v>
      </c>
      <c r="H57" s="250">
        <v>3100.29</v>
      </c>
      <c r="I57" s="250">
        <v>25812.880000000001</v>
      </c>
      <c r="J57" s="69">
        <v>5179</v>
      </c>
      <c r="K57" s="250">
        <v>10058.77</v>
      </c>
      <c r="N57" s="100">
        <v>4035</v>
      </c>
      <c r="Q57" s="117">
        <v>589</v>
      </c>
      <c r="R57" s="117">
        <v>2457</v>
      </c>
      <c r="S57" s="117">
        <v>1521</v>
      </c>
      <c r="T57" s="117">
        <v>1251</v>
      </c>
      <c r="U57" s="117">
        <v>462</v>
      </c>
      <c r="V57" s="120">
        <f t="shared" ref="V57:V58" si="3">SUM(Q57:U57)</f>
        <v>6280</v>
      </c>
    </row>
    <row r="58" spans="1:22" x14ac:dyDescent="0.2">
      <c r="A58" s="249">
        <v>44013</v>
      </c>
      <c r="G58" s="102">
        <v>251.38</v>
      </c>
      <c r="H58" s="250">
        <v>3122.95</v>
      </c>
      <c r="I58" s="250">
        <v>25781.82</v>
      </c>
      <c r="J58" s="69">
        <v>5792</v>
      </c>
      <c r="K58" s="250">
        <v>10168.14</v>
      </c>
      <c r="N58" s="100">
        <v>4063</v>
      </c>
      <c r="Q58" s="117">
        <v>592</v>
      </c>
      <c r="R58" s="117">
        <v>2459</v>
      </c>
      <c r="S58" s="117">
        <v>1492</v>
      </c>
      <c r="T58" s="117">
        <v>1299</v>
      </c>
      <c r="U58" s="117">
        <v>447</v>
      </c>
      <c r="V58" s="120">
        <f t="shared" si="3"/>
        <v>6289</v>
      </c>
    </row>
    <row r="59" spans="1:22" x14ac:dyDescent="0.2">
      <c r="J59" s="6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D69D-6510-47D7-8944-9D410AB8194B}">
  <sheetPr codeName="Sheet6"/>
  <dimension ref="C2:J8"/>
  <sheetViews>
    <sheetView workbookViewId="0">
      <selection activeCell="G7" sqref="G7:G8"/>
    </sheetView>
  </sheetViews>
  <sheetFormatPr defaultRowHeight="12" x14ac:dyDescent="0.2"/>
  <cols>
    <col min="3" max="3" width="13.6640625" customWidth="1"/>
    <col min="8" max="8" width="11" customWidth="1"/>
    <col min="9" max="9" width="15.6640625" customWidth="1"/>
  </cols>
  <sheetData>
    <row r="2" spans="3:10" ht="12.75" thickBot="1" x14ac:dyDescent="0.25"/>
    <row r="3" spans="3:10" ht="18.75" thickBot="1" x14ac:dyDescent="0.25">
      <c r="C3" s="121" t="s">
        <v>28</v>
      </c>
      <c r="D3" s="122"/>
      <c r="E3" s="122"/>
      <c r="F3" s="122"/>
      <c r="G3" s="122"/>
      <c r="H3" s="122"/>
      <c r="I3" s="123"/>
      <c r="J3" s="42"/>
    </row>
    <row r="4" spans="3:10" ht="60.75" thickBot="1" x14ac:dyDescent="0.25">
      <c r="C4" s="43">
        <v>44012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41.25" customHeight="1" thickBot="1" x14ac:dyDescent="0.25">
      <c r="C5" s="47" t="s">
        <v>33</v>
      </c>
      <c r="D5" s="48">
        <v>10058.77</v>
      </c>
      <c r="E5" s="49">
        <v>1.8697305590861066E-2</v>
      </c>
      <c r="F5" s="50">
        <v>-3.0979827089337175E-2</v>
      </c>
      <c r="G5" s="51">
        <v>-0.10333333333333333</v>
      </c>
      <c r="H5" s="52" t="s">
        <v>34</v>
      </c>
      <c r="I5" s="53">
        <v>1.011754</v>
      </c>
      <c r="J5" s="42"/>
    </row>
    <row r="6" spans="3:10" ht="21.75" customHeight="1" thickBot="1" x14ac:dyDescent="0.25">
      <c r="C6" s="124" t="s">
        <v>35</v>
      </c>
      <c r="D6" s="126">
        <v>3100.29</v>
      </c>
      <c r="E6" s="128">
        <v>1.5409859690034253E-2</v>
      </c>
      <c r="F6" s="54" t="s">
        <v>36</v>
      </c>
      <c r="G6" s="55" t="s">
        <v>37</v>
      </c>
      <c r="H6" s="126" t="s">
        <v>34</v>
      </c>
      <c r="I6" s="130">
        <v>-0.379942</v>
      </c>
      <c r="J6" s="42"/>
    </row>
    <row r="7" spans="3:10" ht="19.5" customHeight="1" thickBot="1" x14ac:dyDescent="0.25">
      <c r="C7" s="125"/>
      <c r="D7" s="127"/>
      <c r="E7" s="129"/>
      <c r="F7" s="132">
        <v>-4.6127234287910825E-3</v>
      </c>
      <c r="G7" s="132">
        <v>-0.23714832817793491</v>
      </c>
      <c r="H7" s="127"/>
      <c r="I7" s="131"/>
      <c r="J7" s="42"/>
    </row>
    <row r="8" spans="3:10" ht="15.75" thickBot="1" x14ac:dyDescent="0.25">
      <c r="C8" s="47" t="s">
        <v>38</v>
      </c>
      <c r="D8" s="48">
        <v>25812.880000000001</v>
      </c>
      <c r="E8" s="56">
        <v>8.4810789270115313E-3</v>
      </c>
      <c r="F8" s="133"/>
      <c r="G8" s="133"/>
      <c r="H8" s="48" t="s">
        <v>34</v>
      </c>
      <c r="I8" s="57">
        <v>4.1625760000000005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90FDF-A762-457C-99C5-106FEDBEB32B}">
  <sheetPr codeName="Sheet8"/>
  <dimension ref="C2:I14"/>
  <sheetViews>
    <sheetView tabSelected="1" workbookViewId="0">
      <selection activeCell="T18" sqref="T18"/>
    </sheetView>
  </sheetViews>
  <sheetFormatPr defaultRowHeight="12" x14ac:dyDescent="0.2"/>
  <cols>
    <col min="3" max="3" width="16.1640625" customWidth="1"/>
    <col min="4" max="4" width="15.5" customWidth="1"/>
    <col min="5" max="5" width="21" customWidth="1"/>
    <col min="7" max="7" width="10.33203125" customWidth="1"/>
    <col min="8" max="8" width="14.33203125" customWidth="1"/>
    <col min="9" max="9" width="18" customWidth="1"/>
  </cols>
  <sheetData>
    <row r="2" spans="3:9" ht="12.75" thickBot="1" x14ac:dyDescent="0.25"/>
    <row r="3" spans="3:9" ht="20.25" x14ac:dyDescent="0.2">
      <c r="C3" s="151" t="s">
        <v>55</v>
      </c>
      <c r="D3" s="152"/>
      <c r="E3" s="152"/>
      <c r="F3" s="152"/>
      <c r="G3" s="152"/>
      <c r="H3" s="152"/>
      <c r="I3" s="153"/>
    </row>
    <row r="4" spans="3:9" ht="21" thickBot="1" x14ac:dyDescent="0.25">
      <c r="C4" s="154" t="s">
        <v>56</v>
      </c>
      <c r="D4" s="155"/>
      <c r="E4" s="155"/>
      <c r="F4" s="155"/>
      <c r="G4" s="155"/>
      <c r="H4" s="155"/>
      <c r="I4" s="156"/>
    </row>
    <row r="5" spans="3:9" ht="60.75" thickBot="1" x14ac:dyDescent="0.25">
      <c r="C5" s="72" t="s">
        <v>57</v>
      </c>
      <c r="D5" s="73" t="s">
        <v>58</v>
      </c>
      <c r="E5" s="73" t="s">
        <v>59</v>
      </c>
      <c r="F5" s="74" t="s">
        <v>60</v>
      </c>
      <c r="G5" s="73" t="s">
        <v>61</v>
      </c>
      <c r="H5" s="73" t="s">
        <v>62</v>
      </c>
      <c r="I5" s="73" t="s">
        <v>63</v>
      </c>
    </row>
    <row r="6" spans="3:9" ht="26.25" thickBot="1" x14ac:dyDescent="0.25">
      <c r="C6" s="75">
        <v>43830</v>
      </c>
      <c r="D6" s="76" t="s">
        <v>64</v>
      </c>
      <c r="E6" s="77" t="s">
        <v>65</v>
      </c>
      <c r="F6" s="78">
        <v>55</v>
      </c>
      <c r="G6" s="79">
        <v>212.61</v>
      </c>
      <c r="H6" s="80">
        <v>4.2999999999999997E-2</v>
      </c>
      <c r="I6" s="81">
        <v>4.2999999999999997E-2</v>
      </c>
    </row>
    <row r="7" spans="3:9" ht="13.5" thickTop="1" x14ac:dyDescent="0.2">
      <c r="C7" s="139">
        <v>43885</v>
      </c>
      <c r="D7" s="141" t="s">
        <v>66</v>
      </c>
      <c r="E7" s="82" t="s">
        <v>67</v>
      </c>
      <c r="F7" s="143">
        <v>3</v>
      </c>
      <c r="G7" s="145">
        <v>221.84</v>
      </c>
      <c r="H7" s="157">
        <v>0</v>
      </c>
      <c r="I7" s="149">
        <v>4.2999999999999997E-2</v>
      </c>
    </row>
    <row r="8" spans="3:9" ht="13.5" thickBot="1" x14ac:dyDescent="0.25">
      <c r="C8" s="140"/>
      <c r="D8" s="142"/>
      <c r="E8" s="77" t="s">
        <v>68</v>
      </c>
      <c r="F8" s="144"/>
      <c r="G8" s="146"/>
      <c r="H8" s="158"/>
      <c r="I8" s="150"/>
    </row>
    <row r="9" spans="3:9" ht="39" thickBot="1" x14ac:dyDescent="0.25">
      <c r="C9" s="83">
        <v>43888</v>
      </c>
      <c r="D9" s="84" t="s">
        <v>69</v>
      </c>
      <c r="E9" s="77" t="s">
        <v>70</v>
      </c>
      <c r="F9" s="78">
        <v>38</v>
      </c>
      <c r="G9" s="79">
        <v>24.65</v>
      </c>
      <c r="H9" s="80">
        <v>5.6000000000000001E-2</v>
      </c>
      <c r="I9" s="81">
        <v>0.10199999999999999</v>
      </c>
    </row>
    <row r="10" spans="3:9" ht="13.5" thickTop="1" x14ac:dyDescent="0.2">
      <c r="C10" s="139">
        <v>43927</v>
      </c>
      <c r="D10" s="141" t="s">
        <v>64</v>
      </c>
      <c r="E10" s="85" t="s">
        <v>71</v>
      </c>
      <c r="F10" s="143">
        <v>2</v>
      </c>
      <c r="G10" s="145">
        <v>26.03</v>
      </c>
      <c r="H10" s="147">
        <v>0</v>
      </c>
      <c r="I10" s="149">
        <v>0.10199999999999999</v>
      </c>
    </row>
    <row r="11" spans="3:9" ht="13.5" thickBot="1" x14ac:dyDescent="0.25">
      <c r="C11" s="140"/>
      <c r="D11" s="142"/>
      <c r="E11" s="86" t="s">
        <v>72</v>
      </c>
      <c r="F11" s="144"/>
      <c r="G11" s="146"/>
      <c r="H11" s="148"/>
      <c r="I11" s="150"/>
    </row>
    <row r="12" spans="3:9" ht="29.25" thickBot="1" x14ac:dyDescent="0.25">
      <c r="C12" s="87">
        <v>43929</v>
      </c>
      <c r="D12" s="88" t="s">
        <v>64</v>
      </c>
      <c r="E12" s="89" t="s">
        <v>73</v>
      </c>
      <c r="F12" s="90">
        <v>41</v>
      </c>
      <c r="G12" s="91">
        <v>198.08</v>
      </c>
      <c r="H12" s="92">
        <v>0.14499999999999999</v>
      </c>
      <c r="I12" s="93">
        <v>0.26200000000000001</v>
      </c>
    </row>
    <row r="13" spans="3:9" ht="27" thickTop="1" thickBot="1" x14ac:dyDescent="0.25">
      <c r="C13" s="94">
        <v>44012</v>
      </c>
      <c r="D13" s="95" t="s">
        <v>74</v>
      </c>
      <c r="E13" s="96"/>
      <c r="F13" s="78"/>
      <c r="G13" s="79">
        <v>247.6</v>
      </c>
      <c r="H13" s="134"/>
      <c r="I13" s="135"/>
    </row>
    <row r="14" spans="3:9" ht="36" customHeight="1" thickTop="1" thickBot="1" x14ac:dyDescent="0.25">
      <c r="C14" s="97"/>
      <c r="D14" s="98"/>
      <c r="E14" s="136" t="s">
        <v>75</v>
      </c>
      <c r="F14" s="137"/>
      <c r="G14" s="137"/>
      <c r="H14" s="138"/>
      <c r="I14" s="99">
        <v>0.26200000000000001</v>
      </c>
    </row>
  </sheetData>
  <mergeCells count="16">
    <mergeCell ref="C3:I3"/>
    <mergeCell ref="C4:I4"/>
    <mergeCell ref="C7:C8"/>
    <mergeCell ref="D7:D8"/>
    <mergeCell ref="F7:F8"/>
    <mergeCell ref="G7:G8"/>
    <mergeCell ref="H7:H8"/>
    <mergeCell ref="I7:I8"/>
    <mergeCell ref="H13:I13"/>
    <mergeCell ref="E14:H14"/>
    <mergeCell ref="C10:C11"/>
    <mergeCell ref="D10:D11"/>
    <mergeCell ref="F10:F11"/>
    <mergeCell ref="G10:G11"/>
    <mergeCell ref="H10:H11"/>
    <mergeCell ref="I10:I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2C992-7CB5-457F-AD01-E4F9FA9EC3F9}">
  <sheetPr codeName="Sheet9"/>
  <dimension ref="C2:J10"/>
  <sheetViews>
    <sheetView workbookViewId="0">
      <selection activeCell="I9" sqref="I9"/>
    </sheetView>
  </sheetViews>
  <sheetFormatPr defaultRowHeight="12" x14ac:dyDescent="0.2"/>
  <cols>
    <col min="3" max="3" width="16.33203125" customWidth="1"/>
    <col min="4" max="4" width="13.1640625" customWidth="1"/>
    <col min="5" max="10" width="11.1640625" customWidth="1"/>
  </cols>
  <sheetData>
    <row r="2" spans="3:10" ht="12.75" thickBot="1" x14ac:dyDescent="0.25"/>
    <row r="3" spans="3:10" ht="18.75" thickBot="1" x14ac:dyDescent="0.25">
      <c r="C3" s="159" t="s">
        <v>77</v>
      </c>
      <c r="D3" s="160"/>
      <c r="E3" s="160"/>
      <c r="F3" s="160"/>
      <c r="G3" s="160"/>
      <c r="H3" s="160"/>
      <c r="I3" s="160"/>
      <c r="J3" s="161"/>
    </row>
    <row r="4" spans="3:10" ht="18.75" customHeight="1" thickBot="1" x14ac:dyDescent="0.25">
      <c r="C4" s="103"/>
      <c r="D4" s="114"/>
      <c r="E4" s="104" t="s">
        <v>78</v>
      </c>
      <c r="F4" s="104" t="s">
        <v>79</v>
      </c>
      <c r="G4" s="104" t="s">
        <v>80</v>
      </c>
      <c r="H4" s="105" t="s">
        <v>81</v>
      </c>
      <c r="I4" s="104" t="s">
        <v>82</v>
      </c>
      <c r="J4" s="106" t="s">
        <v>83</v>
      </c>
    </row>
    <row r="5" spans="3:10" ht="18.75" customHeight="1" thickBot="1" x14ac:dyDescent="0.25">
      <c r="C5" s="103" t="s">
        <v>84</v>
      </c>
      <c r="D5" s="115">
        <v>43950</v>
      </c>
      <c r="E5" s="107">
        <v>7.687369603594929E-2</v>
      </c>
      <c r="F5" s="107">
        <v>0.33140747873535548</v>
      </c>
      <c r="G5" s="107">
        <v>0.23992938533140748</v>
      </c>
      <c r="H5" s="108">
        <v>0.23511474883646286</v>
      </c>
      <c r="I5" s="108">
        <v>0.11667469106082491</v>
      </c>
      <c r="J5" s="109">
        <f>SUM(E5:F5)</f>
        <v>0.40828117477130477</v>
      </c>
    </row>
    <row r="6" spans="3:10" ht="18.75" customHeight="1" thickBot="1" x14ac:dyDescent="0.25">
      <c r="C6" s="103" t="s">
        <v>85</v>
      </c>
      <c r="D6" s="115">
        <v>43957</v>
      </c>
      <c r="E6" s="108">
        <v>7.6491340602950611E-2</v>
      </c>
      <c r="F6" s="107">
        <v>0.35086593970493907</v>
      </c>
      <c r="G6" s="107">
        <v>0.24101988454137269</v>
      </c>
      <c r="H6" s="110">
        <v>0.23059653624118023</v>
      </c>
      <c r="I6" s="108">
        <v>0.1010262989095574</v>
      </c>
      <c r="J6" s="109">
        <f t="shared" ref="J6:J9" si="0">SUM(E6:F6)</f>
        <v>0.42735728030788966</v>
      </c>
    </row>
    <row r="7" spans="3:10" ht="18.75" customHeight="1" thickBot="1" x14ac:dyDescent="0.25">
      <c r="C7" s="103" t="s">
        <v>86</v>
      </c>
      <c r="D7" s="115">
        <v>43964</v>
      </c>
      <c r="E7" s="107">
        <v>8.336005129849311E-2</v>
      </c>
      <c r="F7" s="108">
        <v>0.33728759217697979</v>
      </c>
      <c r="G7" s="107">
        <v>0.24783584482205837</v>
      </c>
      <c r="H7" s="110">
        <v>0.22940044886181468</v>
      </c>
      <c r="I7" s="107">
        <v>0.10211606284065405</v>
      </c>
      <c r="J7" s="109">
        <f t="shared" si="0"/>
        <v>0.4206476434754729</v>
      </c>
    </row>
    <row r="8" spans="3:10" ht="18.75" customHeight="1" thickBot="1" x14ac:dyDescent="0.25">
      <c r="C8" s="103" t="s">
        <v>87</v>
      </c>
      <c r="D8" s="115">
        <v>43971</v>
      </c>
      <c r="E8" s="111">
        <v>8.6413826212193956E-2</v>
      </c>
      <c r="F8" s="111">
        <v>0.36917906865098415</v>
      </c>
      <c r="G8" s="107">
        <v>0.24819971195391263</v>
      </c>
      <c r="H8" s="110">
        <v>0.21587453992638822</v>
      </c>
      <c r="I8" s="108">
        <v>8.033285325652105E-2</v>
      </c>
      <c r="J8" s="109">
        <f t="shared" si="0"/>
        <v>0.45559289486317811</v>
      </c>
    </row>
    <row r="9" spans="3:10" ht="18.75" customHeight="1" thickBot="1" x14ac:dyDescent="0.25">
      <c r="C9" s="103" t="s">
        <v>88</v>
      </c>
      <c r="D9" s="116">
        <v>43979</v>
      </c>
      <c r="E9" s="187">
        <v>2.0854021847070508E-2</v>
      </c>
      <c r="F9" s="188">
        <v>4.5680238331678252E-2</v>
      </c>
      <c r="G9" s="108">
        <v>6.8023833167825218E-2</v>
      </c>
      <c r="H9" s="189">
        <v>0.22393247269116187</v>
      </c>
      <c r="I9" s="190">
        <v>0.64150943396226412</v>
      </c>
      <c r="J9" s="109">
        <f t="shared" si="0"/>
        <v>6.6534260178748764E-2</v>
      </c>
    </row>
    <row r="10" spans="3:10" ht="24.75" thickBot="1" x14ac:dyDescent="0.25">
      <c r="C10" s="112"/>
      <c r="D10" s="105" t="s">
        <v>89</v>
      </c>
      <c r="E10" s="113">
        <v>126</v>
      </c>
      <c r="F10" s="113">
        <v>276</v>
      </c>
      <c r="G10" s="113">
        <v>411</v>
      </c>
      <c r="H10" s="113">
        <v>1353</v>
      </c>
      <c r="I10" s="113">
        <v>3876</v>
      </c>
      <c r="J10" s="113"/>
    </row>
  </sheetData>
  <mergeCells count="1">
    <mergeCell ref="C3:J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8155-1AA6-490D-AB51-653E1CF2A157}">
  <sheetPr codeName="Sheet10"/>
  <dimension ref="C2:E29"/>
  <sheetViews>
    <sheetView workbookViewId="0">
      <selection activeCell="E3" sqref="E3"/>
    </sheetView>
  </sheetViews>
  <sheetFormatPr defaultRowHeight="12" x14ac:dyDescent="0.2"/>
  <cols>
    <col min="3" max="3" width="88.83203125" customWidth="1"/>
    <col min="4" max="4" width="14.1640625" customWidth="1"/>
    <col min="5" max="5" width="14.83203125" customWidth="1"/>
  </cols>
  <sheetData>
    <row r="2" spans="3:5" ht="12.75" thickBot="1" x14ac:dyDescent="0.25"/>
    <row r="3" spans="3:5" ht="18.75" thickBot="1" x14ac:dyDescent="0.25">
      <c r="C3" s="191" t="s">
        <v>96</v>
      </c>
      <c r="D3" s="192"/>
      <c r="E3" s="193">
        <v>43970</v>
      </c>
    </row>
    <row r="4" spans="3:5" ht="19.5" customHeight="1" thickBot="1" x14ac:dyDescent="0.25">
      <c r="C4" s="194" t="s">
        <v>97</v>
      </c>
      <c r="D4" s="230" t="s">
        <v>34</v>
      </c>
      <c r="E4" s="231"/>
    </row>
    <row r="5" spans="3:5" ht="12.75" customHeight="1" thickBot="1" x14ac:dyDescent="0.25">
      <c r="C5" s="195" t="s">
        <v>98</v>
      </c>
      <c r="D5" s="232"/>
      <c r="E5" s="233"/>
    </row>
    <row r="6" spans="3:5" ht="24.75" customHeight="1" thickBot="1" x14ac:dyDescent="0.25">
      <c r="C6" s="196" t="s">
        <v>99</v>
      </c>
      <c r="D6" s="197"/>
      <c r="E6" s="198"/>
    </row>
    <row r="7" spans="3:5" ht="17.25" customHeight="1" thickBot="1" x14ac:dyDescent="0.25">
      <c r="C7" s="199" t="s">
        <v>100</v>
      </c>
      <c r="D7" s="230" t="s">
        <v>101</v>
      </c>
      <c r="E7" s="231"/>
    </row>
    <row r="8" spans="3:5" ht="15.75" customHeight="1" thickBot="1" x14ac:dyDescent="0.25">
      <c r="C8" s="195" t="s">
        <v>102</v>
      </c>
      <c r="D8" s="232"/>
      <c r="E8" s="233"/>
    </row>
    <row r="9" spans="3:5" ht="16.5" thickBot="1" x14ac:dyDescent="0.25">
      <c r="C9" s="200"/>
      <c r="D9" s="201"/>
      <c r="E9" s="202"/>
    </row>
    <row r="10" spans="3:5" ht="36.75" thickBot="1" x14ac:dyDescent="0.25">
      <c r="C10" s="203" t="s">
        <v>103</v>
      </c>
      <c r="D10" s="204" t="s">
        <v>104</v>
      </c>
      <c r="E10" s="205" t="s">
        <v>105</v>
      </c>
    </row>
    <row r="11" spans="3:5" ht="28.5" customHeight="1" thickBot="1" x14ac:dyDescent="0.25">
      <c r="C11" s="195" t="s">
        <v>106</v>
      </c>
      <c r="D11" s="206">
        <v>8</v>
      </c>
      <c r="E11" s="207">
        <v>2</v>
      </c>
    </row>
    <row r="12" spans="3:5" ht="36" customHeight="1" thickBot="1" x14ac:dyDescent="0.25">
      <c r="C12" s="208" t="s">
        <v>107</v>
      </c>
      <c r="D12" s="209"/>
      <c r="E12" s="105"/>
    </row>
    <row r="13" spans="3:5" ht="24.75" customHeight="1" thickBot="1" x14ac:dyDescent="0.25">
      <c r="C13" s="210" t="s">
        <v>108</v>
      </c>
      <c r="D13" s="211" t="s">
        <v>109</v>
      </c>
      <c r="E13" s="205" t="s">
        <v>110</v>
      </c>
    </row>
    <row r="14" spans="3:5" ht="15.75" customHeight="1" thickBot="1" x14ac:dyDescent="0.25">
      <c r="C14" s="212" t="s">
        <v>111</v>
      </c>
      <c r="D14" s="213">
        <v>7</v>
      </c>
      <c r="E14" s="207">
        <v>3</v>
      </c>
    </row>
    <row r="15" spans="3:5" ht="42" customHeight="1" thickBot="1" x14ac:dyDescent="0.25">
      <c r="C15" s="214" t="s">
        <v>112</v>
      </c>
      <c r="D15" s="215"/>
      <c r="E15" s="216"/>
    </row>
    <row r="16" spans="3:5" ht="20.25" customHeight="1" x14ac:dyDescent="0.2">
      <c r="C16" s="217" t="s">
        <v>113</v>
      </c>
      <c r="D16" s="234">
        <v>1.7</v>
      </c>
      <c r="E16" s="235"/>
    </row>
    <row r="17" spans="3:5" ht="13.5" customHeight="1" thickBot="1" x14ac:dyDescent="0.25">
      <c r="C17" s="195" t="s">
        <v>114</v>
      </c>
      <c r="D17" s="236"/>
      <c r="E17" s="237"/>
    </row>
    <row r="18" spans="3:5" ht="31.5" customHeight="1" x14ac:dyDescent="0.2">
      <c r="C18" s="218" t="s">
        <v>115</v>
      </c>
      <c r="D18" s="238"/>
      <c r="E18" s="240"/>
    </row>
    <row r="19" spans="3:5" ht="24" customHeight="1" thickBot="1" x14ac:dyDescent="0.25">
      <c r="C19" s="218" t="s">
        <v>116</v>
      </c>
      <c r="D19" s="239"/>
      <c r="E19" s="241"/>
    </row>
    <row r="20" spans="3:5" ht="24.75" customHeight="1" thickBot="1" x14ac:dyDescent="0.25">
      <c r="C20" s="219" t="s">
        <v>117</v>
      </c>
      <c r="D20" s="113" t="s">
        <v>33</v>
      </c>
      <c r="E20" s="220" t="s">
        <v>79</v>
      </c>
    </row>
    <row r="21" spans="3:5" ht="22.5" customHeight="1" thickBot="1" x14ac:dyDescent="0.25">
      <c r="C21" s="221" t="s">
        <v>118</v>
      </c>
      <c r="D21" s="113" t="s">
        <v>119</v>
      </c>
      <c r="E21" s="222" t="s">
        <v>120</v>
      </c>
    </row>
    <row r="22" spans="3:5" ht="21" customHeight="1" thickBot="1" x14ac:dyDescent="0.25">
      <c r="C22" s="195" t="s">
        <v>121</v>
      </c>
      <c r="D22" s="113" t="s">
        <v>38</v>
      </c>
      <c r="E22" s="223" t="s">
        <v>122</v>
      </c>
    </row>
    <row r="23" spans="3:5" ht="18.75" customHeight="1" x14ac:dyDescent="0.2">
      <c r="C23" s="242" t="s">
        <v>123</v>
      </c>
      <c r="D23" s="243"/>
      <c r="E23" s="244"/>
    </row>
    <row r="24" spans="3:5" ht="38.25" customHeight="1" thickBot="1" x14ac:dyDescent="0.25">
      <c r="C24" s="245" t="s">
        <v>124</v>
      </c>
      <c r="D24" s="246"/>
      <c r="E24" s="247"/>
    </row>
    <row r="25" spans="3:5" ht="13.5" thickBot="1" x14ac:dyDescent="0.25">
      <c r="C25" s="224" t="s">
        <v>125</v>
      </c>
      <c r="D25" s="48" t="s">
        <v>126</v>
      </c>
      <c r="E25" s="48" t="s">
        <v>127</v>
      </c>
    </row>
    <row r="26" spans="3:5" ht="17.25" customHeight="1" thickBot="1" x14ac:dyDescent="0.25">
      <c r="C26" s="225" t="s">
        <v>128</v>
      </c>
      <c r="D26" s="226" t="s">
        <v>129</v>
      </c>
      <c r="E26" s="226" t="s">
        <v>129</v>
      </c>
    </row>
    <row r="27" spans="3:5" ht="15.75" customHeight="1" thickBot="1" x14ac:dyDescent="0.25">
      <c r="C27" s="227" t="s">
        <v>130</v>
      </c>
      <c r="D27" s="226" t="s">
        <v>129</v>
      </c>
      <c r="E27" s="228" t="s">
        <v>131</v>
      </c>
    </row>
    <row r="28" spans="3:5" ht="13.5" thickBot="1" x14ac:dyDescent="0.25">
      <c r="C28" s="225" t="s">
        <v>132</v>
      </c>
      <c r="D28" s="226" t="s">
        <v>129</v>
      </c>
      <c r="E28" s="228" t="s">
        <v>131</v>
      </c>
    </row>
    <row r="29" spans="3:5" ht="13.5" thickBot="1" x14ac:dyDescent="0.25">
      <c r="C29" s="229" t="s">
        <v>38</v>
      </c>
      <c r="D29" s="226" t="s">
        <v>129</v>
      </c>
      <c r="E29" s="228" t="s">
        <v>131</v>
      </c>
    </row>
  </sheetData>
  <mergeCells count="7">
    <mergeCell ref="C24:E24"/>
    <mergeCell ref="D4:E5"/>
    <mergeCell ref="D7:E8"/>
    <mergeCell ref="D16:E17"/>
    <mergeCell ref="D18:D19"/>
    <mergeCell ref="E18:E19"/>
    <mergeCell ref="C23:E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23CA-0A56-4F39-BBC9-9D9DDE6C17F0}">
  <sheetPr codeName="Sheet3"/>
  <dimension ref="D4:K31"/>
  <sheetViews>
    <sheetView workbookViewId="0">
      <selection activeCell="J14" sqref="J14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171" t="s">
        <v>18</v>
      </c>
      <c r="E5" s="172"/>
      <c r="F5" s="172"/>
      <c r="G5" s="172"/>
      <c r="H5" s="172"/>
      <c r="I5" s="172"/>
      <c r="J5" s="172"/>
      <c r="K5" s="173"/>
    </row>
    <row r="6" spans="4:11" ht="17.25" customHeight="1" thickBot="1" x14ac:dyDescent="0.25">
      <c r="D6" s="174" t="s">
        <v>19</v>
      </c>
      <c r="E6" s="175"/>
      <c r="F6" s="175"/>
      <c r="G6" s="175"/>
      <c r="H6" s="175"/>
      <c r="I6" s="175"/>
      <c r="J6" s="175"/>
      <c r="K6" s="176"/>
    </row>
    <row r="7" spans="4:11" ht="37.5" customHeight="1" x14ac:dyDescent="0.2">
      <c r="D7" s="177" t="s">
        <v>13</v>
      </c>
      <c r="E7" s="179" t="s">
        <v>0</v>
      </c>
      <c r="F7" s="179" t="s">
        <v>14</v>
      </c>
      <c r="G7" s="181" t="s">
        <v>20</v>
      </c>
      <c r="H7" s="181" t="s">
        <v>21</v>
      </c>
      <c r="I7" s="183" t="s">
        <v>17</v>
      </c>
      <c r="J7" s="12" t="s">
        <v>22</v>
      </c>
      <c r="K7" s="185" t="s">
        <v>24</v>
      </c>
    </row>
    <row r="8" spans="4:11" ht="15" customHeight="1" thickBot="1" x14ac:dyDescent="0.25">
      <c r="D8" s="178"/>
      <c r="E8" s="180"/>
      <c r="F8" s="180"/>
      <c r="G8" s="182"/>
      <c r="H8" s="182"/>
      <c r="I8" s="184"/>
      <c r="J8" s="13" t="s">
        <v>23</v>
      </c>
      <c r="K8" s="186"/>
    </row>
    <row r="9" spans="4:11" ht="18.75" customHeight="1" thickBot="1" x14ac:dyDescent="0.25">
      <c r="D9" s="14">
        <v>13</v>
      </c>
      <c r="E9" s="15">
        <v>43962</v>
      </c>
      <c r="F9" s="16">
        <v>9192.34</v>
      </c>
      <c r="G9" s="17">
        <v>7.7861537584472907E-3</v>
      </c>
      <c r="H9" s="18">
        <v>3.5695115405260332E-2</v>
      </c>
      <c r="I9" s="19">
        <v>20</v>
      </c>
      <c r="J9" s="20" t="s">
        <v>11</v>
      </c>
      <c r="K9" s="21" t="s">
        <v>8</v>
      </c>
    </row>
    <row r="10" spans="4:11" ht="18.75" customHeight="1" thickBot="1" x14ac:dyDescent="0.25">
      <c r="D10" s="14">
        <v>12</v>
      </c>
      <c r="E10" s="15">
        <v>43963</v>
      </c>
      <c r="F10" s="16">
        <v>9002.5499999999993</v>
      </c>
      <c r="G10" s="22">
        <v>-2.0646538313421923E-2</v>
      </c>
      <c r="H10" s="18">
        <v>9.8730240995076449E-2</v>
      </c>
      <c r="I10" s="19">
        <v>21</v>
      </c>
      <c r="J10" s="20" t="s">
        <v>12</v>
      </c>
      <c r="K10" s="21" t="s">
        <v>9</v>
      </c>
    </row>
    <row r="11" spans="4:11" ht="18.75" customHeight="1" thickBot="1" x14ac:dyDescent="0.25">
      <c r="D11" s="14">
        <v>11</v>
      </c>
      <c r="E11" s="15">
        <v>43964</v>
      </c>
      <c r="F11" s="23">
        <v>8863.17</v>
      </c>
      <c r="G11" s="24">
        <v>-1.5482280020660726E-2</v>
      </c>
      <c r="H11" s="18">
        <v>-1.5330188679245283E-2</v>
      </c>
      <c r="I11" s="19">
        <v>22</v>
      </c>
      <c r="J11" s="20" t="s">
        <v>7</v>
      </c>
      <c r="K11" s="25" t="s">
        <v>8</v>
      </c>
    </row>
    <row r="12" spans="4:11" ht="18.75" customHeight="1" thickBot="1" x14ac:dyDescent="0.25">
      <c r="D12" s="14">
        <v>10</v>
      </c>
      <c r="E12" s="15">
        <v>43965</v>
      </c>
      <c r="F12" s="23">
        <v>8943.7199999999993</v>
      </c>
      <c r="G12" s="24">
        <v>9.0881704852777585E-3</v>
      </c>
      <c r="H12" s="26">
        <v>-7.0419161676646705E-2</v>
      </c>
      <c r="I12" s="19">
        <v>23</v>
      </c>
      <c r="J12" s="20" t="s">
        <v>7</v>
      </c>
      <c r="K12" s="21" t="s">
        <v>9</v>
      </c>
    </row>
    <row r="13" spans="4:11" ht="18.75" customHeight="1" thickBot="1" x14ac:dyDescent="0.25">
      <c r="D13" s="14">
        <v>9</v>
      </c>
      <c r="E13" s="15">
        <v>43966</v>
      </c>
      <c r="F13" s="23">
        <v>9014.56</v>
      </c>
      <c r="G13" s="27">
        <v>7.9206415227668289E-3</v>
      </c>
      <c r="H13" s="18">
        <v>7.2919350682813702E-2</v>
      </c>
      <c r="I13" s="19">
        <v>24</v>
      </c>
      <c r="J13" s="20" t="s">
        <v>11</v>
      </c>
      <c r="K13" s="25" t="s">
        <v>8</v>
      </c>
    </row>
    <row r="14" spans="4:11" ht="18.75" customHeight="1" thickBot="1" x14ac:dyDescent="0.25">
      <c r="D14" s="14">
        <v>8</v>
      </c>
      <c r="E14" s="15">
        <v>43969</v>
      </c>
      <c r="F14" s="23">
        <v>9234.83</v>
      </c>
      <c r="G14" s="24">
        <v>2.4434914183276882E-2</v>
      </c>
      <c r="H14" s="26">
        <v>-3.0979827089337175E-2</v>
      </c>
      <c r="I14" s="19">
        <v>25</v>
      </c>
      <c r="J14" s="20" t="s">
        <v>7</v>
      </c>
      <c r="K14" s="21" t="s">
        <v>9</v>
      </c>
    </row>
    <row r="15" spans="4:11" ht="18.75" customHeight="1" thickBot="1" x14ac:dyDescent="0.25">
      <c r="D15" s="14">
        <v>7</v>
      </c>
      <c r="E15" s="15">
        <v>43970</v>
      </c>
      <c r="F15" s="23">
        <v>9185.1</v>
      </c>
      <c r="G15" s="24">
        <v>-5.3850476944350429E-3</v>
      </c>
      <c r="H15" s="26">
        <v>6.9392812887236676E-3</v>
      </c>
      <c r="I15" s="19">
        <v>26</v>
      </c>
      <c r="J15" s="20" t="s">
        <v>53</v>
      </c>
      <c r="K15" s="21" t="s">
        <v>9</v>
      </c>
    </row>
    <row r="16" spans="4:11" ht="18.75" customHeight="1" thickBot="1" x14ac:dyDescent="0.25">
      <c r="D16" s="14">
        <v>6</v>
      </c>
      <c r="E16" s="15">
        <v>43971</v>
      </c>
      <c r="F16" s="23">
        <v>9375.68</v>
      </c>
      <c r="G16" s="28">
        <v>2.0748821460844183E-2</v>
      </c>
      <c r="H16" s="26">
        <v>4.9716957912872263E-2</v>
      </c>
      <c r="I16" s="19">
        <v>27</v>
      </c>
      <c r="J16" s="20" t="s">
        <v>10</v>
      </c>
      <c r="K16" s="40" t="s">
        <v>8</v>
      </c>
    </row>
    <row r="17" spans="4:11" ht="18.75" customHeight="1" thickBot="1" x14ac:dyDescent="0.25">
      <c r="D17" s="14">
        <v>5</v>
      </c>
      <c r="E17" s="15">
        <v>43972</v>
      </c>
      <c r="F17" s="16">
        <v>9284.8799999999992</v>
      </c>
      <c r="G17" s="30">
        <v>-9.6846308747739994E-3</v>
      </c>
      <c r="H17" s="26">
        <v>-0.13270808909730364</v>
      </c>
      <c r="I17" s="19">
        <v>28</v>
      </c>
      <c r="J17" s="20" t="s">
        <v>7</v>
      </c>
      <c r="K17" s="25" t="s">
        <v>8</v>
      </c>
    </row>
    <row r="18" spans="4:11" ht="18.75" customHeight="1" thickBot="1" x14ac:dyDescent="0.25">
      <c r="D18" s="14">
        <v>4</v>
      </c>
      <c r="E18" s="15">
        <v>43973</v>
      </c>
      <c r="F18" s="16">
        <v>9324.59</v>
      </c>
      <c r="G18" s="30">
        <v>4.2768457966070586E-3</v>
      </c>
      <c r="H18" s="18">
        <v>-2.1086780210867802E-2</v>
      </c>
      <c r="I18" s="19">
        <v>29</v>
      </c>
      <c r="J18" s="20" t="s">
        <v>7</v>
      </c>
      <c r="K18" s="40" t="s">
        <v>9</v>
      </c>
    </row>
    <row r="19" spans="4:11" ht="18.75" customHeight="1" thickBot="1" x14ac:dyDescent="0.25">
      <c r="D19" s="14">
        <v>3</v>
      </c>
      <c r="E19" s="15">
        <v>43977</v>
      </c>
      <c r="F19" s="16">
        <v>9340.2199999999993</v>
      </c>
      <c r="G19" s="32">
        <v>1.6762131096379786E-3</v>
      </c>
      <c r="H19" s="18">
        <v>0.2167909417288042</v>
      </c>
      <c r="I19" s="19">
        <v>30</v>
      </c>
      <c r="J19" s="20" t="s">
        <v>7</v>
      </c>
      <c r="K19" s="41" t="s">
        <v>7</v>
      </c>
    </row>
    <row r="20" spans="4:11" ht="18.75" customHeight="1" thickBot="1" x14ac:dyDescent="0.25">
      <c r="D20" s="14">
        <v>2</v>
      </c>
      <c r="E20" s="15">
        <v>43978</v>
      </c>
      <c r="F20" s="16">
        <v>9412.36</v>
      </c>
      <c r="G20" s="32">
        <v>7.7235868105891767E-3</v>
      </c>
      <c r="H20" s="26">
        <v>5.6740807989105763E-3</v>
      </c>
      <c r="I20" s="19">
        <v>31</v>
      </c>
      <c r="J20" s="20" t="s">
        <v>11</v>
      </c>
      <c r="K20" s="21" t="s">
        <v>8</v>
      </c>
    </row>
    <row r="21" spans="4:11" ht="18.75" customHeight="1" thickBot="1" x14ac:dyDescent="0.25">
      <c r="D21" s="14">
        <v>1</v>
      </c>
      <c r="E21" s="15">
        <v>43979</v>
      </c>
      <c r="F21" s="16">
        <v>9368.99</v>
      </c>
      <c r="G21" s="33">
        <v>-4.6077710584806362E-3</v>
      </c>
      <c r="H21" s="26">
        <v>-9.9526066350710901E-2</v>
      </c>
      <c r="I21" s="19">
        <v>32</v>
      </c>
      <c r="J21" s="20" t="s">
        <v>7</v>
      </c>
      <c r="K21" s="21" t="s">
        <v>8</v>
      </c>
    </row>
    <row r="22" spans="4:11" ht="18.75" customHeight="1" thickBot="1" x14ac:dyDescent="0.25">
      <c r="D22" s="14">
        <v>7</v>
      </c>
      <c r="E22" s="15">
        <v>43955</v>
      </c>
      <c r="F22" s="16">
        <v>8710.7199999999993</v>
      </c>
      <c r="G22" s="17">
        <v>1.2291762299606461E-2</v>
      </c>
      <c r="H22" s="18">
        <v>-9.5401313910311342E-2</v>
      </c>
      <c r="I22" s="19">
        <v>33</v>
      </c>
      <c r="J22" s="20" t="s">
        <v>7</v>
      </c>
      <c r="K22" s="21" t="s">
        <v>9</v>
      </c>
    </row>
    <row r="23" spans="4:11" ht="18.75" customHeight="1" thickBot="1" x14ac:dyDescent="0.25">
      <c r="D23" s="14">
        <v>6</v>
      </c>
      <c r="E23" s="34">
        <v>43956</v>
      </c>
      <c r="F23" s="35">
        <v>8809.1200000000008</v>
      </c>
      <c r="G23" s="33">
        <v>1.1296425553800542E-2</v>
      </c>
      <c r="H23" s="26">
        <v>0.21218819071676664</v>
      </c>
      <c r="I23" s="19">
        <v>34</v>
      </c>
      <c r="J23" s="20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43957</v>
      </c>
      <c r="F24" s="35">
        <v>8854.39</v>
      </c>
      <c r="G24" s="17">
        <v>5.1389923170530784E-3</v>
      </c>
      <c r="H24" s="36">
        <v>-7.866631935399844E-2</v>
      </c>
      <c r="I24" s="19">
        <v>35</v>
      </c>
      <c r="J24" s="20" t="s">
        <v>7</v>
      </c>
      <c r="K24" s="21" t="s">
        <v>9</v>
      </c>
    </row>
    <row r="25" spans="4:11" ht="18.75" customHeight="1" thickBot="1" x14ac:dyDescent="0.25">
      <c r="D25" s="14">
        <v>4</v>
      </c>
      <c r="E25" s="34">
        <v>43958</v>
      </c>
      <c r="F25" s="35">
        <v>8979.66</v>
      </c>
      <c r="G25" s="32">
        <v>1.4147784319416747E-2</v>
      </c>
      <c r="H25" s="36">
        <v>3.4492507774950526E-2</v>
      </c>
      <c r="I25" s="19">
        <v>36</v>
      </c>
      <c r="J25" s="20" t="s">
        <v>10</v>
      </c>
      <c r="K25" s="25" t="s">
        <v>8</v>
      </c>
    </row>
    <row r="26" spans="4:11" ht="18.75" customHeight="1" thickBot="1" x14ac:dyDescent="0.25">
      <c r="D26" s="14">
        <v>3</v>
      </c>
      <c r="E26" s="34">
        <v>43959</v>
      </c>
      <c r="F26" s="35">
        <v>9121.32</v>
      </c>
      <c r="G26" s="36">
        <v>1.5775652975725123E-2</v>
      </c>
      <c r="H26" s="26">
        <v>1.8311013938234491E-2</v>
      </c>
      <c r="I26" s="19">
        <v>37</v>
      </c>
      <c r="J26" s="20" t="s">
        <v>10</v>
      </c>
      <c r="K26" s="37" t="s">
        <v>8</v>
      </c>
    </row>
    <row r="27" spans="4:11" ht="18.75" customHeight="1" thickBot="1" x14ac:dyDescent="0.25">
      <c r="D27" s="14">
        <v>2</v>
      </c>
      <c r="E27" s="34">
        <v>43962</v>
      </c>
      <c r="F27" s="35">
        <v>9192.34</v>
      </c>
      <c r="G27" s="32">
        <v>7.7861537584472907E-3</v>
      </c>
      <c r="H27" s="26">
        <v>3.5695115405260332E-2</v>
      </c>
      <c r="I27" s="19">
        <v>38</v>
      </c>
      <c r="J27" s="20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43963</v>
      </c>
      <c r="F28" s="35">
        <v>9002.5499999999993</v>
      </c>
      <c r="G28" s="17">
        <v>-2.0646538313421923E-2</v>
      </c>
      <c r="H28" s="39">
        <v>9.8730240995076449E-2</v>
      </c>
      <c r="I28" s="19"/>
      <c r="J28" s="20" t="s">
        <v>12</v>
      </c>
      <c r="K28" s="21" t="s">
        <v>9</v>
      </c>
    </row>
    <row r="29" spans="4:11" ht="14.25" x14ac:dyDescent="0.2">
      <c r="D29" s="165"/>
      <c r="E29" s="166"/>
      <c r="F29" s="166"/>
      <c r="G29" s="166"/>
      <c r="H29" s="166"/>
      <c r="I29" s="166"/>
      <c r="J29" s="166"/>
      <c r="K29" s="167"/>
    </row>
    <row r="30" spans="4:11" ht="71.25" customHeight="1" x14ac:dyDescent="0.2">
      <c r="D30" s="168" t="s">
        <v>27</v>
      </c>
      <c r="E30" s="169"/>
      <c r="F30" s="169"/>
      <c r="G30" s="169"/>
      <c r="H30" s="169"/>
      <c r="I30" s="169"/>
      <c r="J30" s="169"/>
      <c r="K30" s="170"/>
    </row>
    <row r="31" spans="4:11" ht="12.75" thickBot="1" x14ac:dyDescent="0.25">
      <c r="D31" s="162"/>
      <c r="E31" s="163"/>
      <c r="F31" s="163"/>
      <c r="G31" s="163"/>
      <c r="H31" s="163"/>
      <c r="I31" s="163"/>
      <c r="J31" s="163"/>
      <c r="K31" s="164"/>
    </row>
  </sheetData>
  <mergeCells count="12">
    <mergeCell ref="D31:K31"/>
    <mergeCell ref="D29:K29"/>
    <mergeCell ref="D30:K30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conditionalFormatting sqref="K9:K28">
    <cfRule type="cellIs" dxfId="13" priority="17" operator="equal">
      <formula>"DOWNTREND"</formula>
    </cfRule>
    <cfRule type="cellIs" dxfId="12" priority="18" operator="equal">
      <formula>"UPTREND"</formula>
    </cfRule>
  </conditionalFormatting>
  <conditionalFormatting sqref="J9:K28">
    <cfRule type="cellIs" dxfId="11" priority="8" operator="equal">
      <formula>"Major Accumulation"</formula>
    </cfRule>
    <cfRule type="cellIs" dxfId="10" priority="9" operator="equal">
      <formula>"Minor Accumulation"</formula>
    </cfRule>
    <cfRule type="cellIs" dxfId="9" priority="10" operator="equal">
      <formula>"Minor Distribution"</formula>
    </cfRule>
    <cfRule type="containsText" dxfId="8" priority="11" operator="containsText" text="Major Distribution">
      <formula>NOT(ISERROR(SEARCH("Major Distribution",J9)))</formula>
    </cfRule>
  </conditionalFormatting>
  <conditionalFormatting sqref="H9:H28">
    <cfRule type="cellIs" dxfId="7" priority="6" operator="lessThan">
      <formula>0</formula>
    </cfRule>
    <cfRule type="cellIs" dxfId="6" priority="7" operator="greaterThan">
      <formula>0</formula>
    </cfRule>
  </conditionalFormatting>
  <conditionalFormatting sqref="G9:G28">
    <cfRule type="cellIs" dxfId="5" priority="1" operator="between">
      <formula>0</formula>
      <formula>-0.002</formula>
    </cfRule>
    <cfRule type="cellIs" dxfId="4" priority="2" operator="between">
      <formula>0.2%</formula>
      <formula>1%</formula>
    </cfRule>
    <cfRule type="cellIs" dxfId="3" priority="3" operator="lessThanOrEqual">
      <formula>-1%</formula>
    </cfRule>
    <cfRule type="cellIs" dxfId="2" priority="5" operator="greaterThanOrEqual">
      <formula>1%</formula>
    </cfRule>
  </conditionalFormatting>
  <conditionalFormatting sqref="S11">
    <cfRule type="cellIs" dxfId="1" priority="4" operator="greaterThan">
      <formula>0.0099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2208314D-3A26-4F42-9702-08299F45DB9A}">
            <xm:f>NOT(ISERROR(SEARCH(Minus,K9)))</xm:f>
            <xm:f>Minus</xm:f>
            <x14:dxf>
              <fill>
                <patternFill patternType="solid">
                  <bgColor theme="0"/>
                </patternFill>
              </fill>
            </x14:dxf>
          </x14:cfRule>
          <xm:sqref>K9:K28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86A4-8F75-4FF5-921B-8BA8AA9C0329}">
  <sheetPr codeName="Sheet5"/>
  <dimension ref="A1:P34"/>
  <sheetViews>
    <sheetView workbookViewId="0">
      <selection sqref="A1:XFD1048576"/>
    </sheetView>
  </sheetViews>
  <sheetFormatPr defaultRowHeight="12" x14ac:dyDescent="0.2"/>
  <cols>
    <col min="1" max="1" width="9.83203125" bestFit="1" customWidth="1"/>
    <col min="2" max="2" width="13" customWidth="1"/>
    <col min="3" max="3" width="14.33203125" customWidth="1"/>
    <col min="6" max="6" width="2.83203125" style="1" customWidth="1"/>
    <col min="7" max="7" width="12.5" style="5" customWidth="1"/>
    <col min="8" max="8" width="13" customWidth="1"/>
    <col min="9" max="9" width="12.33203125" customWidth="1"/>
    <col min="10" max="10" width="14" style="8" customWidth="1"/>
    <col min="15" max="15" width="9.5" bestFit="1" customWidth="1"/>
    <col min="16" max="16" width="9.83203125" bestFit="1" customWidth="1"/>
    <col min="17" max="20" width="9.5" bestFit="1" customWidth="1"/>
  </cols>
  <sheetData>
    <row r="1" spans="1:16" s="9" customFormat="1" ht="34.5" customHeight="1" thickBot="1" x14ac:dyDescent="0.25">
      <c r="A1" s="9" t="s">
        <v>0</v>
      </c>
      <c r="B1" s="9" t="s">
        <v>1</v>
      </c>
      <c r="C1" s="9" t="s">
        <v>2</v>
      </c>
      <c r="F1" s="10"/>
      <c r="G1" s="9" t="s">
        <v>3</v>
      </c>
      <c r="H1" s="9" t="s">
        <v>4</v>
      </c>
      <c r="I1" s="9" t="s">
        <v>5</v>
      </c>
      <c r="J1" s="9" t="s">
        <v>6</v>
      </c>
    </row>
    <row r="2" spans="1:16" x14ac:dyDescent="0.2">
      <c r="A2" s="2">
        <v>43934</v>
      </c>
      <c r="G2" s="3">
        <v>8192.42</v>
      </c>
      <c r="J2" s="6">
        <v>3105</v>
      </c>
    </row>
    <row r="3" spans="1:16" x14ac:dyDescent="0.2">
      <c r="A3" s="2">
        <v>43935</v>
      </c>
      <c r="G3" s="4">
        <v>8515.74</v>
      </c>
      <c r="J3" s="11">
        <v>3441</v>
      </c>
    </row>
    <row r="4" spans="1:16" x14ac:dyDescent="0.2">
      <c r="A4" s="2">
        <v>43936</v>
      </c>
      <c r="G4" s="4">
        <v>8393.18</v>
      </c>
      <c r="J4" s="11">
        <v>3266</v>
      </c>
    </row>
    <row r="5" spans="1:16" x14ac:dyDescent="0.2">
      <c r="A5" s="2">
        <v>43937</v>
      </c>
      <c r="G5" s="4">
        <v>8532.36</v>
      </c>
      <c r="J5" s="11">
        <v>3659</v>
      </c>
    </row>
    <row r="6" spans="1:16" x14ac:dyDescent="0.2">
      <c r="A6" s="2">
        <v>43938</v>
      </c>
      <c r="G6" s="4">
        <v>8650.14</v>
      </c>
      <c r="J6" s="11">
        <v>4011</v>
      </c>
    </row>
    <row r="7" spans="1:16" x14ac:dyDescent="0.2">
      <c r="A7" s="2">
        <v>43941</v>
      </c>
      <c r="G7" s="4">
        <v>8560.73</v>
      </c>
      <c r="J7" s="11">
        <v>3726</v>
      </c>
    </row>
    <row r="8" spans="1:16" x14ac:dyDescent="0.2">
      <c r="A8" s="2">
        <v>43942</v>
      </c>
      <c r="G8" s="4">
        <v>8263.23</v>
      </c>
      <c r="J8" s="11">
        <v>3501</v>
      </c>
    </row>
    <row r="9" spans="1:16" x14ac:dyDescent="0.2">
      <c r="A9" s="2">
        <v>43943</v>
      </c>
      <c r="G9" s="4">
        <v>8495.3799999999992</v>
      </c>
      <c r="J9" s="11">
        <v>2770</v>
      </c>
    </row>
    <row r="10" spans="1:16" x14ac:dyDescent="0.2">
      <c r="A10" s="2">
        <v>43944</v>
      </c>
      <c r="G10" s="4">
        <v>8494.75</v>
      </c>
      <c r="J10" s="11">
        <v>3497</v>
      </c>
    </row>
    <row r="11" spans="1:16" x14ac:dyDescent="0.2">
      <c r="A11" s="2">
        <v>43945</v>
      </c>
      <c r="G11" s="4">
        <v>8634.52</v>
      </c>
      <c r="J11" s="11">
        <v>3391</v>
      </c>
    </row>
    <row r="12" spans="1:16" x14ac:dyDescent="0.2">
      <c r="A12" s="2">
        <v>43948</v>
      </c>
      <c r="G12" s="4">
        <v>8730.16</v>
      </c>
      <c r="J12" s="11">
        <v>3445</v>
      </c>
    </row>
    <row r="13" spans="1:16" x14ac:dyDescent="0.2">
      <c r="A13" s="2">
        <v>43949</v>
      </c>
      <c r="G13" s="4">
        <v>8607.73</v>
      </c>
      <c r="J13" s="11">
        <v>3469</v>
      </c>
    </row>
    <row r="14" spans="1:16" x14ac:dyDescent="0.2">
      <c r="A14" s="2">
        <v>43950</v>
      </c>
      <c r="G14" s="4">
        <v>8914.7099999999991</v>
      </c>
      <c r="J14" s="11">
        <v>4267</v>
      </c>
    </row>
    <row r="15" spans="1:16" x14ac:dyDescent="0.2">
      <c r="A15" s="2">
        <v>43951</v>
      </c>
      <c r="G15" s="4">
        <v>8889.5499999999993</v>
      </c>
      <c r="J15" s="11">
        <v>3884</v>
      </c>
      <c r="P15" s="2"/>
    </row>
    <row r="16" spans="1:16" x14ac:dyDescent="0.2">
      <c r="A16" s="2">
        <v>43952</v>
      </c>
      <c r="G16" s="4">
        <v>8604.9500000000007</v>
      </c>
      <c r="J16" s="11">
        <v>3501</v>
      </c>
      <c r="P16" s="2"/>
    </row>
    <row r="17" spans="1:16" x14ac:dyDescent="0.2">
      <c r="A17" s="2">
        <v>43955</v>
      </c>
      <c r="G17" s="4">
        <v>8710.7199999999993</v>
      </c>
      <c r="J17" s="11">
        <v>3167</v>
      </c>
      <c r="P17" s="2"/>
    </row>
    <row r="18" spans="1:16" x14ac:dyDescent="0.2">
      <c r="A18" s="2">
        <v>43956</v>
      </c>
      <c r="G18" s="4">
        <v>8809.1200000000008</v>
      </c>
      <c r="J18" s="11">
        <v>3839</v>
      </c>
      <c r="P18" s="2"/>
    </row>
    <row r="19" spans="1:16" x14ac:dyDescent="0.2">
      <c r="A19" s="2">
        <v>43957</v>
      </c>
      <c r="G19" s="4">
        <v>8854.39</v>
      </c>
      <c r="J19" s="11">
        <v>3537</v>
      </c>
      <c r="P19" s="2"/>
    </row>
    <row r="20" spans="1:16" x14ac:dyDescent="0.2">
      <c r="A20" s="2">
        <v>43958</v>
      </c>
      <c r="G20" s="4">
        <v>8979.66</v>
      </c>
      <c r="J20" s="11">
        <v>3659</v>
      </c>
      <c r="P20" s="2"/>
    </row>
    <row r="21" spans="1:16" x14ac:dyDescent="0.2">
      <c r="A21" s="2">
        <v>43959</v>
      </c>
      <c r="G21" s="4">
        <v>9121.32</v>
      </c>
      <c r="J21" s="11">
        <v>3726</v>
      </c>
      <c r="P21" s="2"/>
    </row>
    <row r="22" spans="1:16" x14ac:dyDescent="0.2">
      <c r="A22" s="2">
        <v>43962</v>
      </c>
      <c r="G22" s="4">
        <v>9192.34</v>
      </c>
      <c r="J22" s="11">
        <v>3859</v>
      </c>
      <c r="P22" s="2"/>
    </row>
    <row r="23" spans="1:16" x14ac:dyDescent="0.2">
      <c r="A23" s="2">
        <v>43963</v>
      </c>
      <c r="G23" s="4">
        <v>9002.5499999999993</v>
      </c>
      <c r="J23" s="11">
        <v>4240</v>
      </c>
      <c r="P23" s="2"/>
    </row>
    <row r="24" spans="1:16" x14ac:dyDescent="0.2">
      <c r="A24" s="2">
        <v>43964</v>
      </c>
      <c r="G24" s="4">
        <v>8863.17</v>
      </c>
      <c r="J24" s="11">
        <v>4175</v>
      </c>
      <c r="P24" s="2"/>
    </row>
    <row r="25" spans="1:16" x14ac:dyDescent="0.2">
      <c r="A25" s="2">
        <v>43965</v>
      </c>
      <c r="G25" s="4">
        <v>8943.7199999999993</v>
      </c>
      <c r="J25" s="11">
        <v>3881</v>
      </c>
      <c r="P25" s="2"/>
    </row>
    <row r="26" spans="1:16" x14ac:dyDescent="0.2">
      <c r="A26" s="2">
        <v>43966</v>
      </c>
      <c r="G26" s="4">
        <v>9014.56</v>
      </c>
      <c r="J26" s="11">
        <v>4164</v>
      </c>
      <c r="P26" s="2"/>
    </row>
    <row r="27" spans="1:16" x14ac:dyDescent="0.2">
      <c r="A27" s="2">
        <v>43969</v>
      </c>
      <c r="G27" s="4">
        <v>9234.83</v>
      </c>
      <c r="J27" s="11">
        <v>4035</v>
      </c>
      <c r="P27" s="2"/>
    </row>
    <row r="28" spans="1:16" x14ac:dyDescent="0.2">
      <c r="A28" s="2">
        <v>43970</v>
      </c>
      <c r="G28" s="4">
        <v>9185.1</v>
      </c>
      <c r="J28" s="7">
        <v>4063</v>
      </c>
      <c r="P28" s="2"/>
    </row>
    <row r="29" spans="1:16" x14ac:dyDescent="0.2">
      <c r="A29" s="2">
        <v>43971</v>
      </c>
      <c r="G29" s="4">
        <v>9375.68</v>
      </c>
      <c r="J29" s="7">
        <v>4265</v>
      </c>
      <c r="P29" s="2"/>
    </row>
    <row r="30" spans="1:16" x14ac:dyDescent="0.2">
      <c r="A30" s="2">
        <v>43972</v>
      </c>
      <c r="G30" s="4">
        <v>9284.8799999999992</v>
      </c>
      <c r="J30" s="7">
        <v>3699</v>
      </c>
      <c r="P30" s="2"/>
    </row>
    <row r="31" spans="1:16" x14ac:dyDescent="0.2">
      <c r="A31" s="2">
        <v>43973</v>
      </c>
      <c r="G31" s="4">
        <v>9324.59</v>
      </c>
      <c r="J31" s="7">
        <v>3621</v>
      </c>
    </row>
    <row r="32" spans="1:16" x14ac:dyDescent="0.2">
      <c r="A32" s="2">
        <v>43977</v>
      </c>
      <c r="G32" s="4">
        <v>9340.2199999999993</v>
      </c>
      <c r="J32" s="7">
        <v>4406</v>
      </c>
      <c r="P32" s="2"/>
    </row>
    <row r="33" spans="1:16" x14ac:dyDescent="0.2">
      <c r="A33" s="2">
        <v>43978</v>
      </c>
      <c r="G33" s="4">
        <v>9412.36</v>
      </c>
      <c r="J33" s="7">
        <v>4431</v>
      </c>
      <c r="P33" s="2"/>
    </row>
    <row r="34" spans="1:16" x14ac:dyDescent="0.2">
      <c r="A34" s="2">
        <v>43979</v>
      </c>
      <c r="G34" s="4">
        <v>9368.99</v>
      </c>
      <c r="J34" s="7">
        <v>3990</v>
      </c>
      <c r="P34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E54A-CEFC-4B9F-9A43-35FEA7E7F36C}">
  <sheetPr codeName="Sheet4"/>
  <dimension ref="D4:K31"/>
  <sheetViews>
    <sheetView workbookViewId="0">
      <selection activeCell="Z13" sqref="Z13"/>
    </sheetView>
  </sheetViews>
  <sheetFormatPr defaultRowHeight="12" x14ac:dyDescent="0.2"/>
  <cols>
    <col min="5" max="5" width="10.1640625" customWidth="1"/>
    <col min="10" max="10" width="22.5" customWidth="1"/>
    <col min="11" max="11" width="22.83203125" customWidth="1"/>
  </cols>
  <sheetData>
    <row r="4" spans="4:11" ht="12.75" thickBot="1" x14ac:dyDescent="0.25"/>
    <row r="5" spans="4:11" ht="32.25" customHeight="1" x14ac:dyDescent="0.2">
      <c r="D5" s="171" t="s">
        <v>18</v>
      </c>
      <c r="E5" s="172"/>
      <c r="F5" s="172"/>
      <c r="G5" s="172"/>
      <c r="H5" s="172"/>
      <c r="I5" s="172"/>
      <c r="J5" s="172"/>
      <c r="K5" s="173"/>
    </row>
    <row r="6" spans="4:11" ht="17.25" customHeight="1" thickBot="1" x14ac:dyDescent="0.25">
      <c r="D6" s="174" t="s">
        <v>19</v>
      </c>
      <c r="E6" s="175"/>
      <c r="F6" s="175"/>
      <c r="G6" s="175"/>
      <c r="H6" s="175"/>
      <c r="I6" s="175"/>
      <c r="J6" s="175"/>
      <c r="K6" s="176"/>
    </row>
    <row r="7" spans="4:11" ht="37.5" customHeight="1" x14ac:dyDescent="0.2">
      <c r="D7" s="177" t="s">
        <v>13</v>
      </c>
      <c r="E7" s="179" t="s">
        <v>0</v>
      </c>
      <c r="F7" s="179" t="s">
        <v>14</v>
      </c>
      <c r="G7" s="181" t="s">
        <v>20</v>
      </c>
      <c r="H7" s="181" t="s">
        <v>21</v>
      </c>
      <c r="I7" s="183" t="s">
        <v>17</v>
      </c>
      <c r="J7" s="12" t="s">
        <v>22</v>
      </c>
      <c r="K7" s="185" t="s">
        <v>24</v>
      </c>
    </row>
    <row r="8" spans="4:11" ht="15" customHeight="1" thickBot="1" x14ac:dyDescent="0.25">
      <c r="D8" s="178"/>
      <c r="E8" s="180"/>
      <c r="F8" s="180"/>
      <c r="G8" s="182"/>
      <c r="H8" s="182"/>
      <c r="I8" s="184"/>
      <c r="J8" s="13" t="s">
        <v>23</v>
      </c>
      <c r="K8" s="186"/>
    </row>
    <row r="9" spans="4:11" ht="18.75" customHeight="1" thickBot="1" x14ac:dyDescent="0.25">
      <c r="D9" s="14">
        <v>20</v>
      </c>
      <c r="E9" s="15">
        <v>43951</v>
      </c>
      <c r="F9" s="16">
        <v>8889.5499999999993</v>
      </c>
      <c r="G9" s="17">
        <v>-3.0000000000000001E-3</v>
      </c>
      <c r="H9" s="18">
        <v>-4.1000000000000002E-2</v>
      </c>
      <c r="I9" s="19">
        <v>20</v>
      </c>
      <c r="J9" s="20" t="s">
        <v>25</v>
      </c>
      <c r="K9" s="21" t="s">
        <v>8</v>
      </c>
    </row>
    <row r="10" spans="4:11" ht="18.75" customHeight="1" thickBot="1" x14ac:dyDescent="0.25">
      <c r="D10" s="14">
        <v>19</v>
      </c>
      <c r="E10" s="15">
        <v>43952</v>
      </c>
      <c r="F10" s="16">
        <v>8604.9500000000007</v>
      </c>
      <c r="G10" s="22">
        <v>-3.2000000000000001E-2</v>
      </c>
      <c r="H10" s="18">
        <v>-9.9000000000000005E-2</v>
      </c>
      <c r="I10" s="19">
        <v>21</v>
      </c>
      <c r="J10" s="20" t="s">
        <v>25</v>
      </c>
      <c r="K10" s="21" t="s">
        <v>8</v>
      </c>
    </row>
    <row r="11" spans="4:11" ht="18.75" customHeight="1" thickBot="1" x14ac:dyDescent="0.25">
      <c r="D11" s="14">
        <v>18</v>
      </c>
      <c r="E11" s="15">
        <v>43955</v>
      </c>
      <c r="F11" s="23">
        <v>8710.7199999999993</v>
      </c>
      <c r="G11" s="24">
        <v>1.2E-2</v>
      </c>
      <c r="H11" s="18">
        <v>-9.5000000000000001E-2</v>
      </c>
      <c r="I11" s="19">
        <v>22</v>
      </c>
      <c r="J11" s="20" t="s">
        <v>25</v>
      </c>
      <c r="K11" s="25" t="s">
        <v>9</v>
      </c>
    </row>
    <row r="12" spans="4:11" ht="18.75" customHeight="1" thickBot="1" x14ac:dyDescent="0.25">
      <c r="D12" s="14">
        <v>17</v>
      </c>
      <c r="E12" s="15">
        <v>43956</v>
      </c>
      <c r="F12" s="23">
        <v>8809.1200000000008</v>
      </c>
      <c r="G12" s="24">
        <v>1.0999999999999999E-2</v>
      </c>
      <c r="H12" s="26">
        <v>0.13100000000000001</v>
      </c>
      <c r="I12" s="19">
        <v>23</v>
      </c>
      <c r="J12" s="19" t="s">
        <v>10</v>
      </c>
      <c r="K12" s="21" t="s">
        <v>8</v>
      </c>
    </row>
    <row r="13" spans="4:11" ht="18.75" customHeight="1" thickBot="1" x14ac:dyDescent="0.25">
      <c r="D13" s="14">
        <v>16</v>
      </c>
      <c r="E13" s="15">
        <v>43957</v>
      </c>
      <c r="F13" s="23">
        <v>8854.39</v>
      </c>
      <c r="G13" s="27">
        <v>5.0000000000000001E-3</v>
      </c>
      <c r="H13" s="18">
        <v>-7.9000000000000001E-2</v>
      </c>
      <c r="I13" s="19">
        <v>24</v>
      </c>
      <c r="J13" s="20" t="s">
        <v>25</v>
      </c>
      <c r="K13" s="25" t="s">
        <v>9</v>
      </c>
    </row>
    <row r="14" spans="4:11" ht="18.75" customHeight="1" thickBot="1" x14ac:dyDescent="0.25">
      <c r="D14" s="14">
        <v>15</v>
      </c>
      <c r="E14" s="15">
        <v>43958</v>
      </c>
      <c r="F14" s="23">
        <v>8979.66</v>
      </c>
      <c r="G14" s="24">
        <v>1.4E-2</v>
      </c>
      <c r="H14" s="26">
        <v>3.4000000000000002E-2</v>
      </c>
      <c r="I14" s="19">
        <v>25</v>
      </c>
      <c r="J14" s="19" t="s">
        <v>10</v>
      </c>
      <c r="K14" s="21" t="s">
        <v>8</v>
      </c>
    </row>
    <row r="15" spans="4:11" ht="18.75" customHeight="1" thickBot="1" x14ac:dyDescent="0.25">
      <c r="D15" s="14">
        <v>14</v>
      </c>
      <c r="E15" s="15">
        <v>43959</v>
      </c>
      <c r="F15" s="23">
        <v>9121.32</v>
      </c>
      <c r="G15" s="24">
        <v>1.6E-2</v>
      </c>
      <c r="H15" s="26">
        <v>1.7999999999999999E-2</v>
      </c>
      <c r="I15" s="19">
        <v>26</v>
      </c>
      <c r="J15" s="19" t="s">
        <v>10</v>
      </c>
      <c r="K15" s="21" t="s">
        <v>8</v>
      </c>
    </row>
    <row r="16" spans="4:11" ht="18.75" customHeight="1" thickBot="1" x14ac:dyDescent="0.25">
      <c r="D16" s="14">
        <v>13</v>
      </c>
      <c r="E16" s="15">
        <v>43962</v>
      </c>
      <c r="F16" s="23">
        <v>9192.34</v>
      </c>
      <c r="G16" s="28">
        <v>8.0000000000000002E-3</v>
      </c>
      <c r="H16" s="26">
        <v>3.5999999999999997E-2</v>
      </c>
      <c r="I16" s="19">
        <v>27</v>
      </c>
      <c r="J16" s="29" t="s">
        <v>26</v>
      </c>
      <c r="K16" s="21" t="s">
        <v>8</v>
      </c>
    </row>
    <row r="17" spans="4:11" ht="18.75" customHeight="1" thickBot="1" x14ac:dyDescent="0.25">
      <c r="D17" s="14">
        <v>12</v>
      </c>
      <c r="E17" s="15">
        <v>43963</v>
      </c>
      <c r="F17" s="16">
        <v>9002.5499999999993</v>
      </c>
      <c r="G17" s="30">
        <v>-2.1000000000000001E-2</v>
      </c>
      <c r="H17" s="26">
        <v>9.9000000000000005E-2</v>
      </c>
      <c r="I17" s="19">
        <v>28</v>
      </c>
      <c r="J17" s="31" t="s">
        <v>12</v>
      </c>
      <c r="K17" s="25" t="s">
        <v>9</v>
      </c>
    </row>
    <row r="18" spans="4:11" ht="18.75" customHeight="1" thickBot="1" x14ac:dyDescent="0.25">
      <c r="D18" s="14">
        <v>11</v>
      </c>
      <c r="E18" s="15">
        <v>43964</v>
      </c>
      <c r="F18" s="16">
        <v>8863.17</v>
      </c>
      <c r="G18" s="30">
        <v>-1.6E-2</v>
      </c>
      <c r="H18" s="18">
        <v>-1.6E-2</v>
      </c>
      <c r="I18" s="19">
        <v>29</v>
      </c>
      <c r="J18" s="20" t="s">
        <v>25</v>
      </c>
      <c r="K18" s="21" t="s">
        <v>8</v>
      </c>
    </row>
    <row r="19" spans="4:11" ht="18.75" customHeight="1" thickBot="1" x14ac:dyDescent="0.25">
      <c r="D19" s="14">
        <v>10</v>
      </c>
      <c r="E19" s="15">
        <v>43965</v>
      </c>
      <c r="F19" s="16">
        <v>8943.7199999999993</v>
      </c>
      <c r="G19" s="32">
        <v>8.9999999999999993E-3</v>
      </c>
      <c r="H19" s="18">
        <v>-7.0000000000000007E-2</v>
      </c>
      <c r="I19" s="19">
        <v>30</v>
      </c>
      <c r="J19" s="20" t="s">
        <v>25</v>
      </c>
      <c r="K19" s="25" t="s">
        <v>9</v>
      </c>
    </row>
    <row r="20" spans="4:11" ht="18.75" customHeight="1" thickBot="1" x14ac:dyDescent="0.25">
      <c r="D20" s="14">
        <v>9</v>
      </c>
      <c r="E20" s="15">
        <v>43966</v>
      </c>
      <c r="F20" s="16">
        <v>9014.56</v>
      </c>
      <c r="G20" s="32">
        <v>8.0000000000000002E-3</v>
      </c>
      <c r="H20" s="26">
        <v>7.2999999999999995E-2</v>
      </c>
      <c r="I20" s="19">
        <v>31</v>
      </c>
      <c r="J20" s="29" t="s">
        <v>26</v>
      </c>
      <c r="K20" s="21" t="s">
        <v>8</v>
      </c>
    </row>
    <row r="21" spans="4:11" ht="18.75" customHeight="1" thickBot="1" x14ac:dyDescent="0.25">
      <c r="D21" s="14">
        <v>8</v>
      </c>
      <c r="E21" s="15">
        <v>43969</v>
      </c>
      <c r="F21" s="16">
        <v>9234.83</v>
      </c>
      <c r="G21" s="33">
        <v>2.4E-2</v>
      </c>
      <c r="H21" s="26">
        <v>4.4999999999999998E-2</v>
      </c>
      <c r="I21" s="19">
        <v>32</v>
      </c>
      <c r="J21" s="19" t="s">
        <v>10</v>
      </c>
      <c r="K21" s="21" t="s">
        <v>8</v>
      </c>
    </row>
    <row r="22" spans="4:11" ht="18.75" customHeight="1" thickBot="1" x14ac:dyDescent="0.25">
      <c r="D22" s="14">
        <v>7</v>
      </c>
      <c r="E22" s="15">
        <v>43970</v>
      </c>
      <c r="F22" s="16">
        <v>9185.1</v>
      </c>
      <c r="G22" s="17">
        <v>-5.0000000000000001E-3</v>
      </c>
      <c r="H22" s="18">
        <v>-5.3999999999999999E-2</v>
      </c>
      <c r="I22" s="19">
        <v>33</v>
      </c>
      <c r="J22" s="20" t="s">
        <v>25</v>
      </c>
      <c r="K22" s="21" t="s">
        <v>8</v>
      </c>
    </row>
    <row r="23" spans="4:11" ht="18.75" customHeight="1" thickBot="1" x14ac:dyDescent="0.25">
      <c r="D23" s="14">
        <v>6</v>
      </c>
      <c r="E23" s="34">
        <v>43971</v>
      </c>
      <c r="F23" s="35">
        <v>9375.68</v>
      </c>
      <c r="G23" s="33">
        <v>2.1000000000000001E-2</v>
      </c>
      <c r="H23" s="26">
        <v>0.05</v>
      </c>
      <c r="I23" s="19">
        <v>34</v>
      </c>
      <c r="J23" s="19" t="s">
        <v>10</v>
      </c>
      <c r="K23" s="21" t="s">
        <v>8</v>
      </c>
    </row>
    <row r="24" spans="4:11" ht="18.75" customHeight="1" thickBot="1" x14ac:dyDescent="0.25">
      <c r="D24" s="14">
        <v>5</v>
      </c>
      <c r="E24" s="34">
        <v>43972</v>
      </c>
      <c r="F24" s="35">
        <v>9284.8799999999992</v>
      </c>
      <c r="G24" s="17">
        <v>-8.9999999999999993E-3</v>
      </c>
      <c r="H24" s="36">
        <v>-0.13300000000000001</v>
      </c>
      <c r="I24" s="19">
        <v>35</v>
      </c>
      <c r="J24" s="37" t="s">
        <v>25</v>
      </c>
      <c r="K24" s="21" t="s">
        <v>8</v>
      </c>
    </row>
    <row r="25" spans="4:11" ht="18.75" customHeight="1" thickBot="1" x14ac:dyDescent="0.25">
      <c r="D25" s="14">
        <v>4</v>
      </c>
      <c r="E25" s="34">
        <v>43973</v>
      </c>
      <c r="F25" s="35">
        <v>9324.59</v>
      </c>
      <c r="G25" s="32">
        <v>4.0000000000000001E-3</v>
      </c>
      <c r="H25" s="36">
        <v>-2.1100000000000001E-2</v>
      </c>
      <c r="I25" s="19">
        <v>36</v>
      </c>
      <c r="J25" s="37" t="s">
        <v>25</v>
      </c>
      <c r="K25" s="25" t="s">
        <v>9</v>
      </c>
    </row>
    <row r="26" spans="4:11" ht="18.75" customHeight="1" thickBot="1" x14ac:dyDescent="0.25">
      <c r="D26" s="14">
        <v>3</v>
      </c>
      <c r="E26" s="34">
        <v>43977</v>
      </c>
      <c r="F26" s="35">
        <v>9340.2199999999993</v>
      </c>
      <c r="G26" s="36">
        <v>1.6999999999999999E-3</v>
      </c>
      <c r="H26" s="26">
        <v>0.217</v>
      </c>
      <c r="I26" s="19">
        <v>37</v>
      </c>
      <c r="J26" s="37" t="s">
        <v>25</v>
      </c>
      <c r="K26" s="37" t="s">
        <v>25</v>
      </c>
    </row>
    <row r="27" spans="4:11" ht="18.75" customHeight="1" thickBot="1" x14ac:dyDescent="0.25">
      <c r="D27" s="14">
        <v>2</v>
      </c>
      <c r="E27" s="34">
        <v>43978</v>
      </c>
      <c r="F27" s="35">
        <v>9412.36</v>
      </c>
      <c r="G27" s="32">
        <v>8.0000000000000002E-3</v>
      </c>
      <c r="H27" s="26">
        <v>6.0000000000000001E-3</v>
      </c>
      <c r="I27" s="19">
        <v>38</v>
      </c>
      <c r="J27" s="38" t="s">
        <v>11</v>
      </c>
      <c r="K27" s="21" t="s">
        <v>8</v>
      </c>
    </row>
    <row r="28" spans="4:11" ht="18.75" customHeight="1" thickBot="1" x14ac:dyDescent="0.25">
      <c r="D28" s="14">
        <v>1</v>
      </c>
      <c r="E28" s="34">
        <v>43979</v>
      </c>
      <c r="F28" s="35">
        <v>9368.99</v>
      </c>
      <c r="G28" s="17">
        <v>-5.0000000000000001E-3</v>
      </c>
      <c r="H28" s="39">
        <v>-0.1</v>
      </c>
      <c r="I28" s="19"/>
      <c r="J28" s="37" t="s">
        <v>25</v>
      </c>
      <c r="K28" s="21" t="s">
        <v>8</v>
      </c>
    </row>
    <row r="29" spans="4:11" ht="14.25" x14ac:dyDescent="0.2">
      <c r="D29" s="165"/>
      <c r="E29" s="166"/>
      <c r="F29" s="166"/>
      <c r="G29" s="166"/>
      <c r="H29" s="166"/>
      <c r="I29" s="166"/>
      <c r="J29" s="166"/>
      <c r="K29" s="167"/>
    </row>
    <row r="30" spans="4:11" ht="71.25" customHeight="1" x14ac:dyDescent="0.2">
      <c r="D30" s="168" t="s">
        <v>27</v>
      </c>
      <c r="E30" s="169"/>
      <c r="F30" s="169"/>
      <c r="G30" s="169"/>
      <c r="H30" s="169"/>
      <c r="I30" s="169"/>
      <c r="J30" s="169"/>
      <c r="K30" s="170"/>
    </row>
    <row r="31" spans="4:11" ht="12.75" thickBot="1" x14ac:dyDescent="0.25">
      <c r="D31" s="162"/>
      <c r="E31" s="163"/>
      <c r="F31" s="163"/>
      <c r="G31" s="163"/>
      <c r="H31" s="163"/>
      <c r="I31" s="163"/>
      <c r="J31" s="163"/>
      <c r="K31" s="164"/>
    </row>
  </sheetData>
  <mergeCells count="12">
    <mergeCell ref="D29:K29"/>
    <mergeCell ref="D30:K30"/>
    <mergeCell ref="D31:K31"/>
    <mergeCell ref="D5:K5"/>
    <mergeCell ref="D6:K6"/>
    <mergeCell ref="D7:D8"/>
    <mergeCell ref="E7:E8"/>
    <mergeCell ref="F7:F8"/>
    <mergeCell ref="G7:G8"/>
    <mergeCell ref="H7:H8"/>
    <mergeCell ref="I7:I8"/>
    <mergeCell ref="K7:K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9294-09C0-446E-A1E3-FB00555E9F0E}">
  <sheetPr codeName="Sheet7"/>
  <dimension ref="C2:J8"/>
  <sheetViews>
    <sheetView workbookViewId="0">
      <selection activeCell="F6" sqref="F6:G6"/>
    </sheetView>
  </sheetViews>
  <sheetFormatPr defaultRowHeight="12" x14ac:dyDescent="0.2"/>
  <cols>
    <col min="3" max="3" width="11.6640625" customWidth="1"/>
    <col min="6" max="6" width="11.5" customWidth="1"/>
    <col min="8" max="8" width="18.1640625" customWidth="1"/>
    <col min="9" max="9" width="16.33203125" customWidth="1"/>
  </cols>
  <sheetData>
    <row r="2" spans="3:10" ht="12.75" thickBot="1" x14ac:dyDescent="0.25"/>
    <row r="3" spans="3:10" ht="18.75" thickBot="1" x14ac:dyDescent="0.25">
      <c r="C3" s="121" t="s">
        <v>28</v>
      </c>
      <c r="D3" s="122"/>
      <c r="E3" s="122"/>
      <c r="F3" s="122"/>
      <c r="G3" s="122"/>
      <c r="H3" s="122"/>
      <c r="I3" s="123"/>
      <c r="J3" s="42"/>
    </row>
    <row r="4" spans="3:10" ht="96.75" thickBot="1" x14ac:dyDescent="0.25">
      <c r="C4" s="43">
        <v>43970</v>
      </c>
      <c r="D4" s="44" t="s">
        <v>29</v>
      </c>
      <c r="E4" s="44" t="s">
        <v>15</v>
      </c>
      <c r="F4" s="45" t="s">
        <v>16</v>
      </c>
      <c r="G4" s="44" t="s">
        <v>30</v>
      </c>
      <c r="H4" s="44" t="s">
        <v>31</v>
      </c>
      <c r="I4" s="46" t="s">
        <v>32</v>
      </c>
      <c r="J4" s="42"/>
    </row>
    <row r="5" spans="3:10" ht="30.75" thickBot="1" x14ac:dyDescent="0.25">
      <c r="C5" s="47" t="s">
        <v>33</v>
      </c>
      <c r="D5" s="48">
        <v>9185.1</v>
      </c>
      <c r="E5" s="49">
        <v>-5.0000000000000001E-3</v>
      </c>
      <c r="F5" s="50">
        <v>-5.3999999999999999E-2</v>
      </c>
      <c r="G5" s="51">
        <v>2.5999999999999999E-2</v>
      </c>
      <c r="H5" s="52" t="s">
        <v>34</v>
      </c>
      <c r="I5" s="53">
        <v>0.22800000000000001</v>
      </c>
      <c r="J5" s="42"/>
    </row>
    <row r="6" spans="3:10" ht="15.75" thickBot="1" x14ac:dyDescent="0.25">
      <c r="C6" s="124" t="s">
        <v>35</v>
      </c>
      <c r="D6" s="126">
        <v>2922.94</v>
      </c>
      <c r="E6" s="128">
        <v>-1.0999999999999999E-2</v>
      </c>
      <c r="F6" s="54" t="s">
        <v>36</v>
      </c>
      <c r="G6" s="55" t="s">
        <v>37</v>
      </c>
      <c r="H6" s="126" t="s">
        <v>34</v>
      </c>
      <c r="I6" s="130">
        <v>0.16200000000000001</v>
      </c>
      <c r="J6" s="42"/>
    </row>
    <row r="7" spans="3:10" ht="15.75" thickBot="1" x14ac:dyDescent="0.25">
      <c r="C7" s="125"/>
      <c r="D7" s="127"/>
      <c r="E7" s="129"/>
      <c r="F7" s="132">
        <v>-0.217</v>
      </c>
      <c r="G7" s="132">
        <v>-1.2999999999999999E-2</v>
      </c>
      <c r="H7" s="127"/>
      <c r="I7" s="131"/>
      <c r="J7" s="42"/>
    </row>
    <row r="8" spans="3:10" ht="15.75" thickBot="1" x14ac:dyDescent="0.25">
      <c r="C8" s="47" t="s">
        <v>38</v>
      </c>
      <c r="D8" s="48">
        <v>24206.86</v>
      </c>
      <c r="E8" s="56">
        <v>-1.6E-2</v>
      </c>
      <c r="F8" s="133"/>
      <c r="G8" s="133"/>
      <c r="H8" s="48" t="s">
        <v>34</v>
      </c>
      <c r="I8" s="57">
        <v>0.13700000000000001</v>
      </c>
      <c r="J8" s="42"/>
    </row>
  </sheetData>
  <mergeCells count="8">
    <mergeCell ref="C3:I3"/>
    <mergeCell ref="C6:C7"/>
    <mergeCell ref="D6:D7"/>
    <mergeCell ref="E6:E7"/>
    <mergeCell ref="H6:H7"/>
    <mergeCell ref="I6:I7"/>
    <mergeCell ref="F7:F8"/>
    <mergeCell ref="G7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User_Data</vt:lpstr>
      <vt:lpstr>ACI_Input</vt:lpstr>
      <vt:lpstr>Daily_Market_Action</vt:lpstr>
      <vt:lpstr>Trend_Following_Returns</vt:lpstr>
      <vt:lpstr>Progress_in_AD_Ratings</vt:lpstr>
      <vt:lpstr>Market_Factors</vt:lpstr>
      <vt:lpstr>Market_Action</vt:lpstr>
      <vt:lpstr>ACI_Input_Backup</vt:lpstr>
      <vt:lpstr>Market_Action_Backup</vt:lpstr>
      <vt:lpstr>Daily_Market_Action_Backup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2020-05-31T01:07:56Z</dcterms:created>
  <dcterms:modified xsi:type="dcterms:W3CDTF">2020-07-01T21:06:12Z</dcterms:modified>
</cp:coreProperties>
</file>