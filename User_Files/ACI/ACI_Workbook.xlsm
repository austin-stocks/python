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ACI\"/>
    </mc:Choice>
  </mc:AlternateContent>
  <xr:revisionPtr revIDLastSave="0" documentId="13_ncr:1_{E2F6A3A6-60AB-49D1-B5CD-681C6E1379E2}" xr6:coauthVersionLast="44" xr6:coauthVersionMax="44" xr10:uidLastSave="{00000000-0000-0000-0000-000000000000}"/>
  <bookViews>
    <workbookView xWindow="-120" yWindow="-120" windowWidth="29040" windowHeight="17640" activeTab="2" xr2:uid="{F98A321D-054F-4E15-8CB7-25CD69C64E8D}"/>
  </bookViews>
  <sheets>
    <sheet name="User_Data" sheetId="2" r:id="rId1"/>
    <sheet name="ACI_Input" sheetId="1" r:id="rId2"/>
    <sheet name="Daily_Market_Action" sheetId="24" r:id="rId3"/>
    <sheet name="Market_Action" sheetId="21" r:id="rId4"/>
    <sheet name="ACI_Input_Backup" sheetId="23" r:id="rId5"/>
    <sheet name="Market_Action_Backup" sheetId="22" r:id="rId6"/>
    <sheet name="Daily_Market_Action_Backup" sheetId="2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<sst xmlns="http://schemas.openxmlformats.org/spreadsheetml/2006/main" count="160" uniqueCount="55">
  <si>
    <t>Date</t>
  </si>
  <si>
    <t>Day_of_the_week</t>
  </si>
  <si>
    <t>Trading_day_of_the_year</t>
  </si>
  <si>
    <t>Nas_Closing</t>
  </si>
  <si>
    <t>Nas_IBD_Change</t>
  </si>
  <si>
    <t>Nas_Calculated_Change</t>
  </si>
  <si>
    <t>Nas_Daily_Volume</t>
  </si>
  <si>
    <t>----</t>
  </si>
  <si>
    <t>UPTREND</t>
  </si>
  <si>
    <t>DOWNTREND</t>
  </si>
  <si>
    <t>Major Accumulation</t>
  </si>
  <si>
    <t>Minor Accumulation</t>
  </si>
  <si>
    <t>Major Distribution</t>
  </si>
  <si>
    <t>#</t>
  </si>
  <si>
    <t>Close</t>
  </si>
  <si>
    <t>Index % Change</t>
  </si>
  <si>
    <t>Volume % Change</t>
  </si>
  <si>
    <t>Current Trend Day Count</t>
  </si>
  <si>
    <r>
      <t xml:space="preserve">MARKET ACTION (Nasdaq) OVER THE LAST </t>
    </r>
    <r>
      <rPr>
        <b/>
        <u/>
        <sz val="16"/>
        <color rgb="FF000000"/>
        <rFont val="Arial"/>
        <family val="2"/>
      </rPr>
      <t>20 DAYS</t>
    </r>
  </si>
  <si>
    <t>(For a full explanation of the terms in  this table see end of this newsletter</t>
  </si>
  <si>
    <r>
      <t xml:space="preserve">Index % </t>
    </r>
    <r>
      <rPr>
        <b/>
        <sz val="9"/>
        <color rgb="FF000000"/>
        <rFont val="Arial"/>
        <family val="2"/>
      </rPr>
      <t>Change</t>
    </r>
  </si>
  <si>
    <r>
      <t xml:space="preserve">Volume % </t>
    </r>
    <r>
      <rPr>
        <b/>
        <sz val="9"/>
        <color rgb="FF000000"/>
        <rFont val="Arial"/>
        <family val="2"/>
      </rPr>
      <t>Chang</t>
    </r>
    <r>
      <rPr>
        <b/>
        <sz val="10"/>
        <color rgb="FF000000"/>
        <rFont val="Arial"/>
        <family val="2"/>
      </rPr>
      <t>e</t>
    </r>
  </si>
  <si>
    <t xml:space="preserve">Type of Day: Accumulation, Distribution or </t>
  </si>
  <si>
    <t>Neither (—)</t>
  </si>
  <si>
    <r>
      <t>CONSISTENT WITH</t>
    </r>
    <r>
      <rPr>
        <b/>
        <sz val="9"/>
        <color rgb="FF000000"/>
        <rFont val="Arial"/>
        <family val="2"/>
      </rPr>
      <t xml:space="preserve">: </t>
    </r>
    <r>
      <rPr>
        <b/>
        <sz val="10"/>
        <color rgb="FF000000"/>
        <rFont val="Arial"/>
        <family val="2"/>
      </rPr>
      <t>UPTREND OR DOWNTREND?</t>
    </r>
  </si>
  <si>
    <t>––</t>
  </si>
  <si>
    <t xml:space="preserve">Minor accumulation </t>
  </si>
  <si>
    <r>
      <t xml:space="preserve">“Consistent with” Uptrend or Downtrend: On a </t>
    </r>
    <r>
      <rPr>
        <u/>
        <sz val="11"/>
        <color rgb="FF000000"/>
        <rFont val="Arial"/>
        <family val="2"/>
      </rPr>
      <t>rising day with lower volume</t>
    </r>
    <r>
      <rPr>
        <sz val="11"/>
        <color rgb="FF000000"/>
        <rFont val="Arial"/>
        <family val="2"/>
      </rPr>
      <t xml:space="preserve"> (see 4/13 for example), the lower volume says the market isn’t supportive of the rise in price.  Thus, the right-most column labeled the day “DOWNTREND” which means the Nasdaq’s price-volume action was </t>
    </r>
    <r>
      <rPr>
        <u/>
        <sz val="11"/>
        <color rgb="FF000000"/>
        <rFont val="Arial"/>
        <family val="2"/>
      </rPr>
      <t xml:space="preserve">consistent with a market Downtrend. </t>
    </r>
  </si>
  <si>
    <t>DAILY MARKET ACTION</t>
  </si>
  <si>
    <t>Index Close</t>
  </si>
  <si>
    <t>Volume vs 50-day Avg.</t>
  </si>
  <si>
    <t>Accumulation or Distribution Day?</t>
  </si>
  <si>
    <r>
      <t>YOUR GAIN</t>
    </r>
    <r>
      <rPr>
        <b/>
        <sz val="9"/>
        <color rgb="FF000000"/>
        <rFont val="Arial"/>
        <family val="2"/>
      </rPr>
      <t xml:space="preserve"> from Buying the index on 4/3 (New Uptrend)</t>
    </r>
  </si>
  <si>
    <t>Nasdaq</t>
  </si>
  <si>
    <t>Neither</t>
  </si>
  <si>
    <t>S&amp;P500</t>
  </si>
  <si>
    <t xml:space="preserve">NYSE </t>
  </si>
  <si>
    <t>Volume</t>
  </si>
  <si>
    <t>DJIA</t>
  </si>
  <si>
    <t>Current_Uptrend_Start_Date</t>
  </si>
  <si>
    <t>Current_Downtrend_Start_Date</t>
  </si>
  <si>
    <t>Current_Trend</t>
  </si>
  <si>
    <t>Uptrend_Start_Date</t>
  </si>
  <si>
    <t>Downtrend_Start_Date</t>
  </si>
  <si>
    <t>Dates</t>
  </si>
  <si>
    <t>Leaders_UP</t>
  </si>
  <si>
    <t>Leaders_Down</t>
  </si>
  <si>
    <t>NASDAQ_IBD_Change</t>
  </si>
  <si>
    <t>NASDAQ_Calculated_Change</t>
  </si>
  <si>
    <t>NASDAQ_Daily_Volume</t>
  </si>
  <si>
    <t>NASDAQ_Daily_Close</t>
  </si>
  <si>
    <t>SPY_Daily_Close</t>
  </si>
  <si>
    <t>DJIA_Daily_Close</t>
  </si>
  <si>
    <t>Minor Distribution</t>
  </si>
  <si>
    <t>NYSE_Daily_Volume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</si>
</sst>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1" x14ac:knownFonts="1"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b/>
      <sz val="16"/>
      <color rgb="FF000000"/>
      <name val="Arial"/>
      <family val="2"/>
    </font>
    <font>
      <b/>
      <u/>
      <sz val="16"/>
      <color rgb="FF000000"/>
      <name val="Arial"/>
      <family val="2"/>
    </font>
    <font>
      <b/>
      <sz val="11"/>
      <color rgb="FF000000"/>
      <name val="Arial"/>
      <family val="2"/>
    </font>
    <font>
      <b/>
      <u/>
      <sz val="9"/>
      <color rgb="FF000000"/>
      <name val="Arial"/>
      <family val="2"/>
    </font>
    <font>
      <sz val="14"/>
      <color rgb="FF000000"/>
      <name val="Arial"/>
      <family val="2"/>
    </font>
    <font>
      <b/>
      <sz val="10"/>
      <color rgb="FF000000"/>
      <name val="Arial"/>
      <family val="2"/>
    </font>
    <font>
      <b/>
      <sz val="9"/>
      <color rgb="FF000000"/>
      <name val="Arial"/>
      <family val="2"/>
    </font>
    <font>
      <sz val="12"/>
      <color rgb="FF000000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9"/>
      <color rgb="FFFFFFFF"/>
      <name val="Arial"/>
      <family val="2"/>
    </font>
    <font>
      <sz val="10"/>
      <color rgb="FFFFFFFF"/>
      <name val="Arial"/>
      <family val="2"/>
    </font>
    <font>
      <sz val="11"/>
      <color rgb="FF000000"/>
      <name val="Arial"/>
      <family val="2"/>
    </font>
    <font>
      <u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1B8FF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7DEE8"/>
        <bgColor indexed="64"/>
      </patternFill>
    </fill>
  </fills>
  <borders count="21">
    <border>
      <left/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/>
      <top style="medium">
        <color rgb="FFE0E4E9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3">
    <xf numFmtId="0" fontId="0" fillId="0" borderId="0" xfId="0"/>
    <xf numFmtId="0" fontId="0" fillId="2" borderId="0" xfId="0" applyFill="1"/>
    <xf numFmtId="14" fontId="0" fillId="0" borderId="0" xfId="0" applyNumberFormat="1"/>
    <xf numFmtId="2" fontId="0" fillId="0" borderId="1" xfId="0" applyNumberFormat="1" applyBorder="1" applyProtection="1">
      <protection locked="0"/>
    </xf>
    <xf numFmtId="2" fontId="0" fillId="0" borderId="2" xfId="0" applyNumberFormat="1" applyBorder="1" applyProtection="1">
      <protection locked="0"/>
    </xf>
    <xf numFmtId="2" fontId="0" fillId="0" borderId="0" xfId="0" applyNumberFormat="1"/>
    <xf numFmtId="1" fontId="0" fillId="0" borderId="3" xfId="1" applyNumberFormat="1" applyFont="1" applyBorder="1" applyProtection="1">
      <protection locked="0"/>
    </xf>
    <xf numFmtId="1" fontId="0" fillId="0" borderId="0" xfId="1" applyNumberFormat="1" applyFont="1" applyProtection="1">
      <protection locked="0"/>
    </xf>
    <xf numFmtId="1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 applyAlignment="1">
      <alignment wrapText="1"/>
    </xf>
    <xf numFmtId="1" fontId="2" fillId="0" borderId="0" xfId="1" applyNumberFormat="1" applyFont="1" applyProtection="1">
      <protection locked="0"/>
    </xf>
    <xf numFmtId="0" fontId="8" fillId="7" borderId="10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10" fillId="8" borderId="9" xfId="0" applyFont="1" applyFill="1" applyBorder="1" applyAlignment="1">
      <alignment horizontal="center" vertical="center" wrapText="1"/>
    </xf>
    <xf numFmtId="14" fontId="11" fillId="9" borderId="8" xfId="0" applyNumberFormat="1" applyFont="1" applyFill="1" applyBorder="1" applyAlignment="1">
      <alignment horizontal="center" vertical="center" wrapText="1"/>
    </xf>
    <xf numFmtId="0" fontId="11" fillId="9" borderId="8" xfId="0" applyFont="1" applyFill="1" applyBorder="1" applyAlignment="1">
      <alignment horizontal="center" vertical="center" wrapText="1"/>
    </xf>
    <xf numFmtId="10" fontId="11" fillId="10" borderId="8" xfId="0" applyNumberFormat="1" applyFont="1" applyFill="1" applyBorder="1" applyAlignment="1">
      <alignment horizontal="center" vertical="center" wrapText="1"/>
    </xf>
    <xf numFmtId="10" fontId="11" fillId="9" borderId="8" xfId="0" applyNumberFormat="1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12" fillId="9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10" fontId="13" fillId="5" borderId="11" xfId="0" applyNumberFormat="1" applyFont="1" applyFill="1" applyBorder="1" applyAlignment="1">
      <alignment horizontal="center" vertical="center" wrapText="1"/>
    </xf>
    <xf numFmtId="0" fontId="11" fillId="9" borderId="12" xfId="0" applyFont="1" applyFill="1" applyBorder="1" applyAlignment="1">
      <alignment horizontal="center" vertical="center" wrapText="1"/>
    </xf>
    <xf numFmtId="10" fontId="11" fillId="3" borderId="12" xfId="0" applyNumberFormat="1" applyFont="1" applyFill="1" applyBorder="1" applyAlignment="1">
      <alignment horizontal="center" vertical="center" wrapText="1"/>
    </xf>
    <xf numFmtId="0" fontId="11" fillId="10" borderId="8" xfId="0" applyFont="1" applyFill="1" applyBorder="1" applyAlignment="1">
      <alignment horizontal="center" vertical="center" wrapText="1"/>
    </xf>
    <xf numFmtId="10" fontId="11" fillId="11" borderId="8" xfId="0" applyNumberFormat="1" applyFont="1" applyFill="1" applyBorder="1" applyAlignment="1">
      <alignment horizontal="center" vertical="center" wrapText="1"/>
    </xf>
    <xf numFmtId="10" fontId="11" fillId="4" borderId="12" xfId="0" applyNumberFormat="1" applyFont="1" applyFill="1" applyBorder="1" applyAlignment="1">
      <alignment horizontal="center" vertical="center" wrapText="1"/>
    </xf>
    <xf numFmtId="10" fontId="11" fillId="4" borderId="13" xfId="0" applyNumberFormat="1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10" fontId="13" fillId="5" borderId="8" xfId="0" applyNumberFormat="1" applyFont="1" applyFill="1" applyBorder="1" applyAlignment="1">
      <alignment horizontal="center" vertical="center" wrapText="1"/>
    </xf>
    <xf numFmtId="0" fontId="14" fillId="5" borderId="8" xfId="0" applyFont="1" applyFill="1" applyBorder="1" applyAlignment="1">
      <alignment horizontal="center" vertical="center" wrapText="1"/>
    </xf>
    <xf numFmtId="10" fontId="11" fillId="4" borderId="8" xfId="0" applyNumberFormat="1" applyFont="1" applyFill="1" applyBorder="1" applyAlignment="1">
      <alignment horizontal="center" vertical="center" wrapText="1"/>
    </xf>
    <xf numFmtId="10" fontId="11" fillId="3" borderId="8" xfId="0" applyNumberFormat="1" applyFont="1" applyFill="1" applyBorder="1" applyAlignment="1">
      <alignment horizontal="center" vertical="center" wrapText="1"/>
    </xf>
    <xf numFmtId="14" fontId="11" fillId="9" borderId="7" xfId="0" applyNumberFormat="1" applyFont="1" applyFill="1" applyBorder="1" applyAlignment="1">
      <alignment horizontal="center" vertical="center" wrapText="1"/>
    </xf>
    <xf numFmtId="0" fontId="11" fillId="9" borderId="9" xfId="0" applyFont="1" applyFill="1" applyBorder="1" applyAlignment="1">
      <alignment horizontal="center" vertical="center" wrapText="1"/>
    </xf>
    <xf numFmtId="10" fontId="2" fillId="0" borderId="8" xfId="0" applyNumberFormat="1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4" borderId="8" xfId="0" applyFont="1" applyFill="1" applyBorder="1" applyAlignment="1">
      <alignment vertical="center" wrapText="1"/>
    </xf>
    <xf numFmtId="9" fontId="2" fillId="0" borderId="8" xfId="0" applyNumberFormat="1" applyFont="1" applyBorder="1" applyAlignment="1">
      <alignment horizontal="center" vertical="center" wrapText="1"/>
    </xf>
    <xf numFmtId="0" fontId="11" fillId="4" borderId="8" xfId="0" quotePrefix="1" applyFont="1" applyFill="1" applyBorder="1" applyAlignment="1">
      <alignment horizontal="center" vertical="center" wrapText="1"/>
    </xf>
    <xf numFmtId="0" fontId="11" fillId="10" borderId="8" xfId="0" quotePrefix="1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14" fontId="8" fillId="12" borderId="9" xfId="0" applyNumberFormat="1" applyFont="1" applyFill="1" applyBorder="1" applyAlignment="1">
      <alignment horizontal="center" vertical="center" wrapText="1"/>
    </xf>
    <xf numFmtId="0" fontId="9" fillId="12" borderId="8" xfId="0" applyFont="1" applyFill="1" applyBorder="1" applyAlignment="1">
      <alignment horizontal="center" vertical="center" wrapText="1"/>
    </xf>
    <xf numFmtId="0" fontId="9" fillId="13" borderId="8" xfId="0" applyFont="1" applyFill="1" applyBorder="1" applyAlignment="1">
      <alignment horizontal="center" vertical="center" wrapText="1"/>
    </xf>
    <xf numFmtId="0" fontId="6" fillId="12" borderId="8" xfId="0" applyFont="1" applyFill="1" applyBorder="1" applyAlignment="1">
      <alignment horizontal="center" vertical="center" wrapText="1"/>
    </xf>
    <xf numFmtId="0" fontId="5" fillId="12" borderId="9" xfId="0" applyFont="1" applyFill="1" applyBorder="1" applyAlignment="1">
      <alignment horizontal="center" vertical="center" wrapText="1"/>
    </xf>
    <xf numFmtId="0" fontId="8" fillId="9" borderId="8" xfId="0" applyFont="1" applyFill="1" applyBorder="1" applyAlignment="1">
      <alignment horizontal="center" vertical="center" wrapText="1"/>
    </xf>
    <xf numFmtId="10" fontId="8" fillId="10" borderId="8" xfId="0" applyNumberFormat="1" applyFont="1" applyFill="1" applyBorder="1" applyAlignment="1">
      <alignment horizontal="center" vertical="center" wrapText="1"/>
    </xf>
    <xf numFmtId="10" fontId="8" fillId="9" borderId="8" xfId="0" applyNumberFormat="1" applyFont="1" applyFill="1" applyBorder="1" applyAlignment="1">
      <alignment horizontal="center" vertical="center" wrapText="1"/>
    </xf>
    <xf numFmtId="10" fontId="8" fillId="11" borderId="8" xfId="0" applyNumberFormat="1" applyFont="1" applyFill="1" applyBorder="1" applyAlignment="1">
      <alignment horizontal="center" vertical="center" wrapText="1"/>
    </xf>
    <xf numFmtId="0" fontId="8" fillId="9" borderId="10" xfId="0" applyFont="1" applyFill="1" applyBorder="1" applyAlignment="1">
      <alignment horizontal="center" vertical="center" wrapText="1"/>
    </xf>
    <xf numFmtId="10" fontId="8" fillId="3" borderId="10" xfId="0" applyNumberFormat="1" applyFont="1" applyFill="1" applyBorder="1" applyAlignment="1">
      <alignment horizontal="center" vertical="center" wrapText="1"/>
    </xf>
    <xf numFmtId="0" fontId="12" fillId="14" borderId="7" xfId="0" applyFont="1" applyFill="1" applyBorder="1" applyAlignment="1">
      <alignment horizontal="right" vertical="center"/>
    </xf>
    <xf numFmtId="0" fontId="12" fillId="14" borderId="8" xfId="0" applyFont="1" applyFill="1" applyBorder="1" applyAlignment="1">
      <alignment vertical="center"/>
    </xf>
    <xf numFmtId="10" fontId="19" fillId="5" borderId="8" xfId="0" applyNumberFormat="1" applyFont="1" applyFill="1" applyBorder="1" applyAlignment="1">
      <alignment horizontal="center" vertical="center"/>
    </xf>
    <xf numFmtId="10" fontId="8" fillId="3" borderId="8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8" fillId="7" borderId="15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9" fillId="7" borderId="15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 wrapText="1"/>
    </xf>
    <xf numFmtId="0" fontId="6" fillId="7" borderId="15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center" vertical="center" wrapText="1"/>
    </xf>
    <xf numFmtId="0" fontId="11" fillId="8" borderId="6" xfId="0" applyFont="1" applyFill="1" applyBorder="1" applyAlignment="1">
      <alignment horizontal="center" vertical="center" wrapText="1"/>
    </xf>
    <xf numFmtId="0" fontId="11" fillId="8" borderId="7" xfId="0" applyFont="1" applyFill="1" applyBorder="1" applyAlignment="1">
      <alignment horizontal="center" vertical="center" wrapText="1"/>
    </xf>
    <xf numFmtId="0" fontId="11" fillId="8" borderId="8" xfId="0" applyFont="1" applyFill="1" applyBorder="1" applyAlignment="1">
      <alignment horizontal="center" vertical="center" wrapText="1"/>
    </xf>
    <xf numFmtId="0" fontId="15" fillId="8" borderId="4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vertical="center" wrapText="1"/>
    </xf>
    <xf numFmtId="0" fontId="15" fillId="8" borderId="5" xfId="0" applyFont="1" applyFill="1" applyBorder="1" applyAlignment="1">
      <alignment vertical="center" wrapText="1"/>
    </xf>
    <xf numFmtId="0" fontId="15" fillId="8" borderId="14" xfId="0" applyFont="1" applyFill="1" applyBorder="1" applyAlignment="1">
      <alignment vertical="center" wrapText="1"/>
    </xf>
    <xf numFmtId="0" fontId="15" fillId="8" borderId="0" xfId="0" applyFont="1" applyFill="1" applyBorder="1" applyAlignment="1">
      <alignment vertical="center" wrapText="1"/>
    </xf>
    <xf numFmtId="0" fontId="15" fillId="8" borderId="10" xfId="0" applyFont="1" applyFill="1" applyBorder="1" applyAlignment="1">
      <alignment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5" fillId="7" borderId="9" xfId="0" applyFont="1" applyFill="1" applyBorder="1" applyAlignment="1">
      <alignment horizontal="center" vertical="center" wrapText="1"/>
    </xf>
    <xf numFmtId="0" fontId="18" fillId="6" borderId="16" xfId="0" applyFont="1" applyFill="1" applyBorder="1" applyAlignment="1">
      <alignment horizontal="center" vertical="center" wrapText="1"/>
    </xf>
    <xf numFmtId="0" fontId="18" fillId="6" borderId="17" xfId="0" applyFont="1" applyFill="1" applyBorder="1" applyAlignment="1">
      <alignment horizontal="center" vertical="center" wrapText="1"/>
    </xf>
    <xf numFmtId="0" fontId="18" fillId="6" borderId="18" xfId="0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 vertical="center" wrapText="1"/>
    </xf>
    <xf numFmtId="0" fontId="5" fillId="12" borderId="19" xfId="0" applyFont="1" applyFill="1" applyBorder="1" applyAlignment="1">
      <alignment horizontal="center" vertical="center" wrapText="1"/>
    </xf>
    <xf numFmtId="0" fontId="8" fillId="9" borderId="15" xfId="0" applyFont="1" applyFill="1" applyBorder="1" applyAlignment="1">
      <alignment horizontal="center" vertical="center" wrapText="1"/>
    </xf>
    <xf numFmtId="0" fontId="8" fillId="9" borderId="19" xfId="0" applyFont="1" applyFill="1" applyBorder="1" applyAlignment="1">
      <alignment horizontal="center" vertical="center" wrapText="1"/>
    </xf>
    <xf numFmtId="10" fontId="19" fillId="5" borderId="15" xfId="0" applyNumberFormat="1" applyFont="1" applyFill="1" applyBorder="1" applyAlignment="1">
      <alignment horizontal="center" vertical="center" wrapText="1"/>
    </xf>
    <xf numFmtId="10" fontId="19" fillId="5" borderId="19" xfId="0" applyNumberFormat="1" applyFont="1" applyFill="1" applyBorder="1" applyAlignment="1">
      <alignment horizontal="center" vertical="center" wrapText="1"/>
    </xf>
    <xf numFmtId="10" fontId="8" fillId="3" borderId="15" xfId="0" applyNumberFormat="1" applyFont="1" applyFill="1" applyBorder="1" applyAlignment="1">
      <alignment horizontal="center" vertical="center" wrapText="1"/>
    </xf>
    <xf numFmtId="10" fontId="8" fillId="3" borderId="19" xfId="0" applyNumberFormat="1" applyFont="1" applyFill="1" applyBorder="1" applyAlignment="1">
      <alignment horizontal="center" vertical="center" wrapText="1"/>
    </xf>
    <xf numFmtId="10" fontId="8" fillId="9" borderId="15" xfId="0" applyNumberFormat="1" applyFont="1" applyFill="1" applyBorder="1" applyAlignment="1">
      <alignment horizontal="center" vertical="center" wrapText="1"/>
    </xf>
    <xf numFmtId="10" fontId="8" fillId="9" borderId="19" xfId="0" applyNumberFormat="1" applyFont="1" applyFill="1" applyBorder="1" applyAlignment="1">
      <alignment horizontal="center" vertical="center" wrapText="1"/>
    </xf>
    <xf numFmtId="49" fontId="20" fillId="0" borderId="0" xfId="0" applyNumberFormat="1" applyFont="1" applyAlignment="1">
      <alignment wrapText="1"/>
    </xf>
    <xf numFmtId="49" fontId="20" fillId="2" borderId="0" xfId="0" applyNumberFormat="1" applyFont="1" applyFill="1" applyAlignment="1">
      <alignment wrapText="1"/>
    </xf>
    <xf numFmtId="14" fontId="20" fillId="0" borderId="0" xfId="0" applyNumberFormat="1" applyFont="1"/>
    <xf numFmtId="0" fontId="20" fillId="0" borderId="0" xfId="0" applyFont="1"/>
    <xf numFmtId="0" fontId="20" fillId="2" borderId="0" xfId="0" applyFont="1" applyFill="1"/>
    <xf numFmtId="49" fontId="20" fillId="0" borderId="0" xfId="0" applyNumberFormat="1" applyFont="1" applyBorder="1" applyAlignment="1">
      <alignment horizontal="center" wrapText="1"/>
    </xf>
    <xf numFmtId="49" fontId="20" fillId="0" borderId="0" xfId="0" applyNumberFormat="1" applyFont="1" applyAlignment="1">
      <alignment horizontal="center" wrapText="1"/>
    </xf>
    <xf numFmtId="4" fontId="12" fillId="9" borderId="20" xfId="0" applyNumberFormat="1" applyFont="1" applyFill="1" applyBorder="1" applyAlignment="1">
      <alignment horizontal="center" vertical="center"/>
    </xf>
    <xf numFmtId="4" fontId="12" fillId="9" borderId="0" xfId="0" applyNumberFormat="1" applyFont="1" applyFill="1" applyBorder="1" applyAlignment="1">
      <alignment horizontal="center" vertical="center"/>
    </xf>
    <xf numFmtId="2" fontId="20" fillId="0" borderId="0" xfId="0" applyNumberFormat="1" applyFont="1" applyBorder="1" applyAlignment="1" applyProtection="1">
      <alignment horizontal="center"/>
      <protection locked="0"/>
    </xf>
    <xf numFmtId="0" fontId="20" fillId="0" borderId="0" xfId="0" applyFont="1" applyAlignment="1">
      <alignment horizontal="center"/>
    </xf>
    <xf numFmtId="1" fontId="20" fillId="0" borderId="3" xfId="1" applyNumberFormat="1" applyFont="1" applyBorder="1" applyAlignment="1" applyProtection="1">
      <alignment horizontal="center"/>
      <protection locked="0"/>
    </xf>
    <xf numFmtId="1" fontId="20" fillId="0" borderId="0" xfId="1" applyNumberFormat="1" applyFont="1" applyAlignment="1" applyProtection="1">
      <alignment horizontal="center"/>
      <protection locked="0"/>
    </xf>
    <xf numFmtId="2" fontId="20" fillId="0" borderId="0" xfId="0" applyNumberFormat="1" applyFont="1" applyBorder="1" applyAlignment="1">
      <alignment horizontal="center"/>
    </xf>
    <xf numFmtId="1" fontId="20" fillId="0" borderId="0" xfId="0" applyNumberFormat="1" applyFont="1" applyAlignment="1">
      <alignment horizontal="center"/>
    </xf>
  </cellXfs>
  <cellStyles count="2">
    <cellStyle name="Comma" xfId="1" builtinId="3"/>
    <cellStyle name="Normal" xfId="0" builtinId="0"/>
  </cellStyles>
  <dxfs count="14">
    <dxf>
      <fill>
        <patternFill patternType="solid">
          <bgColor theme="0"/>
        </patternFill>
      </fill>
    </dxf>
    <dxf>
      <fill>
        <patternFill>
          <bgColor rgb="FF66FF66"/>
        </patternFill>
      </fill>
    </dxf>
    <dxf>
      <font>
        <color auto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CCFF33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CCFF33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33"/>
      <color rgb="FF66FF66"/>
      <color rgb="FF00FF00"/>
      <color rgb="FF33CC33"/>
      <color rgb="FFFF00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627DE-BEFA-4893-9020-6F4FB371A796}">
  <sheetPr codeName="Sheet1"/>
  <dimension ref="A1:B10"/>
  <sheetViews>
    <sheetView workbookViewId="0">
      <selection activeCell="B5" sqref="B5"/>
    </sheetView>
  </sheetViews>
  <sheetFormatPr defaultRowHeight="12" x14ac:dyDescent="0.2"/>
  <cols>
    <col min="1" max="1" width="37" customWidth="1"/>
    <col min="2" max="2" width="13.1640625" style="58" customWidth="1"/>
    <col min="3" max="3" width="11" customWidth="1"/>
  </cols>
  <sheetData>
    <row r="1" spans="1:2" x14ac:dyDescent="0.2">
      <c r="B1" s="58" t="s">
        <v>44</v>
      </c>
    </row>
    <row r="5" spans="1:2" x14ac:dyDescent="0.2">
      <c r="A5" t="s">
        <v>41</v>
      </c>
      <c r="B5" s="58" t="s">
        <v>8</v>
      </c>
    </row>
    <row r="6" spans="1:2" x14ac:dyDescent="0.2">
      <c r="A6" t="s">
        <v>39</v>
      </c>
      <c r="B6" s="59">
        <v>43936</v>
      </c>
    </row>
    <row r="7" spans="1:2" x14ac:dyDescent="0.2">
      <c r="A7" t="s">
        <v>40</v>
      </c>
      <c r="B7" s="59">
        <v>43912</v>
      </c>
    </row>
    <row r="9" spans="1:2" x14ac:dyDescent="0.2">
      <c r="A9" t="s">
        <v>42</v>
      </c>
    </row>
    <row r="10" spans="1:2" x14ac:dyDescent="0.2">
      <c r="A10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5F94D-CF8F-468A-A56C-C8BC074A6BFF}">
  <sheetPr codeName="Sheet2"/>
  <dimension ref="A1:P34"/>
  <sheetViews>
    <sheetView workbookViewId="0">
      <selection activeCell="A21" sqref="A21:XFD21"/>
    </sheetView>
  </sheetViews>
  <sheetFormatPr defaultRowHeight="12.75" x14ac:dyDescent="0.2"/>
  <cols>
    <col min="1" max="1" width="10.6640625" style="101" bestFit="1" customWidth="1"/>
    <col min="2" max="2" width="13" style="101" customWidth="1"/>
    <col min="3" max="3" width="14.33203125" style="101" customWidth="1"/>
    <col min="4" max="5" width="9.33203125" style="101"/>
    <col min="6" max="6" width="2.83203125" style="102" customWidth="1"/>
    <col min="7" max="8" width="12.5" style="111" customWidth="1"/>
    <col min="9" max="9" width="14" style="111" customWidth="1"/>
    <col min="10" max="10" width="10" style="111" customWidth="1"/>
    <col min="11" max="11" width="13" style="108" customWidth="1"/>
    <col min="12" max="12" width="10.33203125" style="108" customWidth="1"/>
    <col min="13" max="13" width="14" style="112" customWidth="1"/>
    <col min="14" max="16" width="9.33203125" style="108"/>
    <col min="17" max="17" width="9.33203125" style="101"/>
    <col min="18" max="18" width="9.5" style="101" bestFit="1" customWidth="1"/>
    <col min="19" max="16384" width="9.33203125" style="101"/>
  </cols>
  <sheetData>
    <row r="1" spans="1:16" s="98" customFormat="1" ht="34.5" customHeight="1" thickBot="1" x14ac:dyDescent="0.25">
      <c r="A1" s="98" t="s">
        <v>0</v>
      </c>
      <c r="B1" s="98" t="s">
        <v>1</v>
      </c>
      <c r="C1" s="98" t="s">
        <v>2</v>
      </c>
      <c r="F1" s="99"/>
      <c r="G1" s="103" t="s">
        <v>51</v>
      </c>
      <c r="H1" s="103" t="s">
        <v>52</v>
      </c>
      <c r="I1" s="103" t="s">
        <v>54</v>
      </c>
      <c r="J1" s="103" t="s">
        <v>50</v>
      </c>
      <c r="K1" s="104" t="s">
        <v>47</v>
      </c>
      <c r="L1" s="104" t="s">
        <v>48</v>
      </c>
      <c r="M1" s="104" t="s">
        <v>49</v>
      </c>
      <c r="N1" s="104" t="s">
        <v>45</v>
      </c>
      <c r="O1" s="104" t="s">
        <v>46</v>
      </c>
      <c r="P1" s="104"/>
    </row>
    <row r="2" spans="1:16" ht="13.5" thickBot="1" x14ac:dyDescent="0.25">
      <c r="A2" s="100">
        <v>43934</v>
      </c>
      <c r="G2" s="105">
        <v>2761.63</v>
      </c>
      <c r="H2" s="106">
        <v>23390.77</v>
      </c>
      <c r="I2" s="107">
        <v>5274</v>
      </c>
      <c r="J2" s="107">
        <v>8192.42</v>
      </c>
      <c r="M2" s="109">
        <v>3105</v>
      </c>
    </row>
    <row r="3" spans="1:16" ht="13.5" thickBot="1" x14ac:dyDescent="0.25">
      <c r="A3" s="100">
        <v>43935</v>
      </c>
      <c r="G3" s="105">
        <v>2846.06</v>
      </c>
      <c r="H3" s="105">
        <v>23949.759999999998</v>
      </c>
      <c r="I3" s="107">
        <v>5567</v>
      </c>
      <c r="J3" s="107">
        <v>8515.74</v>
      </c>
      <c r="M3" s="110">
        <v>3441</v>
      </c>
    </row>
    <row r="4" spans="1:16" ht="13.5" thickBot="1" x14ac:dyDescent="0.25">
      <c r="A4" s="100">
        <v>43936</v>
      </c>
      <c r="G4" s="105">
        <v>2783.36</v>
      </c>
      <c r="H4" s="105">
        <v>23504.35</v>
      </c>
      <c r="I4" s="107">
        <v>5203</v>
      </c>
      <c r="J4" s="107">
        <v>8393.18</v>
      </c>
      <c r="M4" s="110">
        <v>3266</v>
      </c>
    </row>
    <row r="5" spans="1:16" ht="13.5" thickBot="1" x14ac:dyDescent="0.25">
      <c r="A5" s="100">
        <v>43937</v>
      </c>
      <c r="G5" s="105">
        <v>2799.55</v>
      </c>
      <c r="H5" s="105">
        <v>23537.68</v>
      </c>
      <c r="I5" s="107">
        <v>5179</v>
      </c>
      <c r="J5" s="107">
        <v>8532.36</v>
      </c>
      <c r="M5" s="110">
        <v>3659</v>
      </c>
    </row>
    <row r="6" spans="1:16" ht="13.5" thickBot="1" x14ac:dyDescent="0.25">
      <c r="A6" s="100">
        <v>43938</v>
      </c>
      <c r="G6" s="105">
        <v>2874.56</v>
      </c>
      <c r="H6" s="105">
        <v>24242.49</v>
      </c>
      <c r="I6" s="107">
        <v>5792</v>
      </c>
      <c r="J6" s="107">
        <v>8650.14</v>
      </c>
      <c r="M6" s="110">
        <v>4011</v>
      </c>
    </row>
    <row r="7" spans="1:16" ht="13.5" thickBot="1" x14ac:dyDescent="0.25">
      <c r="A7" s="100">
        <v>43941</v>
      </c>
      <c r="G7" s="105">
        <v>2823.16</v>
      </c>
      <c r="H7" s="105">
        <v>23650.44</v>
      </c>
      <c r="I7" s="107">
        <v>5220</v>
      </c>
      <c r="J7" s="107">
        <v>8560.73</v>
      </c>
      <c r="M7" s="110">
        <v>3726</v>
      </c>
    </row>
    <row r="8" spans="1:16" ht="13.5" thickBot="1" x14ac:dyDescent="0.25">
      <c r="A8" s="100">
        <v>43942</v>
      </c>
      <c r="G8" s="105">
        <v>2736.56</v>
      </c>
      <c r="H8" s="105">
        <v>23018.880000000001</v>
      </c>
      <c r="I8" s="107">
        <v>5075</v>
      </c>
      <c r="J8" s="107">
        <v>8263.23</v>
      </c>
      <c r="M8" s="110">
        <v>3501</v>
      </c>
    </row>
    <row r="9" spans="1:16" ht="13.5" thickBot="1" x14ac:dyDescent="0.25">
      <c r="A9" s="100">
        <v>43943</v>
      </c>
      <c r="G9" s="105">
        <v>2799.31</v>
      </c>
      <c r="H9" s="105">
        <v>23475.82</v>
      </c>
      <c r="I9" s="107">
        <v>5049</v>
      </c>
      <c r="J9" s="107">
        <v>8495.3799999999992</v>
      </c>
      <c r="M9" s="110">
        <v>2770</v>
      </c>
    </row>
    <row r="10" spans="1:16" ht="13.5" thickBot="1" x14ac:dyDescent="0.25">
      <c r="A10" s="100">
        <v>43944</v>
      </c>
      <c r="G10" s="105">
        <v>2797.8</v>
      </c>
      <c r="H10" s="105">
        <v>23515.26</v>
      </c>
      <c r="I10" s="107">
        <v>5756</v>
      </c>
      <c r="J10" s="107">
        <v>8494.75</v>
      </c>
      <c r="M10" s="110">
        <v>3497</v>
      </c>
    </row>
    <row r="11" spans="1:16" ht="13.5" thickBot="1" x14ac:dyDescent="0.25">
      <c r="A11" s="100">
        <v>43945</v>
      </c>
      <c r="G11" s="105">
        <v>2836.74</v>
      </c>
      <c r="H11" s="105">
        <v>23775.27</v>
      </c>
      <c r="I11" s="107">
        <v>5374</v>
      </c>
      <c r="J11" s="107">
        <v>8634.52</v>
      </c>
      <c r="M11" s="110">
        <v>3391</v>
      </c>
    </row>
    <row r="12" spans="1:16" ht="13.5" thickBot="1" x14ac:dyDescent="0.25">
      <c r="A12" s="100">
        <v>43948</v>
      </c>
      <c r="G12" s="105">
        <v>2878.48</v>
      </c>
      <c r="H12" s="105">
        <v>24133.78</v>
      </c>
      <c r="I12" s="107">
        <v>5194</v>
      </c>
      <c r="J12" s="107">
        <v>8730.16</v>
      </c>
      <c r="M12" s="110">
        <v>3445</v>
      </c>
    </row>
    <row r="13" spans="1:16" ht="13.5" thickBot="1" x14ac:dyDescent="0.25">
      <c r="A13" s="100">
        <v>43949</v>
      </c>
      <c r="G13" s="105">
        <v>2863.39</v>
      </c>
      <c r="H13" s="105">
        <v>24101.55</v>
      </c>
      <c r="I13" s="107">
        <v>5672</v>
      </c>
      <c r="J13" s="107">
        <v>8607.73</v>
      </c>
      <c r="M13" s="110">
        <v>3469</v>
      </c>
    </row>
    <row r="14" spans="1:16" ht="13.5" thickBot="1" x14ac:dyDescent="0.25">
      <c r="A14" s="100">
        <v>43950</v>
      </c>
      <c r="G14" s="105">
        <v>2939.51</v>
      </c>
      <c r="H14" s="105">
        <v>24633.86</v>
      </c>
      <c r="I14" s="107">
        <v>6620</v>
      </c>
      <c r="J14" s="107">
        <v>8914.7099999999991</v>
      </c>
      <c r="M14" s="110">
        <v>4267</v>
      </c>
    </row>
    <row r="15" spans="1:16" ht="13.5" thickBot="1" x14ac:dyDescent="0.25">
      <c r="A15" s="100">
        <v>43951</v>
      </c>
      <c r="G15" s="105">
        <v>2912.43</v>
      </c>
      <c r="H15" s="105">
        <v>24345.72</v>
      </c>
      <c r="I15" s="107">
        <v>6523</v>
      </c>
      <c r="J15" s="107">
        <v>8889.5499999999993</v>
      </c>
      <c r="M15" s="110">
        <v>3884</v>
      </c>
    </row>
    <row r="16" spans="1:16" ht="13.5" thickBot="1" x14ac:dyDescent="0.25">
      <c r="A16" s="100">
        <v>43952</v>
      </c>
      <c r="G16" s="105">
        <v>2830.71</v>
      </c>
      <c r="H16" s="105">
        <v>23723.69</v>
      </c>
      <c r="I16" s="107">
        <v>4753</v>
      </c>
      <c r="J16" s="107">
        <v>8604.9500000000007</v>
      </c>
      <c r="M16" s="110">
        <v>3501</v>
      </c>
    </row>
    <row r="17" spans="1:13" ht="13.5" thickBot="1" x14ac:dyDescent="0.25">
      <c r="A17" s="100">
        <v>43955</v>
      </c>
      <c r="G17" s="105">
        <v>2842.74</v>
      </c>
      <c r="H17" s="105">
        <v>23749.759999999998</v>
      </c>
      <c r="I17" s="107">
        <v>4723</v>
      </c>
      <c r="J17" s="107">
        <v>8710.7199999999993</v>
      </c>
      <c r="M17" s="110">
        <v>3167</v>
      </c>
    </row>
    <row r="18" spans="1:13" ht="13.5" thickBot="1" x14ac:dyDescent="0.25">
      <c r="A18" s="100">
        <v>43956</v>
      </c>
      <c r="G18" s="105">
        <v>2868.44</v>
      </c>
      <c r="H18" s="105">
        <v>23883.09</v>
      </c>
      <c r="I18" s="107">
        <v>5129</v>
      </c>
      <c r="J18" s="107">
        <v>8809.1200000000008</v>
      </c>
      <c r="M18" s="110">
        <v>3839</v>
      </c>
    </row>
    <row r="19" spans="1:13" ht="13.5" thickBot="1" x14ac:dyDescent="0.25">
      <c r="A19" s="100">
        <v>43957</v>
      </c>
      <c r="G19" s="105">
        <v>2848.42</v>
      </c>
      <c r="H19" s="105">
        <v>23664.639999999999</v>
      </c>
      <c r="I19" s="107">
        <v>4861</v>
      </c>
      <c r="J19" s="107">
        <v>8854.39</v>
      </c>
      <c r="M19" s="110">
        <v>3537</v>
      </c>
    </row>
    <row r="20" spans="1:13" ht="13.5" thickBot="1" x14ac:dyDescent="0.25">
      <c r="A20" s="100">
        <v>43958</v>
      </c>
      <c r="G20" s="105">
        <v>2881.19</v>
      </c>
      <c r="H20" s="105">
        <v>23875.89</v>
      </c>
      <c r="I20" s="107">
        <v>5164</v>
      </c>
      <c r="J20" s="107">
        <v>8979.66</v>
      </c>
      <c r="M20" s="110">
        <v>3659</v>
      </c>
    </row>
    <row r="21" spans="1:13" ht="13.5" thickBot="1" x14ac:dyDescent="0.25">
      <c r="A21" s="100">
        <v>43959</v>
      </c>
      <c r="G21" s="105">
        <v>2929.8</v>
      </c>
      <c r="H21" s="105">
        <v>24331.32</v>
      </c>
      <c r="I21" s="107">
        <v>4857</v>
      </c>
      <c r="J21" s="107">
        <v>9121.32</v>
      </c>
      <c r="M21" s="110">
        <v>3726</v>
      </c>
    </row>
    <row r="22" spans="1:13" ht="13.5" thickBot="1" x14ac:dyDescent="0.25">
      <c r="A22" s="100">
        <v>43962</v>
      </c>
      <c r="G22" s="105">
        <v>2930.19</v>
      </c>
      <c r="H22" s="105">
        <v>24221.99</v>
      </c>
      <c r="I22" s="107">
        <v>4807</v>
      </c>
      <c r="J22" s="107">
        <v>9192.34</v>
      </c>
      <c r="M22" s="110">
        <v>3859</v>
      </c>
    </row>
    <row r="23" spans="1:13" ht="13.5" thickBot="1" x14ac:dyDescent="0.25">
      <c r="A23" s="100">
        <v>43963</v>
      </c>
      <c r="G23" s="105">
        <v>2870.12</v>
      </c>
      <c r="H23" s="105">
        <v>23764.78</v>
      </c>
      <c r="I23" s="107">
        <v>5107</v>
      </c>
      <c r="J23" s="107">
        <v>9002.5499999999993</v>
      </c>
      <c r="M23" s="110">
        <v>4240</v>
      </c>
    </row>
    <row r="24" spans="1:13" ht="13.5" thickBot="1" x14ac:dyDescent="0.25">
      <c r="A24" s="100">
        <v>43964</v>
      </c>
      <c r="G24" s="105">
        <v>2820</v>
      </c>
      <c r="H24" s="105">
        <v>23247.97</v>
      </c>
      <c r="I24" s="107">
        <v>6143</v>
      </c>
      <c r="J24" s="107">
        <v>8863.17</v>
      </c>
      <c r="M24" s="110">
        <v>4175</v>
      </c>
    </row>
    <row r="25" spans="1:13" ht="13.5" thickBot="1" x14ac:dyDescent="0.25">
      <c r="A25" s="100">
        <v>43965</v>
      </c>
      <c r="G25" s="105">
        <v>2852.5</v>
      </c>
      <c r="H25" s="105">
        <v>23625.34</v>
      </c>
      <c r="I25" s="107">
        <v>5641</v>
      </c>
      <c r="J25" s="107">
        <v>8943.7199999999993</v>
      </c>
      <c r="M25" s="110">
        <v>3881</v>
      </c>
    </row>
    <row r="26" spans="1:13" ht="13.5" thickBot="1" x14ac:dyDescent="0.25">
      <c r="A26" s="100">
        <v>43966</v>
      </c>
      <c r="G26" s="105">
        <v>2863.7</v>
      </c>
      <c r="H26" s="105">
        <v>23685.42</v>
      </c>
      <c r="I26" s="107">
        <v>5477</v>
      </c>
      <c r="J26" s="107">
        <v>9014.56</v>
      </c>
      <c r="M26" s="110">
        <v>4164</v>
      </c>
    </row>
    <row r="27" spans="1:13" ht="13.5" thickBot="1" x14ac:dyDescent="0.25">
      <c r="A27" s="100">
        <v>43969</v>
      </c>
      <c r="G27" s="105">
        <v>2953.91</v>
      </c>
      <c r="H27" s="105">
        <v>24597.37</v>
      </c>
      <c r="I27" s="107">
        <v>6364</v>
      </c>
      <c r="J27" s="107">
        <v>9234.83</v>
      </c>
      <c r="M27" s="110">
        <v>4035</v>
      </c>
    </row>
    <row r="28" spans="1:13" ht="13.5" thickBot="1" x14ac:dyDescent="0.25">
      <c r="A28" s="100">
        <v>43970</v>
      </c>
      <c r="G28" s="105">
        <v>2922.94</v>
      </c>
      <c r="H28" s="105">
        <v>24206.86</v>
      </c>
      <c r="I28" s="107">
        <v>4969</v>
      </c>
      <c r="J28" s="107">
        <v>9185.1</v>
      </c>
      <c r="M28" s="110">
        <v>4063</v>
      </c>
    </row>
    <row r="29" spans="1:13" ht="13.5" thickBot="1" x14ac:dyDescent="0.25">
      <c r="A29" s="100">
        <v>43971</v>
      </c>
      <c r="G29" s="105">
        <v>2971.61</v>
      </c>
      <c r="H29" s="105">
        <v>24575.9</v>
      </c>
      <c r="I29" s="107">
        <v>4992</v>
      </c>
      <c r="J29" s="107">
        <v>9375.68</v>
      </c>
      <c r="M29" s="110">
        <v>4265</v>
      </c>
    </row>
    <row r="30" spans="1:13" ht="13.5" thickBot="1" x14ac:dyDescent="0.25">
      <c r="A30" s="100">
        <v>43972</v>
      </c>
      <c r="G30" s="105">
        <v>2948.51</v>
      </c>
      <c r="H30" s="105">
        <v>24474.12</v>
      </c>
      <c r="I30" s="107">
        <v>4966</v>
      </c>
      <c r="J30" s="107">
        <v>9284.8799999999992</v>
      </c>
      <c r="M30" s="110">
        <v>3699</v>
      </c>
    </row>
    <row r="31" spans="1:13" ht="13.5" thickBot="1" x14ac:dyDescent="0.25">
      <c r="A31" s="100">
        <v>43973</v>
      </c>
      <c r="G31" s="105">
        <v>2955.45</v>
      </c>
      <c r="H31" s="105">
        <v>24465.16</v>
      </c>
      <c r="I31" s="107">
        <v>3952</v>
      </c>
      <c r="J31" s="107">
        <v>9324.59</v>
      </c>
      <c r="M31" s="110">
        <v>3621</v>
      </c>
    </row>
    <row r="32" spans="1:13" ht="13.5" thickBot="1" x14ac:dyDescent="0.25">
      <c r="A32" s="100">
        <v>43977</v>
      </c>
      <c r="G32" s="105">
        <v>2991.77</v>
      </c>
      <c r="H32" s="105">
        <v>24995.11</v>
      </c>
      <c r="I32" s="107">
        <v>5837</v>
      </c>
      <c r="J32" s="107">
        <v>9340.2199999999993</v>
      </c>
      <c r="M32" s="110">
        <v>4406</v>
      </c>
    </row>
    <row r="33" spans="1:13" ht="13.5" thickBot="1" x14ac:dyDescent="0.25">
      <c r="A33" s="100">
        <v>43978</v>
      </c>
      <c r="G33" s="105">
        <v>3036.13</v>
      </c>
      <c r="H33" s="105">
        <v>25548.27</v>
      </c>
      <c r="I33" s="107">
        <v>6371</v>
      </c>
      <c r="J33" s="107">
        <v>9412.36</v>
      </c>
      <c r="M33" s="110">
        <v>4431</v>
      </c>
    </row>
    <row r="34" spans="1:13" x14ac:dyDescent="0.2">
      <c r="A34" s="100">
        <v>43979</v>
      </c>
      <c r="G34" s="105">
        <v>3029.73</v>
      </c>
      <c r="H34" s="105">
        <v>25400.639999999999</v>
      </c>
      <c r="I34" s="107">
        <v>5402</v>
      </c>
      <c r="J34" s="107">
        <v>9368.99</v>
      </c>
      <c r="M34" s="110">
        <v>3990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D69D-6510-47D7-8944-9D410AB8194B}">
  <sheetPr codeName="Sheet6"/>
  <dimension ref="C2:J8"/>
  <sheetViews>
    <sheetView tabSelected="1" workbookViewId="0">
      <selection activeCell="F7" sqref="F7:G8"/>
    </sheetView>
  </sheetViews>
  <sheetFormatPr defaultRowHeight="12" x14ac:dyDescent="0.2"/>
  <cols>
    <col min="3" max="3" width="13.6640625" customWidth="1"/>
    <col min="9" max="9" width="15.6640625" customWidth="1"/>
  </cols>
  <sheetData>
    <row r="2" spans="3:10" ht="12.75" thickBot="1" x14ac:dyDescent="0.25"/>
    <row r="3" spans="3:10" ht="18.75" thickBot="1" x14ac:dyDescent="0.25">
      <c r="C3" s="85" t="s">
        <v>28</v>
      </c>
      <c r="D3" s="86"/>
      <c r="E3" s="86"/>
      <c r="F3" s="86"/>
      <c r="G3" s="86"/>
      <c r="H3" s="86"/>
      <c r="I3" s="87"/>
      <c r="J3" s="42"/>
    </row>
    <row r="4" spans="3:10" ht="60.75" thickBot="1" x14ac:dyDescent="0.25">
      <c r="C4" s="43">
        <v>43959</v>
      </c>
      <c r="D4" s="44" t="s">
        <v>29</v>
      </c>
      <c r="E4" s="44" t="s">
        <v>15</v>
      </c>
      <c r="F4" s="45" t="s">
        <v>16</v>
      </c>
      <c r="G4" s="44" t="s">
        <v>30</v>
      </c>
      <c r="H4" s="44" t="s">
        <v>31</v>
      </c>
      <c r="I4" s="46" t="s">
        <v>32</v>
      </c>
      <c r="J4" s="42"/>
    </row>
    <row r="5" spans="3:10" ht="39" thickBot="1" x14ac:dyDescent="0.25">
      <c r="C5" s="47" t="s">
        <v>33</v>
      </c>
      <c r="D5" s="48">
        <v>9121.32</v>
      </c>
      <c r="E5" s="49">
        <v>1.5775652975725123E-2</v>
      </c>
      <c r="F5" s="50">
        <v>1.8311013938234491E-2</v>
      </c>
      <c r="G5" s="51">
        <v>-0.17199999999999999</v>
      </c>
      <c r="H5" s="52" t="s">
        <v>10</v>
      </c>
      <c r="I5" s="53">
        <v>0.824264</v>
      </c>
      <c r="J5" s="42"/>
    </row>
    <row r="6" spans="3:10" ht="15.75" thickBot="1" x14ac:dyDescent="0.25">
      <c r="C6" s="88" t="s">
        <v>35</v>
      </c>
      <c r="D6" s="90">
        <v>2929.8</v>
      </c>
      <c r="E6" s="92">
        <v>1.6871501011734777E-2</v>
      </c>
      <c r="F6" s="54" t="s">
        <v>36</v>
      </c>
      <c r="G6" s="55" t="s">
        <v>37</v>
      </c>
      <c r="H6" s="90" t="s">
        <v>34</v>
      </c>
      <c r="I6" s="94">
        <v>-0.41403999999999996</v>
      </c>
      <c r="J6" s="42"/>
    </row>
    <row r="7" spans="3:10" ht="15.75" thickBot="1" x14ac:dyDescent="0.25">
      <c r="C7" s="89"/>
      <c r="D7" s="91"/>
      <c r="E7" s="93"/>
      <c r="F7" s="96">
        <v>-5.9450038729666928E-2</v>
      </c>
      <c r="G7" s="96">
        <v>-0.28457799381352189</v>
      </c>
      <c r="H7" s="91"/>
      <c r="I7" s="95"/>
      <c r="J7" s="42"/>
    </row>
    <row r="8" spans="3:10" ht="15.75" thickBot="1" x14ac:dyDescent="0.25">
      <c r="C8" s="47" t="s">
        <v>38</v>
      </c>
      <c r="D8" s="48">
        <v>24331.32</v>
      </c>
      <c r="E8" s="56">
        <v>1.907489103024014E-2</v>
      </c>
      <c r="F8" s="97"/>
      <c r="G8" s="97"/>
      <c r="H8" s="48" t="s">
        <v>34</v>
      </c>
      <c r="I8" s="57">
        <v>3.8662640000000001</v>
      </c>
      <c r="J8" s="42"/>
    </row>
  </sheetData>
  <mergeCells count="8">
    <mergeCell ref="C3:I3"/>
    <mergeCell ref="C6:C7"/>
    <mergeCell ref="D6:D7"/>
    <mergeCell ref="E6:E7"/>
    <mergeCell ref="H6:H7"/>
    <mergeCell ref="I6:I7"/>
    <mergeCell ref="F7:F8"/>
    <mergeCell ref="G7:G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23CA-0A56-4F39-BBC9-9D9DDE6C17F0}">
  <sheetPr codeName="Sheet3"/>
  <dimension ref="D4:K31"/>
  <sheetViews>
    <sheetView workbookViewId="0">
      <selection activeCell="J14" sqref="J14"/>
    </sheetView>
  </sheetViews>
  <sheetFormatPr defaultRowHeight="12" x14ac:dyDescent="0.2"/>
  <cols>
    <col min="5" max="5" width="10.1640625" customWidth="1"/>
    <col min="10" max="10" width="22.5" customWidth="1"/>
    <col min="11" max="11" width="22.83203125" customWidth="1"/>
  </cols>
  <sheetData>
    <row r="4" spans="4:11" ht="12.75" thickBot="1" x14ac:dyDescent="0.25"/>
    <row r="5" spans="4:11" ht="32.25" customHeight="1" x14ac:dyDescent="0.2">
      <c r="D5" s="75" t="s">
        <v>18</v>
      </c>
      <c r="E5" s="76"/>
      <c r="F5" s="76"/>
      <c r="G5" s="76"/>
      <c r="H5" s="76"/>
      <c r="I5" s="76"/>
      <c r="J5" s="76"/>
      <c r="K5" s="77"/>
    </row>
    <row r="6" spans="4:11" ht="17.25" customHeight="1" thickBot="1" x14ac:dyDescent="0.25">
      <c r="D6" s="78" t="s">
        <v>19</v>
      </c>
      <c r="E6" s="79"/>
      <c r="F6" s="79"/>
      <c r="G6" s="79"/>
      <c r="H6" s="79"/>
      <c r="I6" s="79"/>
      <c r="J6" s="79"/>
      <c r="K6" s="80"/>
    </row>
    <row r="7" spans="4:11" ht="37.5" customHeight="1" x14ac:dyDescent="0.2">
      <c r="D7" s="81" t="s">
        <v>13</v>
      </c>
      <c r="E7" s="83" t="s">
        <v>0</v>
      </c>
      <c r="F7" s="83" t="s">
        <v>14</v>
      </c>
      <c r="G7" s="60" t="s">
        <v>20</v>
      </c>
      <c r="H7" s="60" t="s">
        <v>21</v>
      </c>
      <c r="I7" s="62" t="s">
        <v>17</v>
      </c>
      <c r="J7" s="12" t="s">
        <v>22</v>
      </c>
      <c r="K7" s="64" t="s">
        <v>24</v>
      </c>
    </row>
    <row r="8" spans="4:11" ht="15" customHeight="1" thickBot="1" x14ac:dyDescent="0.25">
      <c r="D8" s="82"/>
      <c r="E8" s="84"/>
      <c r="F8" s="84"/>
      <c r="G8" s="61"/>
      <c r="H8" s="61"/>
      <c r="I8" s="63"/>
      <c r="J8" s="13" t="s">
        <v>23</v>
      </c>
      <c r="K8" s="65"/>
    </row>
    <row r="9" spans="4:11" ht="18.75" customHeight="1" thickBot="1" x14ac:dyDescent="0.25">
      <c r="D9" s="14">
        <v>13</v>
      </c>
      <c r="E9" s="15">
        <v>43962</v>
      </c>
      <c r="F9" s="16">
        <v>9192.34</v>
      </c>
      <c r="G9" s="17">
        <v>7.7861537584472907E-3</v>
      </c>
      <c r="H9" s="18">
        <v>3.5695115405260332E-2</v>
      </c>
      <c r="I9" s="19">
        <v>20</v>
      </c>
      <c r="J9" s="20" t="s">
        <v>11</v>
      </c>
      <c r="K9" s="21" t="s">
        <v>8</v>
      </c>
    </row>
    <row r="10" spans="4:11" ht="18.75" customHeight="1" thickBot="1" x14ac:dyDescent="0.25">
      <c r="D10" s="14">
        <v>12</v>
      </c>
      <c r="E10" s="15">
        <v>43963</v>
      </c>
      <c r="F10" s="16">
        <v>9002.5499999999993</v>
      </c>
      <c r="G10" s="22">
        <v>-2.0646538313421923E-2</v>
      </c>
      <c r="H10" s="18">
        <v>9.8730240995076449E-2</v>
      </c>
      <c r="I10" s="19">
        <v>21</v>
      </c>
      <c r="J10" s="20" t="s">
        <v>12</v>
      </c>
      <c r="K10" s="21" t="s">
        <v>9</v>
      </c>
    </row>
    <row r="11" spans="4:11" ht="18.75" customHeight="1" thickBot="1" x14ac:dyDescent="0.25">
      <c r="D11" s="14">
        <v>11</v>
      </c>
      <c r="E11" s="15">
        <v>43964</v>
      </c>
      <c r="F11" s="23">
        <v>8863.17</v>
      </c>
      <c r="G11" s="24">
        <v>-1.5482280020660726E-2</v>
      </c>
      <c r="H11" s="18">
        <v>-1.5330188679245283E-2</v>
      </c>
      <c r="I11" s="19">
        <v>22</v>
      </c>
      <c r="J11" s="20" t="s">
        <v>7</v>
      </c>
      <c r="K11" s="25" t="s">
        <v>8</v>
      </c>
    </row>
    <row r="12" spans="4:11" ht="18.75" customHeight="1" thickBot="1" x14ac:dyDescent="0.25">
      <c r="D12" s="14">
        <v>10</v>
      </c>
      <c r="E12" s="15">
        <v>43965</v>
      </c>
      <c r="F12" s="23">
        <v>8943.7199999999993</v>
      </c>
      <c r="G12" s="24">
        <v>9.0881704852777585E-3</v>
      </c>
      <c r="H12" s="26">
        <v>-7.0419161676646705E-2</v>
      </c>
      <c r="I12" s="19">
        <v>23</v>
      </c>
      <c r="J12" s="20" t="s">
        <v>7</v>
      </c>
      <c r="K12" s="21" t="s">
        <v>9</v>
      </c>
    </row>
    <row r="13" spans="4:11" ht="18.75" customHeight="1" thickBot="1" x14ac:dyDescent="0.25">
      <c r="D13" s="14">
        <v>9</v>
      </c>
      <c r="E13" s="15">
        <v>43966</v>
      </c>
      <c r="F13" s="23">
        <v>9014.56</v>
      </c>
      <c r="G13" s="27">
        <v>7.9206415227668289E-3</v>
      </c>
      <c r="H13" s="18">
        <v>7.2919350682813702E-2</v>
      </c>
      <c r="I13" s="19">
        <v>24</v>
      </c>
      <c r="J13" s="20" t="s">
        <v>11</v>
      </c>
      <c r="K13" s="25" t="s">
        <v>8</v>
      </c>
    </row>
    <row r="14" spans="4:11" ht="18.75" customHeight="1" thickBot="1" x14ac:dyDescent="0.25">
      <c r="D14" s="14">
        <v>8</v>
      </c>
      <c r="E14" s="15">
        <v>43969</v>
      </c>
      <c r="F14" s="23">
        <v>9234.83</v>
      </c>
      <c r="G14" s="24">
        <v>2.4434914183276882E-2</v>
      </c>
      <c r="H14" s="26">
        <v>-3.0979827089337175E-2</v>
      </c>
      <c r="I14" s="19">
        <v>25</v>
      </c>
      <c r="J14" s="20" t="s">
        <v>7</v>
      </c>
      <c r="K14" s="21" t="s">
        <v>9</v>
      </c>
    </row>
    <row r="15" spans="4:11" ht="18.75" customHeight="1" thickBot="1" x14ac:dyDescent="0.25">
      <c r="D15" s="14">
        <v>7</v>
      </c>
      <c r="E15" s="15">
        <v>43970</v>
      </c>
      <c r="F15" s="23">
        <v>9185.1</v>
      </c>
      <c r="G15" s="24">
        <v>-5.3850476944350429E-3</v>
      </c>
      <c r="H15" s="26">
        <v>6.9392812887236676E-3</v>
      </c>
      <c r="I15" s="19">
        <v>26</v>
      </c>
      <c r="J15" s="20" t="s">
        <v>53</v>
      </c>
      <c r="K15" s="21" t="s">
        <v>9</v>
      </c>
    </row>
    <row r="16" spans="4:11" ht="18.75" customHeight="1" thickBot="1" x14ac:dyDescent="0.25">
      <c r="D16" s="14">
        <v>6</v>
      </c>
      <c r="E16" s="15">
        <v>43971</v>
      </c>
      <c r="F16" s="23">
        <v>9375.68</v>
      </c>
      <c r="G16" s="28">
        <v>2.0748821460844183E-2</v>
      </c>
      <c r="H16" s="26">
        <v>4.9716957912872263E-2</v>
      </c>
      <c r="I16" s="19">
        <v>27</v>
      </c>
      <c r="J16" s="20" t="s">
        <v>10</v>
      </c>
      <c r="K16" s="40" t="s">
        <v>8</v>
      </c>
    </row>
    <row r="17" spans="4:11" ht="18.75" customHeight="1" thickBot="1" x14ac:dyDescent="0.25">
      <c r="D17" s="14">
        <v>5</v>
      </c>
      <c r="E17" s="15">
        <v>43972</v>
      </c>
      <c r="F17" s="16">
        <v>9284.8799999999992</v>
      </c>
      <c r="G17" s="30">
        <v>-9.6846308747739994E-3</v>
      </c>
      <c r="H17" s="26">
        <v>-0.13270808909730364</v>
      </c>
      <c r="I17" s="19">
        <v>28</v>
      </c>
      <c r="J17" s="20" t="s">
        <v>7</v>
      </c>
      <c r="K17" s="25" t="s">
        <v>8</v>
      </c>
    </row>
    <row r="18" spans="4:11" ht="18.75" customHeight="1" thickBot="1" x14ac:dyDescent="0.25">
      <c r="D18" s="14">
        <v>4</v>
      </c>
      <c r="E18" s="15">
        <v>43973</v>
      </c>
      <c r="F18" s="16">
        <v>9324.59</v>
      </c>
      <c r="G18" s="30">
        <v>4.2768457966070586E-3</v>
      </c>
      <c r="H18" s="18">
        <v>-2.1086780210867802E-2</v>
      </c>
      <c r="I18" s="19">
        <v>29</v>
      </c>
      <c r="J18" s="20" t="s">
        <v>7</v>
      </c>
      <c r="K18" s="40" t="s">
        <v>9</v>
      </c>
    </row>
    <row r="19" spans="4:11" ht="18.75" customHeight="1" thickBot="1" x14ac:dyDescent="0.25">
      <c r="D19" s="14">
        <v>3</v>
      </c>
      <c r="E19" s="15">
        <v>43977</v>
      </c>
      <c r="F19" s="16">
        <v>9340.2199999999993</v>
      </c>
      <c r="G19" s="32">
        <v>1.6762131096379786E-3</v>
      </c>
      <c r="H19" s="18">
        <v>0.2167909417288042</v>
      </c>
      <c r="I19" s="19">
        <v>30</v>
      </c>
      <c r="J19" s="20" t="s">
        <v>7</v>
      </c>
      <c r="K19" s="41" t="s">
        <v>7</v>
      </c>
    </row>
    <row r="20" spans="4:11" ht="18.75" customHeight="1" thickBot="1" x14ac:dyDescent="0.25">
      <c r="D20" s="14">
        <v>2</v>
      </c>
      <c r="E20" s="15">
        <v>43978</v>
      </c>
      <c r="F20" s="16">
        <v>9412.36</v>
      </c>
      <c r="G20" s="32">
        <v>7.7235868105891767E-3</v>
      </c>
      <c r="H20" s="26">
        <v>5.6740807989105763E-3</v>
      </c>
      <c r="I20" s="19">
        <v>31</v>
      </c>
      <c r="J20" s="20" t="s">
        <v>11</v>
      </c>
      <c r="K20" s="21" t="s">
        <v>8</v>
      </c>
    </row>
    <row r="21" spans="4:11" ht="18.75" customHeight="1" thickBot="1" x14ac:dyDescent="0.25">
      <c r="D21" s="14">
        <v>1</v>
      </c>
      <c r="E21" s="15">
        <v>43979</v>
      </c>
      <c r="F21" s="16">
        <v>9368.99</v>
      </c>
      <c r="G21" s="33">
        <v>-4.6077710584806362E-3</v>
      </c>
      <c r="H21" s="26">
        <v>-9.9526066350710901E-2</v>
      </c>
      <c r="I21" s="19">
        <v>32</v>
      </c>
      <c r="J21" s="20" t="s">
        <v>7</v>
      </c>
      <c r="K21" s="21" t="s">
        <v>8</v>
      </c>
    </row>
    <row r="22" spans="4:11" ht="18.75" customHeight="1" thickBot="1" x14ac:dyDescent="0.25">
      <c r="D22" s="14">
        <v>7</v>
      </c>
      <c r="E22" s="15">
        <v>43955</v>
      </c>
      <c r="F22" s="16">
        <v>8710.7199999999993</v>
      </c>
      <c r="G22" s="17">
        <v>1.2291762299606461E-2</v>
      </c>
      <c r="H22" s="18">
        <v>-9.5401313910311342E-2</v>
      </c>
      <c r="I22" s="19">
        <v>33</v>
      </c>
      <c r="J22" s="20" t="s">
        <v>7</v>
      </c>
      <c r="K22" s="21" t="s">
        <v>9</v>
      </c>
    </row>
    <row r="23" spans="4:11" ht="18.75" customHeight="1" thickBot="1" x14ac:dyDescent="0.25">
      <c r="D23" s="14">
        <v>6</v>
      </c>
      <c r="E23" s="34">
        <v>43956</v>
      </c>
      <c r="F23" s="35">
        <v>8809.1200000000008</v>
      </c>
      <c r="G23" s="33">
        <v>1.1296425553800542E-2</v>
      </c>
      <c r="H23" s="26">
        <v>0.21218819071676664</v>
      </c>
      <c r="I23" s="19">
        <v>34</v>
      </c>
      <c r="J23" s="20" t="s">
        <v>10</v>
      </c>
      <c r="K23" s="21" t="s">
        <v>8</v>
      </c>
    </row>
    <row r="24" spans="4:11" ht="18.75" customHeight="1" thickBot="1" x14ac:dyDescent="0.25">
      <c r="D24" s="14">
        <v>5</v>
      </c>
      <c r="E24" s="34">
        <v>43957</v>
      </c>
      <c r="F24" s="35">
        <v>8854.39</v>
      </c>
      <c r="G24" s="17">
        <v>5.1389923170530784E-3</v>
      </c>
      <c r="H24" s="36">
        <v>-7.866631935399844E-2</v>
      </c>
      <c r="I24" s="19">
        <v>35</v>
      </c>
      <c r="J24" s="20" t="s">
        <v>7</v>
      </c>
      <c r="K24" s="21" t="s">
        <v>9</v>
      </c>
    </row>
    <row r="25" spans="4:11" ht="18.75" customHeight="1" thickBot="1" x14ac:dyDescent="0.25">
      <c r="D25" s="14">
        <v>4</v>
      </c>
      <c r="E25" s="34">
        <v>43958</v>
      </c>
      <c r="F25" s="35">
        <v>8979.66</v>
      </c>
      <c r="G25" s="32">
        <v>1.4147784319416747E-2</v>
      </c>
      <c r="H25" s="36">
        <v>3.4492507774950526E-2</v>
      </c>
      <c r="I25" s="19">
        <v>36</v>
      </c>
      <c r="J25" s="20" t="s">
        <v>10</v>
      </c>
      <c r="K25" s="25" t="s">
        <v>8</v>
      </c>
    </row>
    <row r="26" spans="4:11" ht="18.75" customHeight="1" thickBot="1" x14ac:dyDescent="0.25">
      <c r="D26" s="14">
        <v>3</v>
      </c>
      <c r="E26" s="34">
        <v>43959</v>
      </c>
      <c r="F26" s="35">
        <v>9121.32</v>
      </c>
      <c r="G26" s="36">
        <v>1.5775652975725123E-2</v>
      </c>
      <c r="H26" s="26">
        <v>1.8311013938234491E-2</v>
      </c>
      <c r="I26" s="19">
        <v>37</v>
      </c>
      <c r="J26" s="20" t="s">
        <v>10</v>
      </c>
      <c r="K26" s="37" t="s">
        <v>8</v>
      </c>
    </row>
    <row r="27" spans="4:11" ht="18.75" customHeight="1" thickBot="1" x14ac:dyDescent="0.25">
      <c r="D27" s="14">
        <v>2</v>
      </c>
      <c r="E27" s="34">
        <v>43962</v>
      </c>
      <c r="F27" s="35">
        <v>9192.34</v>
      </c>
      <c r="G27" s="32">
        <v>7.7861537584472907E-3</v>
      </c>
      <c r="H27" s="26">
        <v>3.5695115405260332E-2</v>
      </c>
      <c r="I27" s="19">
        <v>38</v>
      </c>
      <c r="J27" s="20" t="s">
        <v>11</v>
      </c>
      <c r="K27" s="21" t="s">
        <v>8</v>
      </c>
    </row>
    <row r="28" spans="4:11" ht="18.75" customHeight="1" thickBot="1" x14ac:dyDescent="0.25">
      <c r="D28" s="14">
        <v>1</v>
      </c>
      <c r="E28" s="34">
        <v>43963</v>
      </c>
      <c r="F28" s="35">
        <v>9002.5499999999993</v>
      </c>
      <c r="G28" s="17">
        <v>-2.0646538313421923E-2</v>
      </c>
      <c r="H28" s="39">
        <v>9.8730240995076449E-2</v>
      </c>
      <c r="I28" s="19"/>
      <c r="J28" s="20" t="s">
        <v>12</v>
      </c>
      <c r="K28" s="21" t="s">
        <v>9</v>
      </c>
    </row>
    <row r="29" spans="4:11" ht="14.25" x14ac:dyDescent="0.2">
      <c r="D29" s="69"/>
      <c r="E29" s="70"/>
      <c r="F29" s="70"/>
      <c r="G29" s="70"/>
      <c r="H29" s="70"/>
      <c r="I29" s="70"/>
      <c r="J29" s="70"/>
      <c r="K29" s="71"/>
    </row>
    <row r="30" spans="4:11" ht="71.25" customHeight="1" x14ac:dyDescent="0.2">
      <c r="D30" s="72" t="s">
        <v>27</v>
      </c>
      <c r="E30" s="73"/>
      <c r="F30" s="73"/>
      <c r="G30" s="73"/>
      <c r="H30" s="73"/>
      <c r="I30" s="73"/>
      <c r="J30" s="73"/>
      <c r="K30" s="74"/>
    </row>
    <row r="31" spans="4:11" ht="12.75" thickBot="1" x14ac:dyDescent="0.25">
      <c r="D31" s="66"/>
      <c r="E31" s="67"/>
      <c r="F31" s="67"/>
      <c r="G31" s="67"/>
      <c r="H31" s="67"/>
      <c r="I31" s="67"/>
      <c r="J31" s="67"/>
      <c r="K31" s="68"/>
    </row>
  </sheetData>
  <mergeCells count="12">
    <mergeCell ref="D5:K5"/>
    <mergeCell ref="D6:K6"/>
    <mergeCell ref="D7:D8"/>
    <mergeCell ref="E7:E8"/>
    <mergeCell ref="F7:F8"/>
    <mergeCell ref="G7:G8"/>
    <mergeCell ref="H7:H8"/>
    <mergeCell ref="I7:I8"/>
    <mergeCell ref="K7:K8"/>
    <mergeCell ref="D31:K31"/>
    <mergeCell ref="D29:K29"/>
    <mergeCell ref="D30:K30"/>
  </mergeCells>
  <conditionalFormatting sqref="K9:K28">
    <cfRule type="cellIs" dxfId="13" priority="17" operator="equal">
      <formula>"DOWNTREND"</formula>
    </cfRule>
    <cfRule type="cellIs" dxfId="12" priority="18" operator="equal">
      <formula>"UPTREND"</formula>
    </cfRule>
  </conditionalFormatting>
  <conditionalFormatting sqref="J9:K28">
    <cfRule type="cellIs" dxfId="11" priority="8" operator="equal">
      <formula>"Major Accumulation"</formula>
    </cfRule>
    <cfRule type="cellIs" dxfId="10" priority="9" operator="equal">
      <formula>"Minor Accumulation"</formula>
    </cfRule>
    <cfRule type="cellIs" dxfId="9" priority="10" operator="equal">
      <formula>"Minor Distribution"</formula>
    </cfRule>
    <cfRule type="containsText" dxfId="8" priority="11" operator="containsText" text="Major Distribution">
      <formula>NOT(ISERROR(SEARCH("Major Distribution",J9)))</formula>
    </cfRule>
  </conditionalFormatting>
  <conditionalFormatting sqref="H9:H28">
    <cfRule type="cellIs" dxfId="7" priority="6" operator="lessThan">
      <formula>0</formula>
    </cfRule>
    <cfRule type="cellIs" dxfId="6" priority="7" operator="greaterThan">
      <formula>0</formula>
    </cfRule>
  </conditionalFormatting>
  <conditionalFormatting sqref="G9:G28">
    <cfRule type="cellIs" dxfId="5" priority="1" operator="between">
      <formula>0</formula>
      <formula>-0.002</formula>
    </cfRule>
    <cfRule type="cellIs" dxfId="4" priority="2" operator="between">
      <formula>0.2%</formula>
      <formula>1%</formula>
    </cfRule>
    <cfRule type="cellIs" dxfId="3" priority="3" operator="lessThanOrEqual">
      <formula>-1%</formula>
    </cfRule>
    <cfRule type="cellIs" dxfId="2" priority="5" operator="greaterThanOrEqual">
      <formula>1%</formula>
    </cfRule>
  </conditionalFormatting>
  <conditionalFormatting sqref="S11">
    <cfRule type="cellIs" dxfId="1" priority="4" operator="greaterThan">
      <formula>0.0099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" operator="containsText" id="{2208314D-3A26-4F42-9702-08299F45DB9A}">
            <xm:f>NOT(ISERROR(SEARCH(Minus,K9)))</xm:f>
            <xm:f>Minus</xm:f>
            <x14:dxf>
              <fill>
                <patternFill patternType="solid">
                  <bgColor theme="0"/>
                </patternFill>
              </fill>
            </x14:dxf>
          </x14:cfRule>
          <xm:sqref>K9:K28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B86A4-8F75-4FF5-921B-8BA8AA9C0329}">
  <sheetPr codeName="Sheet5"/>
  <dimension ref="A1:P34"/>
  <sheetViews>
    <sheetView workbookViewId="0">
      <selection sqref="A1:XFD1048576"/>
    </sheetView>
  </sheetViews>
  <sheetFormatPr defaultRowHeight="12" x14ac:dyDescent="0.2"/>
  <cols>
    <col min="1" max="1" width="9.83203125" bestFit="1" customWidth="1"/>
    <col min="2" max="2" width="13" customWidth="1"/>
    <col min="3" max="3" width="14.33203125" customWidth="1"/>
    <col min="6" max="6" width="2.83203125" style="1" customWidth="1"/>
    <col min="7" max="7" width="12.5" style="5" customWidth="1"/>
    <col min="8" max="8" width="13" customWidth="1"/>
    <col min="9" max="9" width="12.33203125" customWidth="1"/>
    <col min="10" max="10" width="14" style="8" customWidth="1"/>
    <col min="15" max="15" width="9.5" bestFit="1" customWidth="1"/>
    <col min="16" max="16" width="9.83203125" bestFit="1" customWidth="1"/>
    <col min="17" max="20" width="9.5" bestFit="1" customWidth="1"/>
  </cols>
  <sheetData>
    <row r="1" spans="1:16" s="9" customFormat="1" ht="34.5" customHeight="1" thickBot="1" x14ac:dyDescent="0.25">
      <c r="A1" s="9" t="s">
        <v>0</v>
      </c>
      <c r="B1" s="9" t="s">
        <v>1</v>
      </c>
      <c r="C1" s="9" t="s">
        <v>2</v>
      </c>
      <c r="F1" s="10"/>
      <c r="G1" s="9" t="s">
        <v>3</v>
      </c>
      <c r="H1" s="9" t="s">
        <v>4</v>
      </c>
      <c r="I1" s="9" t="s">
        <v>5</v>
      </c>
      <c r="J1" s="9" t="s">
        <v>6</v>
      </c>
    </row>
    <row r="2" spans="1:16" x14ac:dyDescent="0.2">
      <c r="A2" s="2">
        <v>43934</v>
      </c>
      <c r="G2" s="3">
        <v>8192.42</v>
      </c>
      <c r="J2" s="6">
        <v>3105</v>
      </c>
    </row>
    <row r="3" spans="1:16" x14ac:dyDescent="0.2">
      <c r="A3" s="2">
        <v>43935</v>
      </c>
      <c r="G3" s="4">
        <v>8515.74</v>
      </c>
      <c r="J3" s="11">
        <v>3441</v>
      </c>
    </row>
    <row r="4" spans="1:16" x14ac:dyDescent="0.2">
      <c r="A4" s="2">
        <v>43936</v>
      </c>
      <c r="G4" s="4">
        <v>8393.18</v>
      </c>
      <c r="J4" s="11">
        <v>3266</v>
      </c>
    </row>
    <row r="5" spans="1:16" x14ac:dyDescent="0.2">
      <c r="A5" s="2">
        <v>43937</v>
      </c>
      <c r="G5" s="4">
        <v>8532.36</v>
      </c>
      <c r="J5" s="11">
        <v>3659</v>
      </c>
    </row>
    <row r="6" spans="1:16" x14ac:dyDescent="0.2">
      <c r="A6" s="2">
        <v>43938</v>
      </c>
      <c r="G6" s="4">
        <v>8650.14</v>
      </c>
      <c r="J6" s="11">
        <v>4011</v>
      </c>
    </row>
    <row r="7" spans="1:16" x14ac:dyDescent="0.2">
      <c r="A7" s="2">
        <v>43941</v>
      </c>
      <c r="G7" s="4">
        <v>8560.73</v>
      </c>
      <c r="J7" s="11">
        <v>3726</v>
      </c>
    </row>
    <row r="8" spans="1:16" x14ac:dyDescent="0.2">
      <c r="A8" s="2">
        <v>43942</v>
      </c>
      <c r="G8" s="4">
        <v>8263.23</v>
      </c>
      <c r="J8" s="11">
        <v>3501</v>
      </c>
    </row>
    <row r="9" spans="1:16" x14ac:dyDescent="0.2">
      <c r="A9" s="2">
        <v>43943</v>
      </c>
      <c r="G9" s="4">
        <v>8495.3799999999992</v>
      </c>
      <c r="J9" s="11">
        <v>2770</v>
      </c>
    </row>
    <row r="10" spans="1:16" x14ac:dyDescent="0.2">
      <c r="A10" s="2">
        <v>43944</v>
      </c>
      <c r="G10" s="4">
        <v>8494.75</v>
      </c>
      <c r="J10" s="11">
        <v>3497</v>
      </c>
    </row>
    <row r="11" spans="1:16" x14ac:dyDescent="0.2">
      <c r="A11" s="2">
        <v>43945</v>
      </c>
      <c r="G11" s="4">
        <v>8634.52</v>
      </c>
      <c r="J11" s="11">
        <v>3391</v>
      </c>
    </row>
    <row r="12" spans="1:16" x14ac:dyDescent="0.2">
      <c r="A12" s="2">
        <v>43948</v>
      </c>
      <c r="G12" s="4">
        <v>8730.16</v>
      </c>
      <c r="J12" s="11">
        <v>3445</v>
      </c>
    </row>
    <row r="13" spans="1:16" x14ac:dyDescent="0.2">
      <c r="A13" s="2">
        <v>43949</v>
      </c>
      <c r="G13" s="4">
        <v>8607.73</v>
      </c>
      <c r="J13" s="11">
        <v>3469</v>
      </c>
    </row>
    <row r="14" spans="1:16" x14ac:dyDescent="0.2">
      <c r="A14" s="2">
        <v>43950</v>
      </c>
      <c r="G14" s="4">
        <v>8914.7099999999991</v>
      </c>
      <c r="J14" s="11">
        <v>4267</v>
      </c>
    </row>
    <row r="15" spans="1:16" x14ac:dyDescent="0.2">
      <c r="A15" s="2">
        <v>43951</v>
      </c>
      <c r="G15" s="4">
        <v>8889.5499999999993</v>
      </c>
      <c r="J15" s="11">
        <v>3884</v>
      </c>
      <c r="P15" s="2"/>
    </row>
    <row r="16" spans="1:16" x14ac:dyDescent="0.2">
      <c r="A16" s="2">
        <v>43952</v>
      </c>
      <c r="G16" s="4">
        <v>8604.9500000000007</v>
      </c>
      <c r="J16" s="11">
        <v>3501</v>
      </c>
      <c r="P16" s="2"/>
    </row>
    <row r="17" spans="1:16" x14ac:dyDescent="0.2">
      <c r="A17" s="2">
        <v>43955</v>
      </c>
      <c r="G17" s="4">
        <v>8710.7199999999993</v>
      </c>
      <c r="J17" s="11">
        <v>3167</v>
      </c>
      <c r="P17" s="2"/>
    </row>
    <row r="18" spans="1:16" x14ac:dyDescent="0.2">
      <c r="A18" s="2">
        <v>43956</v>
      </c>
      <c r="G18" s="4">
        <v>8809.1200000000008</v>
      </c>
      <c r="J18" s="11">
        <v>3839</v>
      </c>
      <c r="P18" s="2"/>
    </row>
    <row r="19" spans="1:16" x14ac:dyDescent="0.2">
      <c r="A19" s="2">
        <v>43957</v>
      </c>
      <c r="G19" s="4">
        <v>8854.39</v>
      </c>
      <c r="J19" s="11">
        <v>3537</v>
      </c>
      <c r="P19" s="2"/>
    </row>
    <row r="20" spans="1:16" x14ac:dyDescent="0.2">
      <c r="A20" s="2">
        <v>43958</v>
      </c>
      <c r="G20" s="4">
        <v>8979.66</v>
      </c>
      <c r="J20" s="11">
        <v>3659</v>
      </c>
      <c r="P20" s="2"/>
    </row>
    <row r="21" spans="1:16" x14ac:dyDescent="0.2">
      <c r="A21" s="2">
        <v>43959</v>
      </c>
      <c r="G21" s="4">
        <v>9121.32</v>
      </c>
      <c r="J21" s="11">
        <v>3726</v>
      </c>
      <c r="P21" s="2"/>
    </row>
    <row r="22" spans="1:16" x14ac:dyDescent="0.2">
      <c r="A22" s="2">
        <v>43962</v>
      </c>
      <c r="G22" s="4">
        <v>9192.34</v>
      </c>
      <c r="J22" s="11">
        <v>3859</v>
      </c>
      <c r="P22" s="2"/>
    </row>
    <row r="23" spans="1:16" x14ac:dyDescent="0.2">
      <c r="A23" s="2">
        <v>43963</v>
      </c>
      <c r="G23" s="4">
        <v>9002.5499999999993</v>
      </c>
      <c r="J23" s="11">
        <v>4240</v>
      </c>
      <c r="P23" s="2"/>
    </row>
    <row r="24" spans="1:16" x14ac:dyDescent="0.2">
      <c r="A24" s="2">
        <v>43964</v>
      </c>
      <c r="G24" s="4">
        <v>8863.17</v>
      </c>
      <c r="J24" s="11">
        <v>4175</v>
      </c>
      <c r="P24" s="2"/>
    </row>
    <row r="25" spans="1:16" x14ac:dyDescent="0.2">
      <c r="A25" s="2">
        <v>43965</v>
      </c>
      <c r="G25" s="4">
        <v>8943.7199999999993</v>
      </c>
      <c r="J25" s="11">
        <v>3881</v>
      </c>
      <c r="P25" s="2"/>
    </row>
    <row r="26" spans="1:16" x14ac:dyDescent="0.2">
      <c r="A26" s="2">
        <v>43966</v>
      </c>
      <c r="G26" s="4">
        <v>9014.56</v>
      </c>
      <c r="J26" s="11">
        <v>4164</v>
      </c>
      <c r="P26" s="2"/>
    </row>
    <row r="27" spans="1:16" x14ac:dyDescent="0.2">
      <c r="A27" s="2">
        <v>43969</v>
      </c>
      <c r="G27" s="4">
        <v>9234.83</v>
      </c>
      <c r="J27" s="11">
        <v>4035</v>
      </c>
      <c r="P27" s="2"/>
    </row>
    <row r="28" spans="1:16" x14ac:dyDescent="0.2">
      <c r="A28" s="2">
        <v>43970</v>
      </c>
      <c r="G28" s="4">
        <v>9185.1</v>
      </c>
      <c r="J28" s="7">
        <v>4063</v>
      </c>
      <c r="P28" s="2"/>
    </row>
    <row r="29" spans="1:16" x14ac:dyDescent="0.2">
      <c r="A29" s="2">
        <v>43971</v>
      </c>
      <c r="G29" s="4">
        <v>9375.68</v>
      </c>
      <c r="J29" s="7">
        <v>4265</v>
      </c>
      <c r="P29" s="2"/>
    </row>
    <row r="30" spans="1:16" x14ac:dyDescent="0.2">
      <c r="A30" s="2">
        <v>43972</v>
      </c>
      <c r="G30" s="4">
        <v>9284.8799999999992</v>
      </c>
      <c r="J30" s="7">
        <v>3699</v>
      </c>
      <c r="P30" s="2"/>
    </row>
    <row r="31" spans="1:16" x14ac:dyDescent="0.2">
      <c r="A31" s="2">
        <v>43973</v>
      </c>
      <c r="G31" s="4">
        <v>9324.59</v>
      </c>
      <c r="J31" s="7">
        <v>3621</v>
      </c>
    </row>
    <row r="32" spans="1:16" x14ac:dyDescent="0.2">
      <c r="A32" s="2">
        <v>43977</v>
      </c>
      <c r="G32" s="4">
        <v>9340.2199999999993</v>
      </c>
      <c r="J32" s="7">
        <v>4406</v>
      </c>
      <c r="P32" s="2"/>
    </row>
    <row r="33" spans="1:16" x14ac:dyDescent="0.2">
      <c r="A33" s="2">
        <v>43978</v>
      </c>
      <c r="G33" s="4">
        <v>9412.36</v>
      </c>
      <c r="J33" s="7">
        <v>4431</v>
      </c>
      <c r="P33" s="2"/>
    </row>
    <row r="34" spans="1:16" x14ac:dyDescent="0.2">
      <c r="A34" s="2">
        <v>43979</v>
      </c>
      <c r="G34" s="4">
        <v>9368.99</v>
      </c>
      <c r="J34" s="7">
        <v>3990</v>
      </c>
      <c r="P34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EE54A-CEFC-4B9F-9A43-35FEA7E7F36C}">
  <sheetPr codeName="Sheet4"/>
  <dimension ref="D4:K31"/>
  <sheetViews>
    <sheetView workbookViewId="0">
      <selection activeCell="Z13" sqref="Z13"/>
    </sheetView>
  </sheetViews>
  <sheetFormatPr defaultRowHeight="12" x14ac:dyDescent="0.2"/>
  <cols>
    <col min="5" max="5" width="10.1640625" customWidth="1"/>
    <col min="10" max="10" width="22.5" customWidth="1"/>
    <col min="11" max="11" width="22.83203125" customWidth="1"/>
  </cols>
  <sheetData>
    <row r="4" spans="4:11" ht="12.75" thickBot="1" x14ac:dyDescent="0.25"/>
    <row r="5" spans="4:11" ht="32.25" customHeight="1" x14ac:dyDescent="0.2">
      <c r="D5" s="75" t="s">
        <v>18</v>
      </c>
      <c r="E5" s="76"/>
      <c r="F5" s="76"/>
      <c r="G5" s="76"/>
      <c r="H5" s="76"/>
      <c r="I5" s="76"/>
      <c r="J5" s="76"/>
      <c r="K5" s="77"/>
    </row>
    <row r="6" spans="4:11" ht="17.25" customHeight="1" thickBot="1" x14ac:dyDescent="0.25">
      <c r="D6" s="78" t="s">
        <v>19</v>
      </c>
      <c r="E6" s="79"/>
      <c r="F6" s="79"/>
      <c r="G6" s="79"/>
      <c r="H6" s="79"/>
      <c r="I6" s="79"/>
      <c r="J6" s="79"/>
      <c r="K6" s="80"/>
    </row>
    <row r="7" spans="4:11" ht="37.5" customHeight="1" x14ac:dyDescent="0.2">
      <c r="D7" s="81" t="s">
        <v>13</v>
      </c>
      <c r="E7" s="83" t="s">
        <v>0</v>
      </c>
      <c r="F7" s="83" t="s">
        <v>14</v>
      </c>
      <c r="G7" s="60" t="s">
        <v>20</v>
      </c>
      <c r="H7" s="60" t="s">
        <v>21</v>
      </c>
      <c r="I7" s="62" t="s">
        <v>17</v>
      </c>
      <c r="J7" s="12" t="s">
        <v>22</v>
      </c>
      <c r="K7" s="64" t="s">
        <v>24</v>
      </c>
    </row>
    <row r="8" spans="4:11" ht="15" customHeight="1" thickBot="1" x14ac:dyDescent="0.25">
      <c r="D8" s="82"/>
      <c r="E8" s="84"/>
      <c r="F8" s="84"/>
      <c r="G8" s="61"/>
      <c r="H8" s="61"/>
      <c r="I8" s="63"/>
      <c r="J8" s="13" t="s">
        <v>23</v>
      </c>
      <c r="K8" s="65"/>
    </row>
    <row r="9" spans="4:11" ht="18.75" customHeight="1" thickBot="1" x14ac:dyDescent="0.25">
      <c r="D9" s="14">
        <v>20</v>
      </c>
      <c r="E9" s="15">
        <v>43951</v>
      </c>
      <c r="F9" s="16">
        <v>8889.5499999999993</v>
      </c>
      <c r="G9" s="17">
        <v>-3.0000000000000001E-3</v>
      </c>
      <c r="H9" s="18">
        <v>-4.1000000000000002E-2</v>
      </c>
      <c r="I9" s="19">
        <v>20</v>
      </c>
      <c r="J9" s="20" t="s">
        <v>25</v>
      </c>
      <c r="K9" s="21" t="s">
        <v>8</v>
      </c>
    </row>
    <row r="10" spans="4:11" ht="18.75" customHeight="1" thickBot="1" x14ac:dyDescent="0.25">
      <c r="D10" s="14">
        <v>19</v>
      </c>
      <c r="E10" s="15">
        <v>43952</v>
      </c>
      <c r="F10" s="16">
        <v>8604.9500000000007</v>
      </c>
      <c r="G10" s="22">
        <v>-3.2000000000000001E-2</v>
      </c>
      <c r="H10" s="18">
        <v>-9.9000000000000005E-2</v>
      </c>
      <c r="I10" s="19">
        <v>21</v>
      </c>
      <c r="J10" s="20" t="s">
        <v>25</v>
      </c>
      <c r="K10" s="21" t="s">
        <v>8</v>
      </c>
    </row>
    <row r="11" spans="4:11" ht="18.75" customHeight="1" thickBot="1" x14ac:dyDescent="0.25">
      <c r="D11" s="14">
        <v>18</v>
      </c>
      <c r="E11" s="15">
        <v>43955</v>
      </c>
      <c r="F11" s="23">
        <v>8710.7199999999993</v>
      </c>
      <c r="G11" s="24">
        <v>1.2E-2</v>
      </c>
      <c r="H11" s="18">
        <v>-9.5000000000000001E-2</v>
      </c>
      <c r="I11" s="19">
        <v>22</v>
      </c>
      <c r="J11" s="20" t="s">
        <v>25</v>
      </c>
      <c r="K11" s="25" t="s">
        <v>9</v>
      </c>
    </row>
    <row r="12" spans="4:11" ht="18.75" customHeight="1" thickBot="1" x14ac:dyDescent="0.25">
      <c r="D12" s="14">
        <v>17</v>
      </c>
      <c r="E12" s="15">
        <v>43956</v>
      </c>
      <c r="F12" s="23">
        <v>8809.1200000000008</v>
      </c>
      <c r="G12" s="24">
        <v>1.0999999999999999E-2</v>
      </c>
      <c r="H12" s="26">
        <v>0.13100000000000001</v>
      </c>
      <c r="I12" s="19">
        <v>23</v>
      </c>
      <c r="J12" s="19" t="s">
        <v>10</v>
      </c>
      <c r="K12" s="21" t="s">
        <v>8</v>
      </c>
    </row>
    <row r="13" spans="4:11" ht="18.75" customHeight="1" thickBot="1" x14ac:dyDescent="0.25">
      <c r="D13" s="14">
        <v>16</v>
      </c>
      <c r="E13" s="15">
        <v>43957</v>
      </c>
      <c r="F13" s="23">
        <v>8854.39</v>
      </c>
      <c r="G13" s="27">
        <v>5.0000000000000001E-3</v>
      </c>
      <c r="H13" s="18">
        <v>-7.9000000000000001E-2</v>
      </c>
      <c r="I13" s="19">
        <v>24</v>
      </c>
      <c r="J13" s="20" t="s">
        <v>25</v>
      </c>
      <c r="K13" s="25" t="s">
        <v>9</v>
      </c>
    </row>
    <row r="14" spans="4:11" ht="18.75" customHeight="1" thickBot="1" x14ac:dyDescent="0.25">
      <c r="D14" s="14">
        <v>15</v>
      </c>
      <c r="E14" s="15">
        <v>43958</v>
      </c>
      <c r="F14" s="23">
        <v>8979.66</v>
      </c>
      <c r="G14" s="24">
        <v>1.4E-2</v>
      </c>
      <c r="H14" s="26">
        <v>3.4000000000000002E-2</v>
      </c>
      <c r="I14" s="19">
        <v>25</v>
      </c>
      <c r="J14" s="19" t="s">
        <v>10</v>
      </c>
      <c r="K14" s="21" t="s">
        <v>8</v>
      </c>
    </row>
    <row r="15" spans="4:11" ht="18.75" customHeight="1" thickBot="1" x14ac:dyDescent="0.25">
      <c r="D15" s="14">
        <v>14</v>
      </c>
      <c r="E15" s="15">
        <v>43959</v>
      </c>
      <c r="F15" s="23">
        <v>9121.32</v>
      </c>
      <c r="G15" s="24">
        <v>1.6E-2</v>
      </c>
      <c r="H15" s="26">
        <v>1.7999999999999999E-2</v>
      </c>
      <c r="I15" s="19">
        <v>26</v>
      </c>
      <c r="J15" s="19" t="s">
        <v>10</v>
      </c>
      <c r="K15" s="21" t="s">
        <v>8</v>
      </c>
    </row>
    <row r="16" spans="4:11" ht="18.75" customHeight="1" thickBot="1" x14ac:dyDescent="0.25">
      <c r="D16" s="14">
        <v>13</v>
      </c>
      <c r="E16" s="15">
        <v>43962</v>
      </c>
      <c r="F16" s="23">
        <v>9192.34</v>
      </c>
      <c r="G16" s="28">
        <v>8.0000000000000002E-3</v>
      </c>
      <c r="H16" s="26">
        <v>3.5999999999999997E-2</v>
      </c>
      <c r="I16" s="19">
        <v>27</v>
      </c>
      <c r="J16" s="29" t="s">
        <v>26</v>
      </c>
      <c r="K16" s="21" t="s">
        <v>8</v>
      </c>
    </row>
    <row r="17" spans="4:11" ht="18.75" customHeight="1" thickBot="1" x14ac:dyDescent="0.25">
      <c r="D17" s="14">
        <v>12</v>
      </c>
      <c r="E17" s="15">
        <v>43963</v>
      </c>
      <c r="F17" s="16">
        <v>9002.5499999999993</v>
      </c>
      <c r="G17" s="30">
        <v>-2.1000000000000001E-2</v>
      </c>
      <c r="H17" s="26">
        <v>9.9000000000000005E-2</v>
      </c>
      <c r="I17" s="19">
        <v>28</v>
      </c>
      <c r="J17" s="31" t="s">
        <v>12</v>
      </c>
      <c r="K17" s="25" t="s">
        <v>9</v>
      </c>
    </row>
    <row r="18" spans="4:11" ht="18.75" customHeight="1" thickBot="1" x14ac:dyDescent="0.25">
      <c r="D18" s="14">
        <v>11</v>
      </c>
      <c r="E18" s="15">
        <v>43964</v>
      </c>
      <c r="F18" s="16">
        <v>8863.17</v>
      </c>
      <c r="G18" s="30">
        <v>-1.6E-2</v>
      </c>
      <c r="H18" s="18">
        <v>-1.6E-2</v>
      </c>
      <c r="I18" s="19">
        <v>29</v>
      </c>
      <c r="J18" s="20" t="s">
        <v>25</v>
      </c>
      <c r="K18" s="21" t="s">
        <v>8</v>
      </c>
    </row>
    <row r="19" spans="4:11" ht="18.75" customHeight="1" thickBot="1" x14ac:dyDescent="0.25">
      <c r="D19" s="14">
        <v>10</v>
      </c>
      <c r="E19" s="15">
        <v>43965</v>
      </c>
      <c r="F19" s="16">
        <v>8943.7199999999993</v>
      </c>
      <c r="G19" s="32">
        <v>8.9999999999999993E-3</v>
      </c>
      <c r="H19" s="18">
        <v>-7.0000000000000007E-2</v>
      </c>
      <c r="I19" s="19">
        <v>30</v>
      </c>
      <c r="J19" s="20" t="s">
        <v>25</v>
      </c>
      <c r="K19" s="25" t="s">
        <v>9</v>
      </c>
    </row>
    <row r="20" spans="4:11" ht="18.75" customHeight="1" thickBot="1" x14ac:dyDescent="0.25">
      <c r="D20" s="14">
        <v>9</v>
      </c>
      <c r="E20" s="15">
        <v>43966</v>
      </c>
      <c r="F20" s="16">
        <v>9014.56</v>
      </c>
      <c r="G20" s="32">
        <v>8.0000000000000002E-3</v>
      </c>
      <c r="H20" s="26">
        <v>7.2999999999999995E-2</v>
      </c>
      <c r="I20" s="19">
        <v>31</v>
      </c>
      <c r="J20" s="29" t="s">
        <v>26</v>
      </c>
      <c r="K20" s="21" t="s">
        <v>8</v>
      </c>
    </row>
    <row r="21" spans="4:11" ht="18.75" customHeight="1" thickBot="1" x14ac:dyDescent="0.25">
      <c r="D21" s="14">
        <v>8</v>
      </c>
      <c r="E21" s="15">
        <v>43969</v>
      </c>
      <c r="F21" s="16">
        <v>9234.83</v>
      </c>
      <c r="G21" s="33">
        <v>2.4E-2</v>
      </c>
      <c r="H21" s="26">
        <v>4.4999999999999998E-2</v>
      </c>
      <c r="I21" s="19">
        <v>32</v>
      </c>
      <c r="J21" s="19" t="s">
        <v>10</v>
      </c>
      <c r="K21" s="21" t="s">
        <v>8</v>
      </c>
    </row>
    <row r="22" spans="4:11" ht="18.75" customHeight="1" thickBot="1" x14ac:dyDescent="0.25">
      <c r="D22" s="14">
        <v>7</v>
      </c>
      <c r="E22" s="15">
        <v>43970</v>
      </c>
      <c r="F22" s="16">
        <v>9185.1</v>
      </c>
      <c r="G22" s="17">
        <v>-5.0000000000000001E-3</v>
      </c>
      <c r="H22" s="18">
        <v>-5.3999999999999999E-2</v>
      </c>
      <c r="I22" s="19">
        <v>33</v>
      </c>
      <c r="J22" s="20" t="s">
        <v>25</v>
      </c>
      <c r="K22" s="21" t="s">
        <v>8</v>
      </c>
    </row>
    <row r="23" spans="4:11" ht="18.75" customHeight="1" thickBot="1" x14ac:dyDescent="0.25">
      <c r="D23" s="14">
        <v>6</v>
      </c>
      <c r="E23" s="34">
        <v>43971</v>
      </c>
      <c r="F23" s="35">
        <v>9375.68</v>
      </c>
      <c r="G23" s="33">
        <v>2.1000000000000001E-2</v>
      </c>
      <c r="H23" s="26">
        <v>0.05</v>
      </c>
      <c r="I23" s="19">
        <v>34</v>
      </c>
      <c r="J23" s="19" t="s">
        <v>10</v>
      </c>
      <c r="K23" s="21" t="s">
        <v>8</v>
      </c>
    </row>
    <row r="24" spans="4:11" ht="18.75" customHeight="1" thickBot="1" x14ac:dyDescent="0.25">
      <c r="D24" s="14">
        <v>5</v>
      </c>
      <c r="E24" s="34">
        <v>43972</v>
      </c>
      <c r="F24" s="35">
        <v>9284.8799999999992</v>
      </c>
      <c r="G24" s="17">
        <v>-8.9999999999999993E-3</v>
      </c>
      <c r="H24" s="36">
        <v>-0.13300000000000001</v>
      </c>
      <c r="I24" s="19">
        <v>35</v>
      </c>
      <c r="J24" s="37" t="s">
        <v>25</v>
      </c>
      <c r="K24" s="21" t="s">
        <v>8</v>
      </c>
    </row>
    <row r="25" spans="4:11" ht="18.75" customHeight="1" thickBot="1" x14ac:dyDescent="0.25">
      <c r="D25" s="14">
        <v>4</v>
      </c>
      <c r="E25" s="34">
        <v>43973</v>
      </c>
      <c r="F25" s="35">
        <v>9324.59</v>
      </c>
      <c r="G25" s="32">
        <v>4.0000000000000001E-3</v>
      </c>
      <c r="H25" s="36">
        <v>-2.1100000000000001E-2</v>
      </c>
      <c r="I25" s="19">
        <v>36</v>
      </c>
      <c r="J25" s="37" t="s">
        <v>25</v>
      </c>
      <c r="K25" s="25" t="s">
        <v>9</v>
      </c>
    </row>
    <row r="26" spans="4:11" ht="18.75" customHeight="1" thickBot="1" x14ac:dyDescent="0.25">
      <c r="D26" s="14">
        <v>3</v>
      </c>
      <c r="E26" s="34">
        <v>43977</v>
      </c>
      <c r="F26" s="35">
        <v>9340.2199999999993</v>
      </c>
      <c r="G26" s="36">
        <v>1.6999999999999999E-3</v>
      </c>
      <c r="H26" s="26">
        <v>0.217</v>
      </c>
      <c r="I26" s="19">
        <v>37</v>
      </c>
      <c r="J26" s="37" t="s">
        <v>25</v>
      </c>
      <c r="K26" s="37" t="s">
        <v>25</v>
      </c>
    </row>
    <row r="27" spans="4:11" ht="18.75" customHeight="1" thickBot="1" x14ac:dyDescent="0.25">
      <c r="D27" s="14">
        <v>2</v>
      </c>
      <c r="E27" s="34">
        <v>43978</v>
      </c>
      <c r="F27" s="35">
        <v>9412.36</v>
      </c>
      <c r="G27" s="32">
        <v>8.0000000000000002E-3</v>
      </c>
      <c r="H27" s="26">
        <v>6.0000000000000001E-3</v>
      </c>
      <c r="I27" s="19">
        <v>38</v>
      </c>
      <c r="J27" s="38" t="s">
        <v>11</v>
      </c>
      <c r="K27" s="21" t="s">
        <v>8</v>
      </c>
    </row>
    <row r="28" spans="4:11" ht="18.75" customHeight="1" thickBot="1" x14ac:dyDescent="0.25">
      <c r="D28" s="14">
        <v>1</v>
      </c>
      <c r="E28" s="34">
        <v>43979</v>
      </c>
      <c r="F28" s="35">
        <v>9368.99</v>
      </c>
      <c r="G28" s="17">
        <v>-5.0000000000000001E-3</v>
      </c>
      <c r="H28" s="39">
        <v>-0.1</v>
      </c>
      <c r="I28" s="19"/>
      <c r="J28" s="37" t="s">
        <v>25</v>
      </c>
      <c r="K28" s="21" t="s">
        <v>8</v>
      </c>
    </row>
    <row r="29" spans="4:11" ht="14.25" x14ac:dyDescent="0.2">
      <c r="D29" s="69"/>
      <c r="E29" s="70"/>
      <c r="F29" s="70"/>
      <c r="G29" s="70"/>
      <c r="H29" s="70"/>
      <c r="I29" s="70"/>
      <c r="J29" s="70"/>
      <c r="K29" s="71"/>
    </row>
    <row r="30" spans="4:11" ht="71.25" customHeight="1" x14ac:dyDescent="0.2">
      <c r="D30" s="72" t="s">
        <v>27</v>
      </c>
      <c r="E30" s="73"/>
      <c r="F30" s="73"/>
      <c r="G30" s="73"/>
      <c r="H30" s="73"/>
      <c r="I30" s="73"/>
      <c r="J30" s="73"/>
      <c r="K30" s="74"/>
    </row>
    <row r="31" spans="4:11" ht="12.75" thickBot="1" x14ac:dyDescent="0.25">
      <c r="D31" s="66"/>
      <c r="E31" s="67"/>
      <c r="F31" s="67"/>
      <c r="G31" s="67"/>
      <c r="H31" s="67"/>
      <c r="I31" s="67"/>
      <c r="J31" s="67"/>
      <c r="K31" s="68"/>
    </row>
  </sheetData>
  <mergeCells count="12">
    <mergeCell ref="D29:K29"/>
    <mergeCell ref="D30:K30"/>
    <mergeCell ref="D31:K31"/>
    <mergeCell ref="D5:K5"/>
    <mergeCell ref="D6:K6"/>
    <mergeCell ref="D7:D8"/>
    <mergeCell ref="E7:E8"/>
    <mergeCell ref="F7:F8"/>
    <mergeCell ref="G7:G8"/>
    <mergeCell ref="H7:H8"/>
    <mergeCell ref="I7:I8"/>
    <mergeCell ref="K7:K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69294-09C0-446E-A1E3-FB00555E9F0E}">
  <sheetPr codeName="Sheet7"/>
  <dimension ref="C2:J8"/>
  <sheetViews>
    <sheetView workbookViewId="0">
      <selection activeCell="F6" sqref="F6:G6"/>
    </sheetView>
  </sheetViews>
  <sheetFormatPr defaultRowHeight="12" x14ac:dyDescent="0.2"/>
  <cols>
    <col min="3" max="3" width="11.6640625" customWidth="1"/>
    <col min="6" max="6" width="11.5" customWidth="1"/>
    <col min="8" max="8" width="18.1640625" customWidth="1"/>
    <col min="9" max="9" width="16.33203125" customWidth="1"/>
  </cols>
  <sheetData>
    <row r="2" spans="3:10" ht="12.75" thickBot="1" x14ac:dyDescent="0.25"/>
    <row r="3" spans="3:10" ht="18.75" thickBot="1" x14ac:dyDescent="0.25">
      <c r="C3" s="85" t="s">
        <v>28</v>
      </c>
      <c r="D3" s="86"/>
      <c r="E3" s="86"/>
      <c r="F3" s="86"/>
      <c r="G3" s="86"/>
      <c r="H3" s="86"/>
      <c r="I3" s="87"/>
      <c r="J3" s="42"/>
    </row>
    <row r="4" spans="3:10" ht="96.75" thickBot="1" x14ac:dyDescent="0.25">
      <c r="C4" s="43">
        <v>43970</v>
      </c>
      <c r="D4" s="44" t="s">
        <v>29</v>
      </c>
      <c r="E4" s="44" t="s">
        <v>15</v>
      </c>
      <c r="F4" s="45" t="s">
        <v>16</v>
      </c>
      <c r="G4" s="44" t="s">
        <v>30</v>
      </c>
      <c r="H4" s="44" t="s">
        <v>31</v>
      </c>
      <c r="I4" s="46" t="s">
        <v>32</v>
      </c>
      <c r="J4" s="42"/>
    </row>
    <row r="5" spans="3:10" ht="30.75" thickBot="1" x14ac:dyDescent="0.25">
      <c r="C5" s="47" t="s">
        <v>33</v>
      </c>
      <c r="D5" s="48">
        <v>9185.1</v>
      </c>
      <c r="E5" s="49">
        <v>-5.0000000000000001E-3</v>
      </c>
      <c r="F5" s="50">
        <v>-5.3999999999999999E-2</v>
      </c>
      <c r="G5" s="51">
        <v>2.5999999999999999E-2</v>
      </c>
      <c r="H5" s="52" t="s">
        <v>34</v>
      </c>
      <c r="I5" s="53">
        <v>0.22800000000000001</v>
      </c>
      <c r="J5" s="42"/>
    </row>
    <row r="6" spans="3:10" ht="15.75" thickBot="1" x14ac:dyDescent="0.25">
      <c r="C6" s="88" t="s">
        <v>35</v>
      </c>
      <c r="D6" s="90">
        <v>2922.94</v>
      </c>
      <c r="E6" s="92">
        <v>-1.0999999999999999E-2</v>
      </c>
      <c r="F6" s="54" t="s">
        <v>36</v>
      </c>
      <c r="G6" s="55" t="s">
        <v>37</v>
      </c>
      <c r="H6" s="90" t="s">
        <v>34</v>
      </c>
      <c r="I6" s="94">
        <v>0.16200000000000001</v>
      </c>
      <c r="J6" s="42"/>
    </row>
    <row r="7" spans="3:10" ht="15.75" thickBot="1" x14ac:dyDescent="0.25">
      <c r="C7" s="89"/>
      <c r="D7" s="91"/>
      <c r="E7" s="93"/>
      <c r="F7" s="96">
        <v>-0.217</v>
      </c>
      <c r="G7" s="96">
        <v>-1.2999999999999999E-2</v>
      </c>
      <c r="H7" s="91"/>
      <c r="I7" s="95"/>
      <c r="J7" s="42"/>
    </row>
    <row r="8" spans="3:10" ht="15.75" thickBot="1" x14ac:dyDescent="0.25">
      <c r="C8" s="47" t="s">
        <v>38</v>
      </c>
      <c r="D8" s="48">
        <v>24206.86</v>
      </c>
      <c r="E8" s="56">
        <v>-1.6E-2</v>
      </c>
      <c r="F8" s="97"/>
      <c r="G8" s="97"/>
      <c r="H8" s="48" t="s">
        <v>34</v>
      </c>
      <c r="I8" s="57">
        <v>0.13700000000000001</v>
      </c>
      <c r="J8" s="42"/>
    </row>
  </sheetData>
  <mergeCells count="8">
    <mergeCell ref="C3:I3"/>
    <mergeCell ref="C6:C7"/>
    <mergeCell ref="D6:D7"/>
    <mergeCell ref="E6:E7"/>
    <mergeCell ref="H6:H7"/>
    <mergeCell ref="I6:I7"/>
    <mergeCell ref="F7:F8"/>
    <mergeCell ref="G7:G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User_Data</vt:lpstr>
      <vt:lpstr>ACI_Input</vt:lpstr>
      <vt:lpstr>Daily_Market_Action</vt:lpstr>
      <vt:lpstr>Market_Action</vt:lpstr>
      <vt:lpstr>ACI_Input_Backup</vt:lpstr>
      <vt:lpstr>Market_Action_Backup</vt:lpstr>
      <vt:lpstr>Daily_Market_Action_Backup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2020-05-31T01:07:56Z</dcterms:created>
  <dcterms:modified xsi:type="dcterms:W3CDTF">2020-06-09T02:03:11Z</dcterms:modified>
</cp:coreProperties>
</file>